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heric\OneDrive\Documents\datos\"/>
    </mc:Choice>
  </mc:AlternateContent>
  <xr:revisionPtr revIDLastSave="0" documentId="13_ncr:1_{2B5CFB02-051F-4594-8059-DC4FD2AD9DEF}" xr6:coauthVersionLast="47" xr6:coauthVersionMax="47" xr10:uidLastSave="{00000000-0000-0000-0000-000000000000}"/>
  <bookViews>
    <workbookView xWindow="-23295" yWindow="2325" windowWidth="21600" windowHeight="11295" tabRatio="599" activeTab="4" xr2:uid="{00000000-000D-0000-FFFF-FFFF00000000}"/>
  </bookViews>
  <sheets>
    <sheet name="TOC" sheetId="29" r:id="rId1"/>
    <sheet name="TOC_metadata" sheetId="21" r:id="rId2"/>
    <sheet name="Retirees" sheetId="1" r:id="rId3"/>
    <sheet name="Beneficiaries in Pay" sheetId="20" r:id="rId4"/>
    <sheet name="Separated Vested" sheetId="3" r:id="rId5"/>
    <sheet name="Tables" sheetId="8" r:id="rId6"/>
    <sheet name="Actives" sheetId="19" r:id="rId7"/>
    <sheet name="mySort" sheetId="9" state="hidden" r:id="rId8"/>
  </sheets>
  <functionGroups builtInGroupCount="19"/>
  <externalReferences>
    <externalReference r:id="rId9"/>
  </externalReferences>
  <definedNames>
    <definedName name="_xlnm._FilterDatabase" localSheetId="6" hidden="1">Actives!$A$33:$XEU$63</definedName>
    <definedName name="_xlnm._FilterDatabase" localSheetId="3" hidden="1">'Beneficiaries in Pay'!$A$15:$CT$22</definedName>
    <definedName name="_xlnm._FilterDatabase" localSheetId="2" hidden="1">Retirees!$A$15:$DM$43</definedName>
    <definedName name="_xlnm._FilterDatabase" localSheetId="4" hidden="1">'Separated Vested'!$33:$53</definedName>
    <definedName name="Active" localSheetId="6">Actives!$32:$83</definedName>
    <definedName name="Active">Actives!$33:$84</definedName>
    <definedName name="Active_Vesteds" localSheetId="6">Actives!$33:$1048576</definedName>
    <definedName name="Active_Vesteds">Actives!$33:$1048576</definedName>
    <definedName name="AEQ_Rates">Tables!$CY$48:$CZ$48</definedName>
    <definedName name="All_Criteria">Tables!$DD$9:$DD$10</definedName>
    <definedName name="Annuity_Criteria">Tables!$DD$3:$DD$4</definedName>
    <definedName name="Annuity_Rates">Tables!$CY$13:$CZ$14</definedName>
    <definedName name="AX">'Separated Vested'!$DE$34</definedName>
    <definedName name="Beneficiaries_in_Pay">'Beneficiaries in Pay'!$15:$25</definedName>
    <definedName name="Beneficiary_Criteria">Tables!$DD$21:$DD$22</definedName>
    <definedName name="Benefit_Rate_Table">Tables!$K$154:$CZ$176</definedName>
    <definedName name="BFCF_RATES">Tables!$CY$48:$CZ$49</definedName>
    <definedName name="BFCF_Table">Tables!$Q$5:$CW$25</definedName>
    <definedName name="BFCF_Table_2">Tables!$Q$32:$CW$52</definedName>
    <definedName name="BFCF_Table_3">Tables!$Q$59:$CM$79</definedName>
    <definedName name="BRCHANGE">Tables!$CY$38</definedName>
    <definedName name="Covered_Comp_Table">Tables!$EO$3:$FK$76</definedName>
    <definedName name="DOPT">Tables!$DB$7</definedName>
    <definedName name="DOPT_1_Medicare_Benefit">Tables!$CY$47</definedName>
    <definedName name="DOPT_3">Tables!$DB$11</definedName>
    <definedName name="DOPT_Medicare_Benefit">Tables!$CY$44</definedName>
    <definedName name="DY">'Separated Vested'!$CG$34</definedName>
    <definedName name="Earliest_Payment_Date">Tables!$DB$3</definedName>
    <definedName name="ep">'Separated Vested'!$CJ$2</definedName>
    <definedName name="ERF_Table">Tables!$J$4:$K$124</definedName>
    <definedName name="Initial_Annuity_Interest_Rate">Tables!$CY$13</definedName>
    <definedName name="INT_NEW">Tables!$CY$4:$CZ$4</definedName>
    <definedName name="Load_Percent">Tables!$DG$13</definedName>
    <definedName name="LRF">Tables!$CY$44:$CZ$44</definedName>
    <definedName name="LRF_Table">Tables!$M$4:$N$124</definedName>
    <definedName name="LS_Rates">Tables!$CY$7:$CZ$10</definedName>
    <definedName name="Medicare_Rates">Tables!$CY$40:$CZ$41</definedName>
    <definedName name="Participant_Criteria">Tables!$DD$15:$DD$16</definedName>
    <definedName name="PBGC_BFCF_Table">Tables!$CY$53:$CZ$57</definedName>
    <definedName name="PBGC_ERF">Tables!$A$5:$B$39</definedName>
    <definedName name="PBGC_LRF">Tables!$D$5:$E$125</definedName>
    <definedName name="PBGC_MAX">Tables!$DB$14</definedName>
    <definedName name="PBGC_Option_Rates">Tables!$CY$26:$CZ$26</definedName>
    <definedName name="PC6_4022C_AR">Tables!$DM$59</definedName>
    <definedName name="Plan_Date">Tables!$CY$40</definedName>
    <definedName name="Plan_LRF_Table">Tables!$K$5:$CX$142</definedName>
    <definedName name="Post_Retirement_Interest">Tables!$K$2:$L$2</definedName>
    <definedName name="Pre_Retirement_Interest">Tables!$K$1</definedName>
    <definedName name="_xlnm.Print_Area" localSheetId="5">Tables!$DK$3:$DS$53</definedName>
    <definedName name="Retirees" localSheetId="3">'Beneficiaries in Pay'!$15:$1048576</definedName>
    <definedName name="Retirees">Retirees!$15:$1048576</definedName>
    <definedName name="Separated_Vesteds" localSheetId="6">'Separated Vested'!$A$33:$GQ$82</definedName>
    <definedName name="Separated_Vesteds">'Separated Vested'!$A$33:$GQ$82</definedName>
    <definedName name="SPARR">Tables!$DN$51</definedName>
    <definedName name="Total_4022C">Tables!$DM$55</definedName>
    <definedName name="Total_Title_IV_PV">Tables!$DQ$7</definedName>
    <definedName name="Vesting_Table">Tables!$G$4:$H$9</definedName>
    <definedName name="Vesting_Table_2">Tables!$G$12:$H$17</definedName>
  </definedNames>
  <calcPr calcId="191029" calcOnSave="0"/>
</workbook>
</file>

<file path=xl/calcChain.xml><?xml version="1.0" encoding="utf-8"?>
<calcChain xmlns="http://schemas.openxmlformats.org/spreadsheetml/2006/main">
  <c r="FR2" i="19" l="1"/>
  <c r="EC2" i="19"/>
  <c r="EB2" i="19"/>
  <c r="DZ2" i="19"/>
  <c r="DX2" i="19"/>
  <c r="DW2" i="19"/>
  <c r="FR2" i="3"/>
  <c r="EC2" i="3"/>
  <c r="EB2" i="3"/>
  <c r="DZ2" i="3"/>
  <c r="DX2" i="3"/>
  <c r="DW2" i="3"/>
  <c r="CL2" i="1"/>
  <c r="BO2" i="1"/>
  <c r="BA2" i="1"/>
  <c r="AP2" i="1"/>
  <c r="BH2" i="20"/>
  <c r="GG2" i="3" l="1"/>
  <c r="GF2" i="3"/>
  <c r="GH2" i="3" s="1"/>
  <c r="FS2" i="3"/>
  <c r="EZ2" i="3"/>
  <c r="ES2" i="3"/>
  <c r="EM2" i="3"/>
  <c r="EL2" i="3"/>
  <c r="EJ2" i="3"/>
  <c r="EI2" i="3"/>
  <c r="EH2" i="3"/>
  <c r="EG2" i="3"/>
  <c r="EF2" i="3"/>
  <c r="DL2" i="3"/>
  <c r="DP2" i="3" s="1"/>
  <c r="DK2" i="3"/>
  <c r="DJ2" i="3"/>
  <c r="DI2" i="3"/>
  <c r="DH2" i="3"/>
  <c r="BR2" i="3"/>
  <c r="BI2" i="3"/>
  <c r="AT2" i="3"/>
  <c r="AS2" i="3"/>
  <c r="AD2" i="3"/>
  <c r="AC2" i="3"/>
  <c r="Z2" i="3"/>
  <c r="N56" i="8"/>
  <c r="CO37" i="8"/>
  <c r="BP24" i="8"/>
  <c r="AF22" i="8"/>
  <c r="CN37" i="8"/>
  <c r="AM24" i="8"/>
  <c r="Q22" i="8"/>
  <c r="CD19" i="8"/>
  <c r="AT17" i="8"/>
  <c r="X15" i="8"/>
  <c r="CK12" i="8"/>
  <c r="N83" i="8"/>
  <c r="CU41" i="8"/>
  <c r="CN39" i="8"/>
  <c r="BK24" i="8"/>
  <c r="AO22" i="8"/>
  <c r="S20" i="8"/>
  <c r="CF17" i="8"/>
  <c r="BJ15" i="8"/>
  <c r="AN13" i="8"/>
  <c r="N81" i="8"/>
  <c r="CQ41" i="8"/>
  <c r="AE25" i="8"/>
  <c r="CR22" i="8"/>
  <c r="BH20" i="8"/>
  <c r="AL18" i="8"/>
  <c r="CP34" i="8"/>
  <c r="S24" i="8"/>
  <c r="CF21" i="8"/>
  <c r="BJ19" i="8"/>
  <c r="AN17" i="8"/>
  <c r="CR50" i="8"/>
  <c r="CF25" i="8"/>
  <c r="BJ23" i="8"/>
  <c r="AN21" i="8"/>
  <c r="N105" i="8"/>
  <c r="CU45" i="8"/>
  <c r="CE25" i="8"/>
  <c r="BI23" i="8"/>
  <c r="AM21" i="8"/>
  <c r="Q19" i="8"/>
  <c r="CD16" i="8"/>
  <c r="AT14" i="8"/>
  <c r="CP43" i="8"/>
  <c r="N49" i="8"/>
  <c r="U23" i="8"/>
  <c r="CV33" i="8"/>
  <c r="AG21" i="8"/>
  <c r="BK17" i="8"/>
  <c r="BP14" i="8"/>
  <c r="BK11" i="8"/>
  <c r="AO9" i="8"/>
  <c r="S7" i="8"/>
  <c r="AD2" i="1"/>
  <c r="CS33" i="8"/>
  <c r="CA21" i="8"/>
  <c r="CW17" i="8"/>
  <c r="N15" i="8"/>
  <c r="AJ12" i="8"/>
  <c r="BP9" i="8"/>
  <c r="CN45" i="8"/>
  <c r="BW22" i="8"/>
  <c r="BW18" i="8"/>
  <c r="CS38" i="8"/>
  <c r="AR22" i="8"/>
  <c r="BB18" i="8"/>
  <c r="CW47" i="8"/>
  <c r="AJ24" i="8"/>
  <c r="CU19" i="8"/>
  <c r="BN16" i="8"/>
  <c r="BZ13" i="8"/>
  <c r="N11" i="8"/>
  <c r="CC8" i="8"/>
  <c r="BG6" i="8"/>
  <c r="CW40" i="8"/>
  <c r="BN22" i="8"/>
  <c r="BR18" i="8"/>
  <c r="BK15" i="8"/>
  <c r="N38" i="8"/>
  <c r="AI22" i="8"/>
  <c r="AT18" i="8"/>
  <c r="BD24" i="8"/>
  <c r="CQ52" i="8"/>
  <c r="N36" i="8"/>
  <c r="BB24" i="8"/>
  <c r="R22" i="8"/>
  <c r="CV34" i="8"/>
  <c r="Y24" i="8"/>
  <c r="CL21" i="8"/>
  <c r="BP19" i="8"/>
  <c r="AF17" i="8"/>
  <c r="CS14" i="8"/>
  <c r="BW12" i="8"/>
  <c r="N76" i="8"/>
  <c r="CS40" i="8"/>
  <c r="CV36" i="8"/>
  <c r="AW24" i="8"/>
  <c r="AA22" i="8"/>
  <c r="CN19" i="8"/>
  <c r="BR17" i="8"/>
  <c r="AV15" i="8"/>
  <c r="Z13" i="8"/>
  <c r="N74" i="8"/>
  <c r="CO40" i="8"/>
  <c r="Q25" i="8"/>
  <c r="CD22" i="8"/>
  <c r="AT20" i="8"/>
  <c r="CV51" i="8"/>
  <c r="CN33" i="8"/>
  <c r="CN23" i="8"/>
  <c r="BR21" i="8"/>
  <c r="AV19" i="8"/>
  <c r="Z17" i="8"/>
  <c r="CP49" i="8"/>
  <c r="BR25" i="8"/>
  <c r="AV23" i="8"/>
  <c r="Z21" i="8"/>
  <c r="N99" i="8"/>
  <c r="CS44" i="8"/>
  <c r="BQ25" i="8"/>
  <c r="AU23" i="8"/>
  <c r="Y21" i="8"/>
  <c r="CL18" i="8"/>
  <c r="BP16" i="8"/>
  <c r="AF14" i="8"/>
  <c r="CN42" i="8"/>
  <c r="CW45" i="8"/>
  <c r="CB22" i="8"/>
  <c r="BS25" i="8"/>
  <c r="CQ20" i="8"/>
  <c r="AR17" i="8"/>
  <c r="AX14" i="8"/>
  <c r="AW11" i="8"/>
  <c r="AA9" i="8"/>
  <c r="CN6" i="8"/>
  <c r="W10" i="8"/>
  <c r="N26" i="8"/>
  <c r="BC21" i="8"/>
  <c r="CC17" i="8"/>
  <c r="CG14" i="8"/>
  <c r="T12" i="8"/>
  <c r="BB9" i="8"/>
  <c r="CW38" i="8"/>
  <c r="AU22" i="8"/>
  <c r="BC18" i="8"/>
  <c r="CW35" i="8"/>
  <c r="N22" i="8"/>
  <c r="AE18" i="8"/>
  <c r="N98" i="8"/>
  <c r="CQ23" i="8"/>
  <c r="BW19" i="8"/>
  <c r="AV16" i="8"/>
  <c r="BH13" i="8"/>
  <c r="CK10" i="8"/>
  <c r="BO8" i="8"/>
  <c r="AS6" i="8"/>
  <c r="CN38" i="8"/>
  <c r="AL22" i="8"/>
  <c r="AU18" i="8"/>
  <c r="AS15" i="8"/>
  <c r="N35" i="8"/>
  <c r="CP21" i="8"/>
  <c r="Z18" i="8"/>
  <c r="AB24" i="8"/>
  <c r="CQ19" i="8"/>
  <c r="BJ16" i="8"/>
  <c r="BV13" i="8"/>
  <c r="AA11" i="8"/>
  <c r="CN8" i="8"/>
  <c r="BC24" i="8"/>
  <c r="AD20" i="8"/>
  <c r="CA16" i="8"/>
  <c r="CL13" i="8"/>
  <c r="AN11" i="8"/>
  <c r="CM8" i="8"/>
  <c r="BQ6" i="8"/>
  <c r="N31" i="8"/>
  <c r="BL21" i="8"/>
  <c r="CK17" i="8"/>
  <c r="CM14" i="8"/>
  <c r="Y12" i="8"/>
  <c r="CI9" i="8"/>
  <c r="CK19" i="8"/>
  <c r="BB12" i="8"/>
  <c r="BC8" i="8"/>
  <c r="R18" i="8"/>
  <c r="W12" i="8"/>
  <c r="AH8" i="8"/>
  <c r="AP5" i="8"/>
  <c r="CC7" i="8"/>
  <c r="CB11" i="8"/>
  <c r="BR8" i="8"/>
  <c r="CF18" i="8"/>
  <c r="CF9" i="8"/>
  <c r="BG7" i="8"/>
  <c r="BV16" i="8"/>
  <c r="BU8" i="8"/>
  <c r="CJ21" i="8"/>
  <c r="AS13" i="8"/>
  <c r="T6" i="8"/>
  <c r="BV15" i="8"/>
  <c r="CL10" i="8"/>
  <c r="CP46" i="8"/>
  <c r="CK14" i="8"/>
  <c r="BH18" i="8"/>
  <c r="AM12" i="8"/>
  <c r="AT8" i="8"/>
  <c r="AY5" i="8"/>
  <c r="AU14" i="8"/>
  <c r="CW48" i="8"/>
  <c r="CO25" i="8"/>
  <c r="AQ23" i="8"/>
  <c r="CV41" i="8"/>
  <c r="BO24" i="8"/>
  <c r="BX21" i="8"/>
  <c r="Z19" i="8"/>
  <c r="AW16" i="8"/>
  <c r="CH13" i="8"/>
  <c r="N109" i="8"/>
  <c r="N44" i="8"/>
  <c r="CT35" i="8"/>
  <c r="CP23" i="8"/>
  <c r="AR21" i="8"/>
  <c r="CC18" i="8"/>
  <c r="AE16" i="8"/>
  <c r="BP13" i="8"/>
  <c r="N67" i="8"/>
  <c r="CU36" i="8"/>
  <c r="AH24" i="8"/>
  <c r="BS21" i="8"/>
  <c r="CP18" i="8"/>
  <c r="CT36" i="8"/>
  <c r="BZ23" i="8"/>
  <c r="AB21" i="8"/>
  <c r="BM18" i="8"/>
  <c r="N87" i="8"/>
  <c r="CR36" i="8"/>
  <c r="CL23" i="8"/>
  <c r="CU20" i="8"/>
  <c r="N79" i="8"/>
  <c r="CU38" i="8"/>
  <c r="BF24" i="8"/>
  <c r="CQ21" i="8"/>
  <c r="AS19" i="8"/>
  <c r="BB16" i="8"/>
  <c r="BY13" i="8"/>
  <c r="CN35" i="8"/>
  <c r="AQ25" i="8"/>
  <c r="CS45" i="8"/>
  <c r="CB21" i="8"/>
  <c r="X17" i="8"/>
  <c r="BN13" i="8"/>
  <c r="BN10" i="8"/>
  <c r="N8" i="8"/>
  <c r="BA5" i="8"/>
  <c r="CO39" i="8"/>
  <c r="AF21" i="8"/>
  <c r="V17" i="8"/>
  <c r="CE13" i="8"/>
  <c r="CO10" i="8"/>
  <c r="N108" i="8"/>
  <c r="AR23" i="8"/>
  <c r="AF18" i="8"/>
  <c r="BK25" i="8"/>
  <c r="BN20" i="8"/>
  <c r="BQ16" i="8"/>
  <c r="BI25" i="8"/>
  <c r="BK20" i="8"/>
  <c r="AD16" i="8"/>
  <c r="CR12" i="8"/>
  <c r="S10" i="8"/>
  <c r="BD7" i="8"/>
  <c r="BD2" i="3"/>
  <c r="AI23" i="8"/>
  <c r="AA18" i="8"/>
  <c r="BZ14" i="8"/>
  <c r="CG24" i="8"/>
  <c r="CS19" i="8"/>
  <c r="CG25" i="8"/>
  <c r="CC20" i="8"/>
  <c r="CV16" i="8"/>
  <c r="CN13" i="8"/>
  <c r="CV10" i="8"/>
  <c r="N57" i="8"/>
  <c r="BF23" i="8"/>
  <c r="W19" i="8"/>
  <c r="BY15" i="8"/>
  <c r="BX12" i="8"/>
  <c r="AC10" i="8"/>
  <c r="BN7" i="8"/>
  <c r="CT46" i="8"/>
  <c r="CH22" i="8"/>
  <c r="BK18" i="8"/>
  <c r="AN15" i="8"/>
  <c r="AO12" i="8"/>
  <c r="BU9" i="8"/>
  <c r="AV17" i="8"/>
  <c r="BH11" i="8"/>
  <c r="BL7" i="8"/>
  <c r="AX15" i="8"/>
  <c r="AV10" i="8"/>
  <c r="BY6" i="8"/>
  <c r="AF11" i="8"/>
  <c r="CN5" i="8"/>
  <c r="W5" i="8"/>
  <c r="AB22" i="8"/>
  <c r="AX12" i="8"/>
  <c r="CU7" i="8"/>
  <c r="AF16" i="8"/>
  <c r="CA7" i="8"/>
  <c r="CD18" i="8"/>
  <c r="Q12" i="8"/>
  <c r="AN23" i="8"/>
  <c r="AQ13" i="8"/>
  <c r="CO8" i="8"/>
  <c r="CG17" i="8"/>
  <c r="BM24" i="8"/>
  <c r="BQ13" i="8"/>
  <c r="Y9" i="8"/>
  <c r="CG5" i="8"/>
  <c r="AE15" i="8"/>
  <c r="AH7" i="8"/>
  <c r="CQ16" i="8"/>
  <c r="AO8" i="8"/>
  <c r="AW20" i="8"/>
  <c r="CQ12" i="8"/>
  <c r="CI8" i="8"/>
  <c r="BN5" i="8"/>
  <c r="CQ9" i="8"/>
  <c r="AZ16" i="8"/>
  <c r="AX7" i="8"/>
  <c r="R8" i="8"/>
  <c r="CR52" i="8"/>
  <c r="CU47" i="8"/>
  <c r="CA25" i="8"/>
  <c r="AC23" i="8"/>
  <c r="CT40" i="8"/>
  <c r="BA24" i="8"/>
  <c r="BJ21" i="8"/>
  <c r="CU18" i="8"/>
  <c r="AI16" i="8"/>
  <c r="BT13" i="8"/>
  <c r="N102" i="8"/>
  <c r="CW42" i="8"/>
  <c r="CR34" i="8"/>
  <c r="CB23" i="8"/>
  <c r="AD21" i="8"/>
  <c r="BO18" i="8"/>
  <c r="Q16" i="8"/>
  <c r="BB13" i="8"/>
  <c r="N60" i="8"/>
  <c r="CS35" i="8"/>
  <c r="T24" i="8"/>
  <c r="BE21" i="8"/>
  <c r="CB18" i="8"/>
  <c r="CR35" i="8"/>
  <c r="BL23" i="8"/>
  <c r="CW20" i="8"/>
  <c r="AY18" i="8"/>
  <c r="N80" i="8"/>
  <c r="CP35" i="8"/>
  <c r="BX23" i="8"/>
  <c r="CG20" i="8"/>
  <c r="N72" i="8"/>
  <c r="CS37" i="8"/>
  <c r="AR24" i="8"/>
  <c r="CC21" i="8"/>
  <c r="AE19" i="8"/>
  <c r="AN16" i="8"/>
  <c r="BK13" i="8"/>
  <c r="CV32" i="8"/>
  <c r="BV24" i="8"/>
  <c r="CQ42" i="8"/>
  <c r="BG21" i="8"/>
  <c r="CN16" i="8"/>
  <c r="AV13" i="8"/>
  <c r="AZ10" i="8"/>
  <c r="CK7" i="8"/>
  <c r="AM5" i="8"/>
  <c r="CO36" i="8"/>
  <c r="CP20" i="8"/>
  <c r="CL16" i="8"/>
  <c r="BM13" i="8"/>
  <c r="CA10" i="8"/>
  <c r="N71" i="8"/>
  <c r="N23" i="8"/>
  <c r="CV17" i="8"/>
  <c r="AI25" i="8"/>
  <c r="AN20" i="8"/>
  <c r="AY16" i="8"/>
  <c r="AG25" i="8"/>
  <c r="AL20" i="8"/>
  <c r="CV15" i="8"/>
  <c r="CB12" i="8"/>
  <c r="CN9" i="8"/>
  <c r="AP7" i="8"/>
  <c r="CW50" i="8"/>
  <c r="CP22" i="8"/>
  <c r="CP17" i="8"/>
  <c r="BI14" i="8"/>
  <c r="BE24" i="8"/>
  <c r="BS19" i="8"/>
  <c r="BA25" i="8"/>
  <c r="BC20" i="8"/>
  <c r="CB16" i="8"/>
  <c r="BD13" i="8"/>
  <c r="CH10" i="8"/>
  <c r="CN50" i="8"/>
  <c r="AD23" i="8"/>
  <c r="CI18" i="8"/>
  <c r="BG15" i="8"/>
  <c r="BG12" i="8"/>
  <c r="CJ9" i="8"/>
  <c r="AZ7" i="8"/>
  <c r="CO43" i="8"/>
  <c r="BF22" i="8"/>
  <c r="AP18" i="8"/>
  <c r="V15" i="8"/>
  <c r="CS11" i="8"/>
  <c r="BG9" i="8"/>
  <c r="CC16" i="8"/>
  <c r="AJ11" i="8"/>
  <c r="AS7" i="8"/>
  <c r="CW14" i="8"/>
  <c r="V10" i="8"/>
  <c r="BH6" i="8"/>
  <c r="CQ10" i="8"/>
  <c r="BE5" i="8"/>
  <c r="BO10" i="8"/>
  <c r="BY20" i="8"/>
  <c r="AT10" i="8"/>
  <c r="W7" i="8"/>
  <c r="CE15" i="8"/>
  <c r="AO7" i="8"/>
  <c r="CI17" i="8"/>
  <c r="CA11" i="8"/>
  <c r="CI21" i="8"/>
  <c r="CV12" i="8"/>
  <c r="BQ8" i="8"/>
  <c r="AA17" i="8"/>
  <c r="Y23" i="8"/>
  <c r="AM13" i="8"/>
  <c r="CJ8" i="8"/>
  <c r="BP5" i="8"/>
  <c r="CT13" i="8"/>
  <c r="CG6" i="8"/>
  <c r="CW15" i="8"/>
  <c r="CL7" i="8"/>
  <c r="AO19" i="8"/>
  <c r="BN12" i="8"/>
  <c r="BM8" i="8"/>
  <c r="AX5" i="8"/>
  <c r="AV9" i="8"/>
  <c r="BM15" i="8"/>
  <c r="CF6" i="8"/>
  <c r="AK7" i="8"/>
  <c r="BT6" i="8"/>
  <c r="BP7" i="8"/>
  <c r="BY9" i="8"/>
  <c r="BL11" i="8"/>
  <c r="AP11" i="8"/>
  <c r="CJ10" i="8"/>
  <c r="CH7" i="8"/>
  <c r="CO13" i="8"/>
  <c r="X21" i="8"/>
  <c r="AL11" i="8"/>
  <c r="N124" i="8"/>
  <c r="CS46" i="8"/>
  <c r="BM25" i="8"/>
  <c r="CJ22" i="8"/>
  <c r="CR39" i="8"/>
  <c r="CT23" i="8"/>
  <c r="AV21" i="8"/>
  <c r="CG18" i="8"/>
  <c r="U16" i="8"/>
  <c r="BF13" i="8"/>
  <c r="R96" i="8"/>
  <c r="N96" i="8"/>
  <c r="CP33" i="8"/>
  <c r="BN23" i="8"/>
  <c r="N21" i="8"/>
  <c r="BA18" i="8"/>
  <c r="CL15" i="8"/>
  <c r="CU12" i="8"/>
  <c r="N53" i="8"/>
  <c r="CQ34" i="8"/>
  <c r="CO23" i="8"/>
  <c r="AQ21" i="8"/>
  <c r="BN18" i="8"/>
  <c r="CV25" i="8"/>
  <c r="AX23" i="8"/>
  <c r="CI20" i="8"/>
  <c r="AK18" i="8"/>
  <c r="N73" i="8"/>
  <c r="CN34" i="8"/>
  <c r="AH23" i="8"/>
  <c r="BS20" i="8"/>
  <c r="N65" i="8"/>
  <c r="CQ36" i="8"/>
  <c r="AD24" i="8"/>
  <c r="BO21" i="8"/>
  <c r="BX18" i="8"/>
  <c r="Z16" i="8"/>
  <c r="AW13" i="8"/>
  <c r="CR25" i="8"/>
  <c r="AT24" i="8"/>
  <c r="CP39" i="8"/>
  <c r="BQ20" i="8"/>
  <c r="BT16" i="8"/>
  <c r="AF13" i="8"/>
  <c r="AL10" i="8"/>
  <c r="BW7" i="8"/>
  <c r="Y5" i="8"/>
  <c r="BO25" i="8"/>
  <c r="BP20" i="8"/>
  <c r="BS16" i="8"/>
  <c r="AU13" i="8"/>
  <c r="BM10" i="8"/>
  <c r="CU51" i="8"/>
  <c r="S22" i="8"/>
  <c r="CB17" i="8"/>
  <c r="CP24" i="8"/>
  <c r="N20" i="8"/>
  <c r="AG16" i="8"/>
  <c r="CN24" i="8"/>
  <c r="AZ19" i="8"/>
  <c r="CD15" i="8"/>
  <c r="BL12" i="8"/>
  <c r="BZ9" i="8"/>
  <c r="AB7" i="8"/>
  <c r="CR47" i="8"/>
  <c r="CS21" i="8"/>
  <c r="BW17" i="8"/>
  <c r="AQ14" i="8"/>
  <c r="AC24" i="8"/>
  <c r="AU19" i="8"/>
  <c r="Y25" i="8"/>
  <c r="AH20" i="8"/>
  <c r="AR16" i="8"/>
  <c r="AL13" i="8"/>
  <c r="BT10" i="8"/>
  <c r="CU46" i="8"/>
  <c r="CK22" i="8"/>
  <c r="BL18" i="8"/>
  <c r="AO15" i="8"/>
  <c r="AP12" i="8"/>
  <c r="BV9" i="8"/>
  <c r="AL7" i="8"/>
  <c r="N40" i="8"/>
  <c r="AD22" i="8"/>
  <c r="U18" i="8"/>
  <c r="BU14" i="8"/>
  <c r="CD11" i="8"/>
  <c r="AS9" i="8"/>
  <c r="AM16" i="8"/>
  <c r="N117" i="8"/>
  <c r="CQ45" i="8"/>
  <c r="AY25" i="8"/>
  <c r="BV22" i="8"/>
  <c r="CP38" i="8"/>
  <c r="CF23" i="8"/>
  <c r="AH21" i="8"/>
  <c r="BS18" i="8"/>
  <c r="CP15" i="8"/>
  <c r="AR13" i="8"/>
  <c r="N90" i="8"/>
  <c r="N122" i="8"/>
  <c r="CN32" i="8"/>
  <c r="AZ23" i="8"/>
  <c r="CK20" i="8"/>
  <c r="AM18" i="8"/>
  <c r="BX15" i="8"/>
  <c r="CG12" i="8"/>
  <c r="CW51" i="8"/>
  <c r="CO33" i="8"/>
  <c r="CA23" i="8"/>
  <c r="AC21" i="8"/>
  <c r="AZ18" i="8"/>
  <c r="CH25" i="8"/>
  <c r="AJ23" i="8"/>
  <c r="BU20" i="8"/>
  <c r="W18" i="8"/>
  <c r="N66" i="8"/>
  <c r="CT25" i="8"/>
  <c r="T23" i="8"/>
  <c r="BE20" i="8"/>
  <c r="N58" i="8"/>
  <c r="CO35" i="8"/>
  <c r="N24" i="8"/>
  <c r="BA21" i="8"/>
  <c r="BJ18" i="8"/>
  <c r="CU15" i="8"/>
  <c r="CT52" i="8"/>
  <c r="CD25" i="8"/>
  <c r="R24" i="8"/>
  <c r="CS36" i="8"/>
  <c r="AV20" i="8"/>
  <c r="BC16" i="8"/>
  <c r="CH12" i="8"/>
  <c r="X10" i="8"/>
  <c r="BI7" i="8"/>
  <c r="AX2" i="19"/>
  <c r="AM25" i="8"/>
  <c r="AR20" i="8"/>
  <c r="BA16" i="8"/>
  <c r="AE13" i="8"/>
  <c r="AY10" i="8"/>
  <c r="CS48" i="8"/>
  <c r="BZ21" i="8"/>
  <c r="BI17" i="8"/>
  <c r="BN24" i="8"/>
  <c r="CB19" i="8"/>
  <c r="N101" i="8"/>
  <c r="BL24" i="8"/>
  <c r="AB19" i="8"/>
  <c r="BL15" i="8"/>
  <c r="AV12" i="8"/>
  <c r="BL9" i="8"/>
  <c r="CW6" i="8"/>
  <c r="CP44" i="8"/>
  <c r="BU21" i="8"/>
  <c r="BC17" i="8"/>
  <c r="Y14" i="8"/>
  <c r="CJ23" i="8"/>
  <c r="Y19" i="8"/>
  <c r="CF24" i="8"/>
  <c r="BR19" i="8"/>
  <c r="AA16" i="8"/>
  <c r="V13" i="8"/>
  <c r="BF10" i="8"/>
  <c r="CS43" i="8"/>
  <c r="BI22" i="8"/>
  <c r="AR18" i="8"/>
  <c r="W15" i="8"/>
  <c r="Z12" i="8"/>
  <c r="BH9" i="8"/>
  <c r="X7" i="8"/>
  <c r="CP37" i="8"/>
  <c r="CK21" i="8"/>
  <c r="BQ17" i="8"/>
  <c r="BD14" i="8"/>
  <c r="BO11" i="8"/>
  <c r="AE9" i="8"/>
  <c r="CK15" i="8"/>
  <c r="BV10" i="8"/>
  <c r="N37" i="8"/>
  <c r="AD14" i="8"/>
  <c r="BJ9" i="8"/>
  <c r="X6" i="8"/>
  <c r="U10" i="8"/>
  <c r="X5" i="8"/>
  <c r="AD9" i="8"/>
  <c r="Q18" i="8"/>
  <c r="CS8" i="8"/>
  <c r="AN5" i="8"/>
  <c r="CU14" i="8"/>
  <c r="BU5" i="8"/>
  <c r="BR16" i="8"/>
  <c r="AC11" i="8"/>
  <c r="BM19" i="8"/>
  <c r="AS12" i="8"/>
  <c r="AB8" i="8"/>
  <c r="V16" i="8"/>
  <c r="AX20" i="8"/>
  <c r="BO12" i="8"/>
  <c r="Z8" i="8"/>
  <c r="R5" i="8"/>
  <c r="AI12" i="8"/>
  <c r="CE5" i="8"/>
  <c r="AS14" i="8"/>
  <c r="BN6" i="8"/>
  <c r="BU17" i="8"/>
  <c r="CR11" i="8"/>
  <c r="X8" i="8"/>
  <c r="Q5" i="8"/>
  <c r="BL8" i="8"/>
  <c r="CS13" i="8"/>
  <c r="AE5" i="8"/>
  <c r="AQ6" i="8"/>
  <c r="AC19" i="8"/>
  <c r="N110" i="8"/>
  <c r="CO44" i="8"/>
  <c r="AK25" i="8"/>
  <c r="BH22" i="8"/>
  <c r="CT33" i="8"/>
  <c r="BR23" i="8"/>
  <c r="T21" i="8"/>
  <c r="BE18" i="8"/>
  <c r="CB15" i="8"/>
  <c r="AD13" i="8"/>
  <c r="N69" i="8"/>
  <c r="R95" i="8"/>
  <c r="CJ25" i="8"/>
  <c r="AL23" i="8"/>
  <c r="BW20" i="8"/>
  <c r="Y18" i="8"/>
  <c r="AH15" i="8"/>
  <c r="BS12" i="8"/>
  <c r="CU50" i="8"/>
  <c r="N32" i="8"/>
  <c r="BM23" i="8"/>
  <c r="CJ20" i="8"/>
  <c r="CT50" i="8"/>
  <c r="BT25" i="8"/>
  <c r="V23" i="8"/>
  <c r="BG20" i="8"/>
  <c r="CR17" i="8"/>
  <c r="CV52" i="8"/>
  <c r="BD25" i="8"/>
  <c r="CO22" i="8"/>
  <c r="AQ20" i="8"/>
  <c r="CU52" i="8"/>
  <c r="N34" i="8"/>
  <c r="CK23" i="8"/>
  <c r="CT20" i="8"/>
  <c r="AV18" i="8"/>
  <c r="CG15" i="8"/>
  <c r="CR51" i="8"/>
  <c r="BP25" i="8"/>
  <c r="BY23" i="8"/>
  <c r="AN25" i="8"/>
  <c r="V20" i="8"/>
  <c r="AK16" i="8"/>
  <c r="BQ12" i="8"/>
  <c r="CS9" i="8"/>
  <c r="AU7" i="8"/>
  <c r="CD9" i="8"/>
  <c r="CT24" i="8"/>
  <c r="U20" i="8"/>
  <c r="AJ16" i="8"/>
  <c r="CW12" i="8"/>
  <c r="AK10" i="8"/>
  <c r="CN36" i="8"/>
  <c r="AZ21" i="8"/>
  <c r="AO17" i="8"/>
  <c r="AL24" i="8"/>
  <c r="BC19" i="8"/>
  <c r="N68" i="8"/>
  <c r="BO23" i="8"/>
  <c r="CN18" i="8"/>
  <c r="AT15" i="8"/>
  <c r="AE12" i="8"/>
  <c r="AX9" i="8"/>
  <c r="CI6" i="8"/>
  <c r="N103" i="8"/>
  <c r="N43" i="8"/>
  <c r="W25" i="8"/>
  <c r="AT22" i="8"/>
  <c r="CR32" i="8"/>
  <c r="BD23" i="8"/>
  <c r="CO20" i="8"/>
  <c r="AQ18" i="8"/>
  <c r="BN15" i="8"/>
  <c r="N13" i="8"/>
  <c r="N62" i="8"/>
  <c r="CV50" i="8"/>
  <c r="BV25" i="8"/>
  <c r="X23" i="8"/>
  <c r="BI20" i="8"/>
  <c r="CT17" i="8"/>
  <c r="T15" i="8"/>
  <c r="BE12" i="8"/>
  <c r="CS49" i="8"/>
  <c r="CW25" i="8"/>
  <c r="AY23" i="8"/>
  <c r="BV20" i="8"/>
  <c r="CR49" i="8"/>
  <c r="BF25" i="8"/>
  <c r="CQ22" i="8"/>
  <c r="AS20" i="8"/>
  <c r="CD17" i="8"/>
  <c r="CT51" i="8"/>
  <c r="AP25" i="8"/>
  <c r="CA22" i="8"/>
  <c r="AC20" i="8"/>
  <c r="CS51" i="8"/>
  <c r="CW32" i="8"/>
  <c r="BW23" i="8"/>
  <c r="CF20" i="8"/>
  <c r="AH18" i="8"/>
  <c r="BS15" i="8"/>
  <c r="CP50" i="8"/>
  <c r="N118" i="8"/>
  <c r="AW23" i="8"/>
  <c r="CU24" i="8"/>
  <c r="CF19" i="8"/>
  <c r="S16" i="8"/>
  <c r="N97" i="8"/>
  <c r="CW41" i="8"/>
  <c r="CR24" i="8"/>
  <c r="CM21" i="8"/>
  <c r="CN25" i="8"/>
  <c r="AP23" i="8"/>
  <c r="CA20" i="8"/>
  <c r="AC18" i="8"/>
  <c r="AZ15" i="8"/>
  <c r="BI12" i="8"/>
  <c r="N55" i="8"/>
  <c r="CT49" i="8"/>
  <c r="BH25" i="8"/>
  <c r="CS22" i="8"/>
  <c r="AU20" i="8"/>
  <c r="BD17" i="8"/>
  <c r="CO14" i="8"/>
  <c r="AQ12" i="8"/>
  <c r="CQ48" i="8"/>
  <c r="CI25" i="8"/>
  <c r="AK23" i="8"/>
  <c r="AF20" i="8"/>
  <c r="CP48" i="8"/>
  <c r="AR25" i="8"/>
  <c r="CC22" i="8"/>
  <c r="AE20" i="8"/>
  <c r="BP17" i="8"/>
  <c r="CN48" i="8"/>
  <c r="AB25" i="8"/>
  <c r="BM22" i="8"/>
  <c r="CJ19" i="8"/>
  <c r="CQ50" i="8"/>
  <c r="N30" i="8"/>
  <c r="AG23" i="8"/>
  <c r="BR20" i="8"/>
  <c r="T18" i="8"/>
  <c r="BE15" i="8"/>
  <c r="CN49" i="8"/>
  <c r="N91" i="8"/>
  <c r="CU40" i="8"/>
  <c r="CD24" i="8"/>
  <c r="CP52" i="8"/>
  <c r="BZ25" i="8"/>
  <c r="AB23" i="8"/>
  <c r="BM20" i="8"/>
  <c r="CJ17" i="8"/>
  <c r="AL15" i="8"/>
  <c r="AU12" i="8"/>
  <c r="CO52" i="8"/>
  <c r="CR48" i="8"/>
  <c r="AT25" i="8"/>
  <c r="CE22" i="8"/>
  <c r="AG20" i="8"/>
  <c r="AP17" i="8"/>
  <c r="CA14" i="8"/>
  <c r="AC12" i="8"/>
  <c r="CO47" i="8"/>
  <c r="BU25" i="8"/>
  <c r="W23" i="8"/>
  <c r="R20" i="8"/>
  <c r="CN47" i="8"/>
  <c r="AD25" i="8"/>
  <c r="BO22" i="8"/>
  <c r="Q20" i="8"/>
  <c r="BB17" i="8"/>
  <c r="CV45" i="8"/>
  <c r="CW24" i="8"/>
  <c r="AY22" i="8"/>
  <c r="BV19" i="8"/>
  <c r="CO49" i="8"/>
  <c r="CS25" i="8"/>
  <c r="S23" i="8"/>
  <c r="BD20" i="8"/>
  <c r="CO17" i="8"/>
  <c r="AQ15" i="8"/>
  <c r="CV46" i="8"/>
  <c r="CS52" i="8"/>
  <c r="X22" i="8"/>
  <c r="AQ24" i="8"/>
  <c r="AK19" i="8"/>
  <c r="BR15" i="8"/>
  <c r="U12" i="8"/>
  <c r="BC9" i="8"/>
  <c r="BL6" i="8"/>
  <c r="AC8" i="8"/>
  <c r="CW23" i="8"/>
  <c r="AG19" i="8"/>
  <c r="BQ15" i="8"/>
  <c r="AZ12" i="8"/>
  <c r="CU8" i="8"/>
  <c r="BN25" i="8"/>
  <c r="BO20" i="8"/>
  <c r="N104" i="8"/>
  <c r="AO23" i="8"/>
  <c r="BV18" i="8"/>
  <c r="CV47" i="8"/>
  <c r="BR22" i="8"/>
  <c r="AB18" i="8"/>
  <c r="CB14" i="8"/>
  <c r="BF11" i="8"/>
  <c r="CQ8" i="8"/>
  <c r="Q6" i="8"/>
  <c r="BE25" i="8"/>
  <c r="BJ20" i="8"/>
  <c r="BM16" i="8"/>
  <c r="CS50" i="8"/>
  <c r="BK22" i="8"/>
  <c r="N59" i="8"/>
  <c r="CL22" i="8"/>
  <c r="BP18" i="8"/>
  <c r="AP15" i="8"/>
  <c r="AR12" i="8"/>
  <c r="CK9" i="8"/>
  <c r="CO32" i="8"/>
  <c r="AO21" i="8"/>
  <c r="AX17" i="8"/>
  <c r="AM14" i="8"/>
  <c r="BB11" i="8"/>
  <c r="BY8" i="8"/>
  <c r="AO6" i="8"/>
  <c r="U25" i="8"/>
  <c r="BA20" i="8"/>
  <c r="BZ16" i="8"/>
  <c r="BS13" i="8"/>
  <c r="CT10" i="8"/>
  <c r="BJ8" i="8"/>
  <c r="AH14" i="8"/>
  <c r="BK9" i="8"/>
  <c r="CL20" i="8"/>
  <c r="CC12" i="8"/>
  <c r="BB8" i="8"/>
  <c r="Z5" i="8"/>
  <c r="AQ7" i="8"/>
  <c r="BE9" i="8"/>
  <c r="CM6" i="8"/>
  <c r="CF15" i="8"/>
  <c r="BV5" i="8"/>
  <c r="S25" i="8"/>
  <c r="AT13" i="8"/>
  <c r="BS5" i="8"/>
  <c r="CQ14" i="8"/>
  <c r="CP8" i="8"/>
  <c r="BO16" i="8"/>
  <c r="AB11" i="8"/>
  <c r="N33" i="8"/>
  <c r="Q14" i="8"/>
  <c r="BF16" i="8"/>
  <c r="W11" i="8"/>
  <c r="AJ7" i="8"/>
  <c r="AX21" i="8"/>
  <c r="BG10" i="8"/>
  <c r="AI2" i="1"/>
  <c r="AH12" i="8"/>
  <c r="BL5" i="8"/>
  <c r="N84" i="8"/>
  <c r="CS39" i="8"/>
  <c r="AN24" i="8"/>
  <c r="CN51" i="8"/>
  <c r="BL25" i="8"/>
  <c r="CW22" i="8"/>
  <c r="AY20" i="8"/>
  <c r="BV17" i="8"/>
  <c r="CE14" i="8"/>
  <c r="AG12" i="8"/>
  <c r="N51" i="8"/>
  <c r="CP47" i="8"/>
  <c r="AF25" i="8"/>
  <c r="BQ22" i="8"/>
  <c r="BZ19" i="8"/>
  <c r="AB17" i="8"/>
  <c r="BM14" i="8"/>
  <c r="N121" i="8"/>
  <c r="N46" i="8"/>
  <c r="BG25" i="8"/>
  <c r="BP22" i="8"/>
  <c r="CM19" i="8"/>
  <c r="CV44" i="8"/>
  <c r="N25" i="8"/>
  <c r="BA22" i="8"/>
  <c r="CL19" i="8"/>
  <c r="N77" i="8"/>
  <c r="CQ38" i="8"/>
  <c r="Z24" i="8"/>
  <c r="CV48" i="8"/>
  <c r="AX25" i="8"/>
  <c r="CI22" i="8"/>
  <c r="AK20" i="8"/>
  <c r="BH17" i="8"/>
  <c r="BQ14" i="8"/>
  <c r="S12" i="8"/>
  <c r="CW49" i="8"/>
  <c r="CN46" i="8"/>
  <c r="R25" i="8"/>
  <c r="BC22" i="8"/>
  <c r="BL19" i="8"/>
  <c r="CW16" i="8"/>
  <c r="AY14" i="8"/>
  <c r="N114" i="8"/>
  <c r="CW44" i="8"/>
  <c r="AS25" i="8"/>
  <c r="BB22" i="8"/>
  <c r="BY19" i="8"/>
  <c r="CT43" i="8"/>
  <c r="CK24" i="8"/>
  <c r="AM22" i="8"/>
  <c r="BX19" i="8"/>
  <c r="CG16" i="8"/>
  <c r="CR43" i="8"/>
  <c r="BU24" i="8"/>
  <c r="W22" i="8"/>
  <c r="AT19" i="8"/>
  <c r="CW46" i="8"/>
  <c r="AO25" i="8"/>
  <c r="BZ22" i="8"/>
  <c r="AB20" i="8"/>
  <c r="BM17" i="8"/>
  <c r="CJ14" i="8"/>
  <c r="CR44" i="8"/>
  <c r="CQ39" i="8"/>
  <c r="BH21" i="8"/>
  <c r="AT23" i="8"/>
  <c r="BZ18" i="8"/>
  <c r="AI15" i="8"/>
  <c r="BY11" i="8"/>
  <c r="CH8" i="8"/>
  <c r="AJ6" i="8"/>
  <c r="N75" i="8"/>
  <c r="AS23" i="8"/>
  <c r="BY18" i="8"/>
  <c r="AG15" i="8"/>
  <c r="BX11" i="8"/>
  <c r="BE8" i="8"/>
  <c r="CS24" i="8"/>
  <c r="T20" i="8"/>
  <c r="CO48" i="8"/>
  <c r="BT22" i="8"/>
  <c r="BZ17" i="8"/>
  <c r="CO41" i="8"/>
  <c r="CW21" i="8"/>
  <c r="BX17" i="8"/>
  <c r="AR14" i="8"/>
  <c r="AD11" i="8"/>
  <c r="AM8" i="8"/>
  <c r="BX5" i="8"/>
  <c r="CJ24" i="8"/>
  <c r="CT19" i="8"/>
  <c r="AC16" i="8"/>
  <c r="CV40" i="8"/>
  <c r="AT21" i="8"/>
  <c r="N47" i="8"/>
  <c r="AH22" i="8"/>
  <c r="X18" i="8"/>
  <c r="CP14" i="8"/>
  <c r="CU11" i="8"/>
  <c r="BI9" i="8"/>
  <c r="AZ25" i="8"/>
  <c r="CB20" i="8"/>
  <c r="CT16" i="8"/>
  <c r="BU13" i="8"/>
  <c r="CU10" i="8"/>
  <c r="AW8" i="8"/>
  <c r="CV5" i="8"/>
  <c r="AZ24" i="8"/>
  <c r="CO19" i="8"/>
  <c r="AP16" i="8"/>
  <c r="AJ13" i="8"/>
  <c r="BR10" i="8"/>
  <c r="N70" i="8"/>
  <c r="CW34" i="8"/>
  <c r="CU23" i="8"/>
  <c r="CT47" i="8"/>
  <c r="AJ25" i="8"/>
  <c r="BU22" i="8"/>
  <c r="W20" i="8"/>
  <c r="R17" i="8"/>
  <c r="BC14" i="8"/>
  <c r="CN11" i="8"/>
  <c r="CU48" i="8"/>
  <c r="CV43" i="8"/>
  <c r="CM24" i="8"/>
  <c r="CV21" i="8"/>
  <c r="AX19" i="8"/>
  <c r="CI16" i="8"/>
  <c r="AK14" i="8"/>
  <c r="N107" i="8"/>
  <c r="CU43" i="8"/>
  <c r="CL24" i="8"/>
  <c r="AN22" i="8"/>
  <c r="BK19" i="8"/>
  <c r="CR42" i="8"/>
  <c r="BW24" i="8"/>
  <c r="Y22" i="8"/>
  <c r="AH19" i="8"/>
  <c r="N120" i="8"/>
  <c r="CP42" i="8"/>
  <c r="BG24" i="8"/>
  <c r="CR21" i="8"/>
  <c r="N119" i="8"/>
  <c r="CQ43" i="8"/>
  <c r="AA25" i="8"/>
  <c r="BL22" i="8"/>
  <c r="CW19" i="8"/>
  <c r="AY17" i="8"/>
  <c r="BV14" i="8"/>
  <c r="CV39" i="8"/>
  <c r="CW36" i="8"/>
  <c r="AI21" i="8"/>
  <c r="R23" i="8"/>
  <c r="BF18" i="8"/>
  <c r="Q15" i="8"/>
  <c r="AI11" i="8"/>
  <c r="BT8" i="8"/>
  <c r="V6" i="8"/>
  <c r="N52" i="8"/>
  <c r="Q23" i="8"/>
  <c r="BD18" i="8"/>
  <c r="BO14" i="8"/>
  <c r="BJ11" i="8"/>
  <c r="AQ8" i="8"/>
  <c r="BQ24" i="8"/>
  <c r="CC19" i="8"/>
  <c r="N45" i="8"/>
  <c r="BY21" i="8"/>
  <c r="BG17" i="8"/>
  <c r="CO38" i="8"/>
  <c r="BV21" i="8"/>
  <c r="BE17" i="8"/>
  <c r="Z14" i="8"/>
  <c r="BW10" i="8"/>
  <c r="Y8" i="8"/>
  <c r="BJ5" i="8"/>
  <c r="BH24" i="8"/>
  <c r="BT19" i="8"/>
  <c r="CT15" i="8"/>
  <c r="CQ32" i="8"/>
  <c r="U21" i="8"/>
  <c r="CW43" i="8"/>
  <c r="CO21" i="8"/>
  <c r="CM17" i="8"/>
  <c r="BX14" i="8"/>
  <c r="CF11" i="8"/>
  <c r="AU9" i="8"/>
  <c r="X25" i="8"/>
  <c r="BB20" i="8"/>
  <c r="BI16" i="8"/>
  <c r="BC13" i="8"/>
  <c r="CG10" i="8"/>
  <c r="AI8" i="8"/>
  <c r="CH5" i="8"/>
  <c r="X24" i="8"/>
  <c r="BO19" i="8"/>
  <c r="X16" i="8"/>
  <c r="T13" i="8"/>
  <c r="BD10" i="8"/>
  <c r="CD23" i="8"/>
  <c r="X13" i="8"/>
  <c r="BZ8" i="8"/>
  <c r="AU17" i="8"/>
  <c r="BG11" i="8"/>
  <c r="BK7" i="8"/>
  <c r="AC14" i="8"/>
  <c r="BX6" i="8"/>
  <c r="AM6" i="8"/>
  <c r="BC5" i="8"/>
  <c r="CB13" i="8"/>
  <c r="AS10" i="8"/>
  <c r="CA19" i="8"/>
  <c r="BD11" i="8"/>
  <c r="CO24" i="8"/>
  <c r="BX13" i="8"/>
  <c r="CK5" i="8"/>
  <c r="CL14" i="8"/>
  <c r="Q10" i="8"/>
  <c r="BW21" i="8"/>
  <c r="CT12" i="8"/>
  <c r="AJ15" i="8"/>
  <c r="AJ10" i="8"/>
  <c r="BR6" i="8"/>
  <c r="AX18" i="8"/>
  <c r="AP8" i="8"/>
  <c r="CF22" i="8"/>
  <c r="BC10" i="8"/>
  <c r="CU44" i="8"/>
  <c r="AV14" i="8"/>
  <c r="CT9" i="8"/>
  <c r="BP6" i="8"/>
  <c r="BM12" i="8"/>
  <c r="AF5" i="8"/>
  <c r="AR9" i="8"/>
  <c r="CJ11" i="8"/>
  <c r="AQ5" i="8"/>
  <c r="R19" i="8"/>
  <c r="CH16" i="8"/>
  <c r="CI12" i="8"/>
  <c r="N63" i="8"/>
  <c r="CU33" i="8"/>
  <c r="CG23" i="8"/>
  <c r="CR46" i="8"/>
  <c r="V25" i="8"/>
  <c r="BG22" i="8"/>
  <c r="CR19" i="8"/>
  <c r="CM16" i="8"/>
  <c r="AO14" i="8"/>
  <c r="BZ11" i="8"/>
  <c r="CS47" i="8"/>
  <c r="CT42" i="8"/>
  <c r="BY24" i="8"/>
  <c r="CH21" i="8"/>
  <c r="AJ19" i="8"/>
  <c r="BU16" i="8"/>
  <c r="W14" i="8"/>
  <c r="N100" i="8"/>
  <c r="CS42" i="8"/>
  <c r="BX24" i="8"/>
  <c r="Z22" i="8"/>
  <c r="AW19" i="8"/>
  <c r="CP41" i="8"/>
  <c r="BI24" i="8"/>
  <c r="CT21" i="8"/>
  <c r="T19" i="8"/>
  <c r="N113" i="8"/>
  <c r="CN41" i="8"/>
  <c r="AS24" i="8"/>
  <c r="CD21" i="8"/>
  <c r="N112" i="8"/>
  <c r="CO42" i="8"/>
  <c r="CV24" i="8"/>
  <c r="AX22" i="8"/>
  <c r="CI19" i="8"/>
  <c r="AK17" i="8"/>
  <c r="BH14" i="8"/>
  <c r="CT38" i="8"/>
  <c r="CW33" i="8"/>
  <c r="CR20" i="8"/>
  <c r="BY22" i="8"/>
  <c r="AI18" i="8"/>
  <c r="CH14" i="8"/>
  <c r="U11" i="8"/>
  <c r="BF8" i="8"/>
  <c r="CQ5" i="8"/>
  <c r="CT48" i="8"/>
  <c r="BX22" i="8"/>
  <c r="AG18" i="8"/>
  <c r="AW14" i="8"/>
  <c r="AV11" i="8"/>
  <c r="CJ7" i="8"/>
  <c r="AO24" i="8"/>
  <c r="BD19" i="8"/>
  <c r="CT41" i="8"/>
  <c r="AY21" i="8"/>
  <c r="AM17" i="8"/>
  <c r="CU35" i="8"/>
  <c r="AW21" i="8"/>
  <c r="AJ17" i="8"/>
  <c r="CQ13" i="8"/>
  <c r="BI10" i="8"/>
  <c r="CT7" i="8"/>
  <c r="AV5" i="8"/>
  <c r="AF24" i="8"/>
  <c r="AY19" i="8"/>
  <c r="CC15" i="8"/>
  <c r="CK25" i="8"/>
  <c r="CD20" i="8"/>
  <c r="CR40" i="8"/>
  <c r="BN21" i="8"/>
  <c r="BT17" i="8"/>
  <c r="BF14" i="8"/>
  <c r="BQ11" i="8"/>
  <c r="AG9" i="8"/>
  <c r="CE24" i="8"/>
  <c r="CP19" i="8"/>
  <c r="AQ16" i="8"/>
  <c r="AK13" i="8"/>
  <c r="CO51" i="8"/>
  <c r="CS32" i="8"/>
  <c r="BS23" i="8"/>
  <c r="CP45" i="8"/>
  <c r="CQ24" i="8"/>
  <c r="AS22" i="8"/>
  <c r="BB19" i="8"/>
  <c r="BY16" i="8"/>
  <c r="AA14" i="8"/>
  <c r="N123" i="8"/>
  <c r="CQ46" i="8"/>
  <c r="CR41" i="8"/>
  <c r="AI24" i="8"/>
  <c r="BT21" i="8"/>
  <c r="V19" i="8"/>
  <c r="BG16" i="8"/>
  <c r="CR13" i="8"/>
  <c r="N95" i="8"/>
  <c r="N39" i="8"/>
  <c r="BJ24" i="8"/>
  <c r="CU21" i="8"/>
  <c r="AI19" i="8"/>
  <c r="CN40" i="8"/>
  <c r="AU24" i="8"/>
  <c r="BD21" i="8"/>
  <c r="CO18" i="8"/>
  <c r="N106" i="8"/>
  <c r="CV38" i="8"/>
  <c r="AE24" i="8"/>
  <c r="BP21" i="8"/>
  <c r="N93" i="8"/>
  <c r="N41" i="8"/>
  <c r="CH24" i="8"/>
  <c r="AJ22" i="8"/>
  <c r="BU19" i="8"/>
  <c r="W17" i="8"/>
  <c r="R14" i="8"/>
  <c r="CR37" i="8"/>
  <c r="N27" i="8"/>
  <c r="N115" i="8"/>
  <c r="AW22" i="8"/>
  <c r="N18" i="8"/>
  <c r="AG14" i="8"/>
  <c r="CP10" i="8"/>
  <c r="AR8" i="8"/>
  <c r="CC5" i="8"/>
  <c r="CR45" i="8"/>
  <c r="AV22" i="8"/>
  <c r="BJ17" i="8"/>
  <c r="AE14" i="8"/>
  <c r="AH11" i="8"/>
  <c r="BV7" i="8"/>
  <c r="CV23" i="8"/>
  <c r="AF19" i="8"/>
  <c r="CQ33" i="8"/>
  <c r="AA21" i="8"/>
  <c r="T17" i="8"/>
  <c r="CU32" i="8"/>
  <c r="W21" i="8"/>
  <c r="Q17" i="8"/>
  <c r="AP13" i="8"/>
  <c r="AU10" i="8"/>
  <c r="CF7" i="8"/>
  <c r="AH5" i="8"/>
  <c r="CM23" i="8"/>
  <c r="AA19" i="8"/>
  <c r="AA15" i="8"/>
  <c r="BB25" i="8"/>
  <c r="BF20" i="8"/>
  <c r="CU37" i="8"/>
  <c r="AS21" i="8"/>
  <c r="AZ17" i="8"/>
  <c r="AN14" i="8"/>
  <c r="BC11" i="8"/>
  <c r="S9" i="8"/>
  <c r="AA24" i="8"/>
  <c r="BQ19" i="8"/>
  <c r="Y16" i="8"/>
  <c r="U13" i="8"/>
  <c r="BE10" i="8"/>
  <c r="CP7" i="8"/>
  <c r="N85" i="8"/>
  <c r="BC23" i="8"/>
  <c r="S19" i="8"/>
  <c r="BW15" i="8"/>
  <c r="BV12" i="8"/>
  <c r="AB10" i="8"/>
  <c r="N50" i="8"/>
  <c r="N28" i="8"/>
  <c r="BE23" i="8"/>
  <c r="CN44" i="8"/>
  <c r="CC24" i="8"/>
  <c r="AE22" i="8"/>
  <c r="AN19" i="8"/>
  <c r="BK16" i="8"/>
  <c r="CV13" i="8"/>
  <c r="N116" i="8"/>
  <c r="CO45" i="8"/>
  <c r="CP40" i="8"/>
  <c r="U24" i="8"/>
  <c r="BF21" i="8"/>
  <c r="CQ18" i="8"/>
  <c r="AS16" i="8"/>
  <c r="CD13" i="8"/>
  <c r="N88" i="8"/>
  <c r="CW37" i="8"/>
  <c r="AV24" i="8"/>
  <c r="CG21" i="8"/>
  <c r="U19" i="8"/>
  <c r="CV37" i="8"/>
  <c r="AG24" i="8"/>
  <c r="AP21" i="8"/>
  <c r="CA18" i="8"/>
  <c r="N94" i="8"/>
  <c r="CT37" i="8"/>
  <c r="Q24" i="8"/>
  <c r="BB21" i="8"/>
  <c r="N86" i="8"/>
  <c r="CW39" i="8"/>
  <c r="BT24" i="8"/>
  <c r="V22" i="8"/>
  <c r="BG19" i="8"/>
  <c r="CU16" i="8"/>
  <c r="CP36" i="8"/>
  <c r="BA15" i="8"/>
  <c r="Z9" i="8"/>
  <c r="AY15" i="8"/>
  <c r="AE21" i="8"/>
  <c r="CU17" i="8"/>
  <c r="AB15" i="8"/>
  <c r="CL5" i="8"/>
  <c r="CE16" i="8"/>
  <c r="BQ18" i="8"/>
  <c r="CR15" i="8"/>
  <c r="N89" i="8"/>
  <c r="AE17" i="8"/>
  <c r="AF9" i="8"/>
  <c r="CB24" i="8"/>
  <c r="BF15" i="8"/>
  <c r="CL8" i="8"/>
  <c r="CH11" i="8"/>
  <c r="CH19" i="8"/>
  <c r="CG9" i="8"/>
  <c r="AW15" i="8"/>
  <c r="AW12" i="8"/>
  <c r="N54" i="8"/>
  <c r="AG8" i="8"/>
  <c r="CS17" i="8"/>
  <c r="BD6" i="8"/>
  <c r="AT12" i="8"/>
  <c r="W16" i="8"/>
  <c r="AV8" i="8"/>
  <c r="AO13" i="8"/>
  <c r="CV11" i="8"/>
  <c r="AZ6" i="8"/>
  <c r="AS11" i="8"/>
  <c r="AL19" i="8"/>
  <c r="CU5" i="8"/>
  <c r="BO13" i="8"/>
  <c r="BT7" i="8"/>
  <c r="CP12" i="8"/>
  <c r="AD15" i="8"/>
  <c r="CO16" i="8"/>
  <c r="AT16" i="8"/>
  <c r="Y6" i="8"/>
  <c r="AE7" i="8"/>
  <c r="BJ12" i="8"/>
  <c r="CW11" i="8"/>
  <c r="BX10" i="8"/>
  <c r="AX11" i="8"/>
  <c r="AH2" i="1"/>
  <c r="AN18" i="8"/>
  <c r="BI13" i="8"/>
  <c r="AA8" i="8"/>
  <c r="AK11" i="8"/>
  <c r="AD12" i="8"/>
  <c r="AC13" i="8"/>
  <c r="AM7" i="8"/>
  <c r="BI6" i="8"/>
  <c r="BJ25" i="8"/>
  <c r="V24" i="8"/>
  <c r="CT44" i="8"/>
  <c r="N78" i="8"/>
  <c r="CF13" i="8"/>
  <c r="CG8" i="8"/>
  <c r="CW13" i="8"/>
  <c r="CN20" i="8"/>
  <c r="CJ16" i="8"/>
  <c r="CT14" i="8"/>
  <c r="T5" i="8"/>
  <c r="AU16" i="8"/>
  <c r="CN17" i="8"/>
  <c r="BZ15" i="8"/>
  <c r="CQ40" i="8"/>
  <c r="CQ15" i="8"/>
  <c r="R9" i="8"/>
  <c r="CE23" i="8"/>
  <c r="AL14" i="8"/>
  <c r="BX8" i="8"/>
  <c r="CS10" i="8"/>
  <c r="CR18" i="8"/>
  <c r="AK9" i="8"/>
  <c r="V12" i="8"/>
  <c r="AE11" i="8"/>
  <c r="T25" i="8"/>
  <c r="CV7" i="8"/>
  <c r="AL17" i="8"/>
  <c r="CU49" i="8"/>
  <c r="AZ11" i="8"/>
  <c r="AM15" i="8"/>
  <c r="CR7" i="8"/>
  <c r="BR12" i="8"/>
  <c r="BU11" i="8"/>
  <c r="AH6" i="8"/>
  <c r="CD10" i="8"/>
  <c r="AO18" i="8"/>
  <c r="AU5" i="8"/>
  <c r="AI13" i="8"/>
  <c r="BA7" i="8"/>
  <c r="BR11" i="8"/>
  <c r="CL12" i="8"/>
  <c r="BY14" i="8"/>
  <c r="CE12" i="8"/>
  <c r="BB2" i="1"/>
  <c r="CB6" i="8"/>
  <c r="CG7" i="8"/>
  <c r="AV7" i="8"/>
  <c r="CI7" i="8"/>
  <c r="AZ9" i="8"/>
  <c r="BF17" i="8"/>
  <c r="CM15" i="8"/>
  <c r="X11" i="8"/>
  <c r="U15" i="8"/>
  <c r="AE10" i="8"/>
  <c r="AA10" i="8"/>
  <c r="CL11" i="8"/>
  <c r="CI24" i="8"/>
  <c r="CU42" i="8"/>
  <c r="BA12" i="8"/>
  <c r="N111" i="8"/>
  <c r="CF12" i="8"/>
  <c r="AO20" i="8"/>
  <c r="CP51" i="8"/>
  <c r="BJ14" i="8"/>
  <c r="CQ35" i="8"/>
  <c r="CR14" i="8"/>
  <c r="CO50" i="8"/>
  <c r="BH15" i="8"/>
  <c r="CQ37" i="8"/>
  <c r="CN14" i="8"/>
  <c r="BK8" i="8"/>
  <c r="AA23" i="8"/>
  <c r="T14" i="8"/>
  <c r="CR38" i="8"/>
  <c r="AW10" i="8"/>
  <c r="BX16" i="8"/>
  <c r="CT8" i="8"/>
  <c r="CC11" i="8"/>
  <c r="CN10" i="8"/>
  <c r="BP23" i="8"/>
  <c r="BG2" i="19"/>
  <c r="AU15" i="8"/>
  <c r="CS34" i="8"/>
  <c r="CM10" i="8"/>
  <c r="BB14" i="8"/>
  <c r="BY7" i="8"/>
  <c r="CO46" i="8"/>
  <c r="AU11" i="8"/>
  <c r="N6" i="8"/>
  <c r="BS9" i="8"/>
  <c r="E5" i="8"/>
  <c r="AL12" i="8"/>
  <c r="AA13" i="8"/>
  <c r="BN9" i="8"/>
  <c r="BE13" i="8"/>
  <c r="AK6" i="8"/>
  <c r="AB6" i="8"/>
  <c r="CR5" i="8"/>
  <c r="U7" i="8"/>
  <c r="N9" i="8"/>
  <c r="AB9" i="8"/>
  <c r="CO9" i="8"/>
  <c r="AL8" i="8"/>
  <c r="AT7" i="8"/>
  <c r="N64" i="8"/>
  <c r="CT32" i="8"/>
  <c r="CP13" i="8"/>
  <c r="Y15" i="8"/>
  <c r="U8" i="8"/>
  <c r="CK13" i="8"/>
  <c r="AU25" i="8"/>
  <c r="AL16" i="8"/>
  <c r="BJ13" i="8"/>
  <c r="CC14" i="8"/>
  <c r="AI7" i="8"/>
  <c r="S11" i="8"/>
  <c r="CP11" i="8"/>
  <c r="AI6" i="8"/>
  <c r="CJ13" i="8"/>
  <c r="AM9" i="8"/>
  <c r="Y13" i="8"/>
  <c r="CP32" i="8"/>
  <c r="CU34" i="8"/>
  <c r="BW14" i="8"/>
  <c r="AL21" i="8"/>
  <c r="Y10" i="8"/>
  <c r="BW8" i="8"/>
  <c r="BE11" i="8"/>
  <c r="AH9" i="8"/>
  <c r="R12" i="8"/>
  <c r="BE7" i="8"/>
  <c r="CI10" i="8"/>
  <c r="AI5" i="8"/>
  <c r="AY24" i="8"/>
  <c r="Q7" i="8"/>
  <c r="AH10" i="8"/>
  <c r="BZ10" i="8"/>
  <c r="AL5" i="8"/>
  <c r="CB5" i="8"/>
  <c r="DE29" i="3"/>
  <c r="CA5" i="8"/>
  <c r="Z6" i="8"/>
  <c r="AN12" i="8"/>
  <c r="BC7" i="8"/>
  <c r="BB6" i="8"/>
  <c r="AF10" i="8"/>
  <c r="BZ2" i="19"/>
  <c r="CT5" i="8"/>
  <c r="CU39" i="8"/>
  <c r="BX7" i="8"/>
  <c r="BC12" i="8"/>
  <c r="AU8" i="8"/>
  <c r="AA5" i="8"/>
  <c r="BL17" i="8"/>
  <c r="Z15" i="8"/>
  <c r="BM11" i="8"/>
  <c r="AK22" i="8"/>
  <c r="BW25" i="8"/>
  <c r="AK12" i="8"/>
  <c r="N42" i="8"/>
  <c r="BP12" i="8"/>
  <c r="CT18" i="8"/>
  <c r="CG19" i="8"/>
  <c r="BK14" i="8"/>
  <c r="BA23" i="8"/>
  <c r="AO10" i="8"/>
  <c r="S14" i="8"/>
  <c r="N29" i="8"/>
  <c r="CF8" i="8"/>
  <c r="BS11" i="8"/>
  <c r="R11" i="8"/>
  <c r="AU6" i="8"/>
  <c r="AK5" i="8"/>
  <c r="CL6" i="8"/>
  <c r="T8" i="8"/>
  <c r="AN8" i="8"/>
  <c r="AZ5" i="8"/>
  <c r="CD8" i="8"/>
  <c r="BA10" i="8"/>
  <c r="AP14" i="8"/>
  <c r="AP9" i="8"/>
  <c r="CU6" i="8"/>
  <c r="AU2" i="3"/>
  <c r="CW8" i="8"/>
  <c r="CM5" i="8"/>
  <c r="AH16" i="8"/>
  <c r="AN7" i="8"/>
  <c r="BX9" i="8"/>
  <c r="CG22" i="8"/>
  <c r="CE10" i="8"/>
  <c r="N7" i="8"/>
  <c r="CC6" i="8"/>
  <c r="BH19" i="8"/>
  <c r="AZ22" i="8"/>
  <c r="CO11" i="8"/>
  <c r="BR24" i="8"/>
  <c r="CM11" i="8"/>
  <c r="U17" i="8"/>
  <c r="CQ44" i="8"/>
  <c r="CI11" i="8"/>
  <c r="CL25" i="8"/>
  <c r="N92" i="8"/>
  <c r="CI23" i="8"/>
  <c r="V14" i="8"/>
  <c r="CC25" i="8"/>
  <c r="BE14" i="8"/>
  <c r="CB7" i="8"/>
  <c r="Q21" i="8"/>
  <c r="BA13" i="8"/>
  <c r="AQ22" i="8"/>
  <c r="CH9" i="8"/>
  <c r="CH15" i="8"/>
  <c r="CW7" i="8"/>
  <c r="BQ10" i="8"/>
  <c r="BE6" i="8"/>
  <c r="AS17" i="8"/>
  <c r="CC9" i="8"/>
  <c r="AB14" i="8"/>
  <c r="BT20" i="8"/>
  <c r="CB9" i="8"/>
  <c r="BW13" i="8"/>
  <c r="BZ24" i="8"/>
  <c r="BK21" i="8"/>
  <c r="BJ10" i="8"/>
  <c r="AJ2" i="20"/>
  <c r="W8" i="8"/>
  <c r="AG13" i="8"/>
  <c r="CU22" i="8"/>
  <c r="AT11" i="8"/>
  <c r="CH6" i="8"/>
  <c r="W9" i="8"/>
  <c r="CC10" i="8"/>
  <c r="CL9" i="8"/>
  <c r="AJ14" i="8"/>
  <c r="CK11" i="8"/>
  <c r="AR5" i="8"/>
  <c r="CS15" i="8"/>
  <c r="CW10" i="8"/>
  <c r="BX25" i="8"/>
  <c r="AJ5" i="8"/>
  <c r="AJ21" i="8"/>
  <c r="AM10" i="8"/>
  <c r="CT6" i="8"/>
  <c r="CK6" i="8"/>
  <c r="BM7" i="8"/>
  <c r="BH5" i="8"/>
  <c r="AB13" i="8"/>
  <c r="N48" i="8"/>
  <c r="CE21" i="8"/>
  <c r="CB10" i="8"/>
  <c r="AP24" i="8"/>
  <c r="T11" i="8"/>
  <c r="CK16" i="8"/>
  <c r="CM25" i="8"/>
  <c r="BT11" i="8"/>
  <c r="AC25" i="8"/>
  <c r="N61" i="8"/>
  <c r="BG23" i="8"/>
  <c r="CO12" i="8"/>
  <c r="CH23" i="8"/>
  <c r="U14" i="8"/>
  <c r="CS6" i="8"/>
  <c r="BZ20" i="8"/>
  <c r="CS20" i="8"/>
  <c r="AL9" i="8"/>
  <c r="BA19" i="8"/>
  <c r="CU9" i="8"/>
  <c r="CP25" i="8"/>
  <c r="BS7" i="8"/>
  <c r="BK12" i="8"/>
  <c r="BI21" i="8"/>
  <c r="V11" i="8"/>
  <c r="AY6" i="8"/>
  <c r="BI11" i="8"/>
  <c r="CP5" i="8"/>
  <c r="W24" i="8"/>
  <c r="AG2" i="1"/>
  <c r="AR7" i="8"/>
  <c r="AY8" i="8"/>
  <c r="AH17" i="8"/>
  <c r="N12" i="8"/>
  <c r="BY17" i="8"/>
  <c r="AY7" i="8"/>
  <c r="BN11" i="8"/>
  <c r="BG18" i="8"/>
  <c r="AG6" i="8"/>
  <c r="BR9" i="8"/>
  <c r="BB10" i="8"/>
  <c r="BO9" i="8"/>
  <c r="AF2" i="1"/>
  <c r="BK10" i="8"/>
  <c r="S5" i="8"/>
  <c r="BA17" i="8"/>
  <c r="CM12" i="8"/>
  <c r="BN14" i="8"/>
  <c r="CD7" i="8"/>
  <c r="BF9" i="8"/>
  <c r="U6" i="8"/>
  <c r="BW16" i="8"/>
  <c r="CR8" i="8"/>
  <c r="CA13" i="8"/>
  <c r="BN19" i="8"/>
  <c r="AE8" i="8"/>
  <c r="BT12" i="8"/>
  <c r="Z23" i="8"/>
  <c r="CM7" i="8"/>
  <c r="DB3" i="8"/>
  <c r="AT6" i="8"/>
  <c r="CK8" i="8"/>
  <c r="S18" i="8"/>
  <c r="CC13" i="8"/>
  <c r="AZ8" i="8"/>
  <c r="R13" i="8"/>
  <c r="AZ20" i="8"/>
  <c r="CD6" i="8"/>
  <c r="AQ2" i="3"/>
  <c r="BC25" i="8"/>
  <c r="CN52" i="8"/>
  <c r="CE9" i="8"/>
  <c r="BU23" i="8"/>
  <c r="CR9" i="8"/>
  <c r="CQ51" i="8"/>
  <c r="AM23" i="8"/>
  <c r="AR11" i="8"/>
  <c r="BK23" i="8"/>
  <c r="CQ47" i="8"/>
  <c r="AE23" i="8"/>
  <c r="BY12" i="8"/>
  <c r="AG22" i="8"/>
  <c r="CN12" i="8"/>
  <c r="CE6" i="8"/>
  <c r="AA20" i="8"/>
  <c r="BF12" i="8"/>
  <c r="CN22" i="8"/>
  <c r="BS24" i="8"/>
  <c r="BQ9" i="8"/>
  <c r="T22" i="8"/>
  <c r="AN9" i="8"/>
  <c r="CQ25" i="8"/>
  <c r="CT22" i="8"/>
  <c r="AG10" i="8"/>
  <c r="AU21" i="8"/>
  <c r="Z25" i="8"/>
  <c r="BJ22" i="8"/>
  <c r="BH12" i="8"/>
  <c r="CN21" i="8"/>
  <c r="CT11" i="8"/>
  <c r="BC6" i="8"/>
  <c r="AP19" i="8"/>
  <c r="BA11" i="8"/>
  <c r="BB15" i="8"/>
  <c r="AJ8" i="8"/>
  <c r="AY13" i="8"/>
  <c r="Z7" i="8"/>
  <c r="BJ7" i="8"/>
  <c r="BD5" i="8"/>
  <c r="CV14" i="8"/>
  <c r="BW6" i="8"/>
  <c r="BZ12" i="8"/>
  <c r="AB16" i="8"/>
  <c r="CQ49" i="8"/>
  <c r="BW11" i="8"/>
  <c r="BI19" i="8"/>
  <c r="Y17" i="8"/>
  <c r="AY9" i="8"/>
  <c r="AM20" i="8"/>
  <c r="AW6" i="8"/>
  <c r="AQ11" i="8"/>
  <c r="S17" i="8"/>
  <c r="BH10" i="8"/>
  <c r="CF5" i="8"/>
  <c r="BO6" i="8"/>
  <c r="BI8" i="8"/>
  <c r="CI5" i="8"/>
  <c r="BH8" i="8"/>
  <c r="Y20" i="8"/>
  <c r="CA8" i="8"/>
  <c r="BR5" i="8"/>
  <c r="S15" i="8"/>
  <c r="AC6" i="8"/>
  <c r="AX10" i="8"/>
  <c r="V5" i="8"/>
  <c r="BO7" i="8"/>
  <c r="BE22" i="8"/>
  <c r="CP16" i="8"/>
  <c r="R6" i="8"/>
  <c r="BC15" i="8"/>
  <c r="AW2" i="20"/>
  <c r="S8" i="8"/>
  <c r="AQ9" i="8"/>
  <c r="CV9" i="8"/>
  <c r="CV6" i="8"/>
  <c r="BG13" i="8"/>
  <c r="AR6" i="8"/>
  <c r="BI5" i="8"/>
  <c r="Q11" i="8"/>
  <c r="U22" i="8"/>
  <c r="AD8" i="8"/>
  <c r="BH7" i="8"/>
  <c r="BQ23" i="8"/>
  <c r="V9" i="8"/>
  <c r="CE20" i="8"/>
  <c r="AR19" i="8"/>
  <c r="AO11" i="8"/>
  <c r="BP11" i="8"/>
  <c r="AW17" i="8"/>
  <c r="BR14" i="8"/>
  <c r="CE7" i="8"/>
  <c r="AP6" i="8"/>
  <c r="AR15" i="8"/>
  <c r="BL10" i="8"/>
  <c r="BT15" i="8"/>
  <c r="BO17" i="8"/>
  <c r="N5" i="8"/>
  <c r="U9" i="8"/>
  <c r="BT9" i="8"/>
  <c r="AL2" i="1"/>
  <c r="CJ12" i="8"/>
  <c r="BM5" i="8"/>
  <c r="AC7" i="8"/>
  <c r="AP20" i="8"/>
  <c r="BV23" i="8"/>
  <c r="CV8" i="8"/>
  <c r="CE19" i="8"/>
  <c r="BS8" i="8"/>
  <c r="CS23" i="8"/>
  <c r="AP22" i="8"/>
  <c r="AJ9" i="8"/>
  <c r="V21" i="8"/>
  <c r="BH23" i="8"/>
  <c r="S21" i="8"/>
  <c r="AA12" i="8"/>
  <c r="BM21" i="8"/>
  <c r="CE11" i="8"/>
  <c r="AA6" i="8"/>
  <c r="CH18" i="8"/>
  <c r="AM11" i="8"/>
  <c r="R15" i="8"/>
  <c r="Q8" i="8"/>
  <c r="W13" i="8"/>
  <c r="CQ6" i="8"/>
  <c r="Y7" i="8"/>
  <c r="BD9" i="8"/>
  <c r="BL14" i="8"/>
  <c r="CS7" i="8"/>
  <c r="BP10" i="8"/>
  <c r="CA15" i="8"/>
  <c r="CO34" i="8"/>
  <c r="AY11" i="8"/>
  <c r="BI18" i="8"/>
  <c r="T16" i="8"/>
  <c r="BN8" i="8"/>
  <c r="AM19" i="8"/>
  <c r="AW5" i="8"/>
  <c r="CP9" i="8"/>
  <c r="BE16" i="8"/>
  <c r="AI10" i="8"/>
  <c r="AG5" i="8"/>
  <c r="AF6" i="8"/>
  <c r="V8" i="8"/>
  <c r="AS5" i="8"/>
  <c r="BY5" i="8"/>
  <c r="BT14" i="8"/>
  <c r="AD7" i="8"/>
  <c r="N19" i="8"/>
  <c r="BZ2" i="3"/>
  <c r="CA17" i="8"/>
  <c r="BE19" i="8"/>
  <c r="CH20" i="8"/>
  <c r="AF23" i="8"/>
  <c r="R21" i="8"/>
  <c r="BT5" i="8"/>
  <c r="Y11" i="8"/>
  <c r="AY12" i="8"/>
  <c r="AX8" i="8"/>
  <c r="AX13" i="8"/>
  <c r="CW52" i="8"/>
  <c r="AB12" i="8"/>
  <c r="AB5" i="8"/>
  <c r="AU2" i="19"/>
  <c r="AX2" i="3"/>
  <c r="BG2" i="3" s="1"/>
  <c r="AD10" i="8"/>
  <c r="CS16" i="8"/>
  <c r="AH25" i="8"/>
  <c r="BW5" i="8"/>
  <c r="V7" i="8"/>
  <c r="CO6" i="8"/>
  <c r="BU18" i="8"/>
  <c r="CA9" i="8"/>
  <c r="AK15" i="8"/>
  <c r="BB7" i="8"/>
  <c r="BO15" i="8"/>
  <c r="AF15" i="8"/>
  <c r="X9" i="8"/>
  <c r="AX24" i="8"/>
  <c r="CV42" i="8"/>
  <c r="AX16" i="8"/>
  <c r="BG8" i="8"/>
  <c r="BY10" i="8"/>
  <c r="X20" i="8"/>
  <c r="AA7" i="8"/>
  <c r="BI15" i="8"/>
  <c r="CQ7" i="8"/>
  <c r="AD18" i="8"/>
  <c r="AF12" i="8"/>
  <c r="CP6" i="8"/>
  <c r="T10" i="8"/>
  <c r="CA24" i="8"/>
  <c r="BL16" i="8"/>
  <c r="CO7" i="8"/>
  <c r="N16" i="8"/>
  <c r="CW5" i="8"/>
  <c r="BQ7" i="8"/>
  <c r="DE29" i="19"/>
  <c r="AV25" i="8"/>
  <c r="CV19" i="8"/>
  <c r="BK6" i="8"/>
  <c r="CJ5" i="8"/>
  <c r="AO16" i="8"/>
  <c r="BD8" i="8"/>
  <c r="BB5" i="8"/>
  <c r="BJ6" i="8"/>
  <c r="CR23" i="8"/>
  <c r="AK8" i="8"/>
  <c r="CE8" i="8"/>
  <c r="BP15" i="8"/>
  <c r="CN43" i="8"/>
  <c r="CD5" i="8"/>
  <c r="BD12" i="8"/>
  <c r="BV11" i="8"/>
  <c r="AD5" i="8"/>
  <c r="CT39" i="8"/>
  <c r="T7" i="8"/>
  <c r="CM9" i="8"/>
  <c r="Z10" i="8"/>
  <c r="BA6" i="8"/>
  <c r="CJ18" i="8"/>
  <c r="CR16" i="8"/>
  <c r="BF19" i="8"/>
  <c r="AG7" i="8"/>
  <c r="CV18" i="8"/>
  <c r="CR33" i="8"/>
  <c r="CV22" i="8"/>
  <c r="BT18" i="8"/>
  <c r="BA8" i="8"/>
  <c r="AJ20" i="8"/>
  <c r="CM22" i="8"/>
  <c r="X19" i="8"/>
  <c r="AR10" i="8"/>
  <c r="AQ19" i="8"/>
  <c r="Z11" i="8"/>
  <c r="CV49" i="8"/>
  <c r="AD17" i="8"/>
  <c r="CF10" i="8"/>
  <c r="CG13" i="8"/>
  <c r="N82" i="8"/>
  <c r="CG11" i="8"/>
  <c r="CO5" i="8"/>
  <c r="BF6" i="8"/>
  <c r="BZ7" i="8"/>
  <c r="S13" i="8"/>
  <c r="CV35" i="8"/>
  <c r="AF8" i="8"/>
  <c r="BG14" i="8"/>
  <c r="BL20" i="8"/>
  <c r="AN10" i="8"/>
  <c r="BU15" i="8"/>
  <c r="CI14" i="8"/>
  <c r="BU7" i="8"/>
  <c r="BD16" i="8"/>
  <c r="AW9" i="8"/>
  <c r="AK2" i="20"/>
  <c r="BP8" i="8"/>
  <c r="BM9" i="8"/>
  <c r="S6" i="8"/>
  <c r="AJ18" i="8"/>
  <c r="BQ21" i="8"/>
  <c r="V18" i="8"/>
  <c r="BS10" i="8"/>
  <c r="CT34" i="8"/>
  <c r="AP10" i="8"/>
  <c r="AZ13" i="8"/>
  <c r="AG11" i="8"/>
  <c r="AN6" i="8"/>
  <c r="CA12" i="8"/>
  <c r="BB23" i="8"/>
  <c r="X14" i="8"/>
  <c r="AZ14" i="8"/>
  <c r="BY25" i="8"/>
  <c r="AF7" i="8"/>
  <c r="AQ2" i="19"/>
  <c r="CR6" i="8"/>
  <c r="BQ5" i="8"/>
  <c r="AT5" i="8"/>
  <c r="BK5" i="8"/>
  <c r="T9" i="8"/>
  <c r="AS2" i="1"/>
  <c r="BD22" i="8"/>
  <c r="AC15" i="8"/>
  <c r="CW18" i="8"/>
  <c r="BZ6" i="8"/>
  <c r="AQ17" i="8"/>
  <c r="CU25" i="8"/>
  <c r="CM20" i="8"/>
  <c r="AW18" i="8"/>
  <c r="BR7" i="8"/>
  <c r="CM18" i="8"/>
  <c r="CM13" i="8"/>
  <c r="CE17" i="8"/>
  <c r="AX6" i="8"/>
  <c r="R16" i="8"/>
  <c r="AL25" i="8"/>
  <c r="AD19" i="8"/>
  <c r="CQ17" i="8"/>
  <c r="BU6" i="8"/>
  <c r="AI17" i="8"/>
  <c r="AI20" i="8"/>
  <c r="AS18" i="8"/>
  <c r="N10" i="8"/>
  <c r="CL17" i="8"/>
  <c r="AQ10" i="8"/>
  <c r="CB25" i="8"/>
  <c r="BH16" i="8"/>
  <c r="CW9" i="8"/>
  <c r="CD12" i="8"/>
  <c r="CC23" i="8"/>
  <c r="CR10" i="8"/>
  <c r="BF5" i="8"/>
  <c r="W6" i="8"/>
  <c r="BV6" i="8"/>
  <c r="AI9" i="8"/>
  <c r="BX20" i="8"/>
  <c r="R10" i="8"/>
  <c r="Q13" i="8"/>
  <c r="CH17" i="8"/>
  <c r="BA9" i="8"/>
  <c r="BA14" i="8"/>
  <c r="N14" i="8"/>
  <c r="R7" i="8"/>
  <c r="BL13" i="8"/>
  <c r="AK24" i="8"/>
  <c r="AV6" i="8"/>
  <c r="CF14" i="8"/>
  <c r="AS8" i="8"/>
  <c r="CD14" i="8"/>
  <c r="Z20" i="8"/>
  <c r="CS41" i="8"/>
  <c r="CA6" i="8"/>
  <c r="BM6" i="8"/>
  <c r="CB8" i="8"/>
  <c r="BZ5" i="8"/>
  <c r="BG5" i="8"/>
  <c r="BS14" i="8"/>
  <c r="BS6" i="8"/>
  <c r="BD2" i="19"/>
  <c r="AE2" i="1"/>
  <c r="AC5" i="8"/>
  <c r="AW7" i="8"/>
  <c r="CI13" i="8"/>
  <c r="BS22" i="8"/>
  <c r="U5" i="8"/>
  <c r="CT45" i="8"/>
  <c r="CJ15" i="8"/>
  <c r="BO5" i="8"/>
  <c r="CI15" i="8"/>
  <c r="BT23" i="8"/>
  <c r="CS18" i="8"/>
  <c r="CF16" i="8"/>
  <c r="AE6" i="8"/>
  <c r="N17" i="8"/>
  <c r="CK18" i="8"/>
  <c r="AG17" i="8"/>
  <c r="BW9" i="8"/>
  <c r="BS17" i="8"/>
  <c r="AT9" i="8"/>
  <c r="AW25" i="8"/>
  <c r="CO15" i="8"/>
  <c r="Q9" i="8"/>
  <c r="X12" i="8"/>
  <c r="AC22" i="8"/>
  <c r="BU10" i="8"/>
  <c r="BY2" i="3"/>
  <c r="AO5" i="8"/>
  <c r="AL6" i="8"/>
  <c r="BV8" i="8"/>
  <c r="CE18" i="8"/>
  <c r="BF7" i="8"/>
  <c r="BU12" i="8"/>
  <c r="AC17" i="8"/>
  <c r="AC9" i="8"/>
  <c r="BR13" i="8"/>
  <c r="CS12" i="8"/>
  <c r="CJ6" i="8"/>
  <c r="CQ11" i="8"/>
  <c r="AK21" i="8"/>
  <c r="AD6" i="8"/>
  <c r="CU13" i="8"/>
  <c r="CN7" i="8"/>
  <c r="AH13" i="8"/>
  <c r="BN17" i="8"/>
  <c r="CV20" i="8"/>
  <c r="BY2" i="19"/>
  <c r="CN15" i="8"/>
  <c r="AI14" i="8"/>
  <c r="CS5" i="8"/>
  <c r="BD15" i="8"/>
  <c r="AA2" i="3" l="1"/>
  <c r="AE2" i="3"/>
  <c r="CF2" i="3"/>
  <c r="AV2" i="3"/>
  <c r="AW2" i="3" s="1"/>
  <c r="EV2" i="3"/>
  <c r="EH2" i="19"/>
  <c r="BE2" i="19"/>
  <c r="BE2" i="3"/>
  <c r="BC2" i="1"/>
  <c r="AY2" i="3"/>
  <c r="AF2" i="3"/>
  <c r="AO2" i="3" s="1"/>
  <c r="AM2" i="3"/>
  <c r="GA2" i="19"/>
  <c r="BF2" i="19"/>
  <c r="BF2" i="3"/>
  <c r="GA2" i="3"/>
  <c r="AN2" i="3"/>
  <c r="BA2" i="3"/>
  <c r="GC2" i="3"/>
  <c r="BB2" i="3"/>
  <c r="BC2" i="3" l="1"/>
  <c r="FB2" i="3"/>
  <c r="CR2" i="1"/>
  <c r="CQ2" i="1"/>
  <c r="CP2" i="1"/>
  <c r="CM2" i="1"/>
  <c r="BL2" i="3"/>
  <c r="BM2" i="3"/>
  <c r="BN2" i="3"/>
  <c r="CQ2" i="3"/>
  <c r="CP2" i="3"/>
  <c r="BD2" i="1"/>
  <c r="CT2" i="3"/>
  <c r="BO2" i="3"/>
  <c r="CX2" i="3" l="1"/>
  <c r="CN2" i="3"/>
  <c r="DG2" i="3"/>
  <c r="FC2" i="3"/>
  <c r="FI2" i="3" s="1"/>
  <c r="FH2" i="3"/>
  <c r="AS2" i="20"/>
  <c r="AT2" i="20" s="1"/>
  <c r="AR2" i="20"/>
  <c r="AZ2" i="20" s="1"/>
  <c r="AQ2" i="20"/>
  <c r="CZ2" i="3"/>
  <c r="CY2" i="3"/>
  <c r="CS2" i="3"/>
  <c r="DY2" i="3" l="1"/>
  <c r="EA2" i="3"/>
  <c r="GE2" i="3"/>
  <c r="CL2" i="3"/>
  <c r="BN2" i="1"/>
  <c r="BM2" i="1"/>
  <c r="CU2" i="3"/>
  <c r="DA2" i="3"/>
  <c r="CO2" i="3" l="1"/>
  <c r="GG2" i="19"/>
  <c r="GF2" i="19"/>
  <c r="GH2" i="19" s="1"/>
  <c r="FS2" i="19"/>
  <c r="EZ2" i="19"/>
  <c r="ES2" i="19"/>
  <c r="EM2" i="19"/>
  <c r="EL2" i="19"/>
  <c r="EJ2" i="19"/>
  <c r="EI2" i="19"/>
  <c r="EG2" i="19"/>
  <c r="EF2" i="19"/>
  <c r="DL2" i="19"/>
  <c r="DP2" i="19" s="1"/>
  <c r="DK2" i="19"/>
  <c r="DJ2" i="19"/>
  <c r="DI2" i="19"/>
  <c r="DH2" i="19"/>
  <c r="BR2" i="19"/>
  <c r="BI2" i="19"/>
  <c r="AT2" i="19"/>
  <c r="AS2" i="19"/>
  <c r="AD2" i="19"/>
  <c r="AC2" i="19"/>
  <c r="Z2" i="19"/>
  <c r="CW2" i="3" l="1"/>
  <c r="DO7" i="8"/>
  <c r="AE2" i="19"/>
  <c r="AV2" i="19"/>
  <c r="AW2" i="19" s="1"/>
  <c r="CF2" i="19"/>
  <c r="AA2" i="19"/>
  <c r="EV2" i="19"/>
  <c r="AY2" i="19"/>
  <c r="AF2" i="19"/>
  <c r="AO2" i="19"/>
  <c r="AM2" i="19"/>
  <c r="AN2" i="19" s="1"/>
  <c r="BA2" i="19"/>
  <c r="BB2" i="19"/>
  <c r="GC2" i="19"/>
  <c r="DP7" i="8" l="1"/>
  <c r="FB2" i="19"/>
  <c r="CT2" i="19"/>
  <c r="BC2" i="19" l="1"/>
  <c r="DQ7" i="8"/>
  <c r="FC2" i="19"/>
  <c r="FI2" i="19" s="1"/>
  <c r="FH2" i="19"/>
  <c r="BL2" i="19"/>
  <c r="DM8" i="8" l="1"/>
  <c r="CM10" i="1"/>
  <c r="BM2" i="19"/>
  <c r="BN2" i="19"/>
  <c r="CQ2" i="19"/>
  <c r="CP2" i="19"/>
  <c r="BO2" i="19"/>
  <c r="CN2" i="19" l="1"/>
  <c r="CX2" i="19"/>
  <c r="DG2" i="19"/>
  <c r="CL2" i="19"/>
  <c r="EA2" i="19"/>
  <c r="GE2" i="19"/>
  <c r="DY2" i="19"/>
  <c r="DN39" i="8"/>
  <c r="CY2" i="19"/>
  <c r="CZ2" i="19"/>
  <c r="CS2" i="19"/>
  <c r="DQ49" i="8" l="1"/>
  <c r="DP49" i="8"/>
  <c r="DQ42" i="8"/>
  <c r="DQ43" i="8"/>
  <c r="DQ34" i="8"/>
  <c r="DQ35" i="8"/>
  <c r="DQ26" i="8"/>
  <c r="DQ27" i="8"/>
  <c r="DQ18" i="8"/>
  <c r="DQ19" i="8"/>
  <c r="DQ10" i="8"/>
  <c r="DQ11" i="8"/>
  <c r="DA2" i="19"/>
  <c r="CU2" i="19"/>
  <c r="DP6" i="8" l="1"/>
  <c r="DP15" i="8"/>
  <c r="DP23" i="8" s="1"/>
  <c r="DO15" i="8"/>
  <c r="DO23" i="8" s="1"/>
  <c r="DQ23" i="8" s="1"/>
  <c r="DO31" i="8"/>
  <c r="DO39" i="8" s="1"/>
  <c r="L4" i="8"/>
  <c r="K5" i="8" s="1"/>
  <c r="K6" i="8" s="1"/>
  <c r="K7" i="8" s="1"/>
  <c r="K8" i="8" s="1"/>
  <c r="K9" i="8" s="1"/>
  <c r="K10" i="8" s="1"/>
  <c r="K11" i="8" s="1"/>
  <c r="K12" i="8" s="1"/>
  <c r="K13" i="8" s="1"/>
  <c r="K14" i="8" s="1"/>
  <c r="K15" i="8" s="1"/>
  <c r="K16" i="8" l="1"/>
  <c r="CO2" i="19"/>
  <c r="CW2" i="19" s="1"/>
  <c r="DR49" i="8"/>
  <c r="DS49" i="8"/>
  <c r="K17" i="8"/>
  <c r="K18" i="8" s="1"/>
  <c r="K19" i="8" s="1"/>
  <c r="K20" i="8" s="1"/>
  <c r="K21" i="8" s="1"/>
  <c r="K22" i="8" s="1"/>
  <c r="K23" i="8" s="1"/>
  <c r="K24" i="8" s="1"/>
  <c r="K25" i="8" s="1"/>
  <c r="DP31" i="8"/>
  <c r="DP39" i="8" s="1"/>
  <c r="DQ39" i="8" s="1"/>
  <c r="DQ15" i="8"/>
  <c r="DO6" i="8"/>
  <c r="Y2" i="20"/>
  <c r="Z2" i="20"/>
  <c r="K26" i="8" l="1"/>
  <c r="K27" i="8" s="1"/>
  <c r="K28" i="8" s="1"/>
  <c r="DP14" i="8"/>
  <c r="DQ31" i="8"/>
  <c r="DO14" i="8"/>
  <c r="DO22" i="8" s="1"/>
  <c r="DO30" i="8"/>
  <c r="DM39" i="8"/>
  <c r="DM15" i="8"/>
  <c r="DM31" i="8"/>
  <c r="DM23" i="8"/>
  <c r="DM7" i="8"/>
  <c r="AA2" i="20"/>
  <c r="C12" i="1"/>
  <c r="C30" i="19"/>
  <c r="C30" i="3"/>
  <c r="C12" i="20"/>
  <c r="BR2" i="20"/>
  <c r="BE2" i="20"/>
  <c r="BF2" i="20" s="1"/>
  <c r="AB2" i="20"/>
  <c r="K29" i="8" l="1"/>
  <c r="K30" i="8" s="1"/>
  <c r="K31" i="8" s="1"/>
  <c r="K32" i="8" s="1"/>
  <c r="K33" i="8" s="1"/>
  <c r="K34" i="8" s="1"/>
  <c r="K35" i="8" s="1"/>
  <c r="K36" i="8" s="1"/>
  <c r="K37" i="8" s="1"/>
  <c r="K38" i="8" s="1"/>
  <c r="K39" i="8" s="1"/>
  <c r="K40" i="8" s="1"/>
  <c r="DQ48" i="8"/>
  <c r="DP48" i="8"/>
  <c r="DP30" i="8"/>
  <c r="DP38" i="8" s="1"/>
  <c r="BG2" i="20"/>
  <c r="AH2" i="20"/>
  <c r="K41" i="8" l="1"/>
  <c r="K42" i="8" s="1"/>
  <c r="K43" i="8" s="1"/>
  <c r="K44" i="8"/>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K76" i="8" s="1"/>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DQ30" i="8"/>
  <c r="DM22" i="8"/>
  <c r="DM38" i="8"/>
  <c r="DM30" i="8"/>
  <c r="DM14" i="8"/>
  <c r="DM6" i="8"/>
  <c r="DN38" i="8"/>
  <c r="BI2" i="20"/>
  <c r="AI2" i="20"/>
  <c r="AV2" i="20" l="1"/>
  <c r="AX2" i="20"/>
  <c r="BB2" i="20" s="1"/>
  <c r="BJ2" i="20"/>
  <c r="CE2" i="20"/>
  <c r="CQ2" i="20" l="1"/>
  <c r="CM2" i="20"/>
  <c r="BK2" i="20"/>
  <c r="CL2" i="20"/>
  <c r="CR2" i="20" l="1"/>
  <c r="CT2" i="20"/>
  <c r="CS2" i="20"/>
  <c r="DN40" i="8" l="1"/>
  <c r="BI2" i="1" l="1"/>
  <c r="BR10" i="1" l="1"/>
  <c r="DM33" i="8" l="1"/>
  <c r="DO8" i="8"/>
  <c r="DO9" i="8"/>
  <c r="BX10" i="1"/>
  <c r="BS10" i="1"/>
  <c r="CD10" i="1"/>
  <c r="DO12" i="8" l="1"/>
  <c r="DM56" i="8"/>
  <c r="BU10" i="1"/>
  <c r="BY10" i="1"/>
  <c r="BT10" i="1"/>
  <c r="CK10" i="1" l="1"/>
  <c r="CS10" i="1"/>
  <c r="CC10" i="1"/>
  <c r="CB10" i="1"/>
  <c r="CA10" i="1"/>
  <c r="BZ10" i="1"/>
  <c r="CE10" i="1"/>
  <c r="CG10" i="1"/>
  <c r="CF10" i="1"/>
  <c r="BV10" i="1"/>
  <c r="CT10" i="1" l="1"/>
  <c r="CH10" i="1"/>
  <c r="CI10" i="1"/>
  <c r="CU2" i="1" l="1"/>
  <c r="DM9" i="8" l="1"/>
  <c r="BP2" i="1" l="1"/>
  <c r="AU2" i="1" l="1"/>
  <c r="AV2" i="1" l="1"/>
  <c r="R97" i="8" l="1"/>
  <c r="DO38" i="8"/>
  <c r="DT48" i="8" s="1"/>
  <c r="DG7" i="8"/>
  <c r="DG8" i="8" s="1"/>
  <c r="D6" i="8"/>
  <c r="DD4" i="8"/>
  <c r="BW2" i="1"/>
  <c r="E6" i="8"/>
  <c r="R99" i="8"/>
  <c r="DU48" i="8" l="1"/>
  <c r="DQ14" i="8"/>
  <c r="D7" i="8"/>
  <c r="AW2" i="1"/>
  <c r="DQ6" i="8"/>
  <c r="DP22" i="8"/>
  <c r="D8" i="8" l="1"/>
  <c r="DQ38" i="8"/>
  <c r="DR48" i="8"/>
  <c r="DS48" i="8"/>
  <c r="DQ22" i="8"/>
  <c r="E7" i="8"/>
  <c r="E8" i="8"/>
  <c r="D9" i="8" l="1"/>
  <c r="AR2" i="1"/>
  <c r="AX2" i="1" s="1"/>
  <c r="AT2" i="1"/>
  <c r="S97" i="8"/>
  <c r="D10" i="8"/>
  <c r="BE2" i="1"/>
  <c r="E9" i="8"/>
  <c r="S99" i="8"/>
  <c r="E10" i="8"/>
  <c r="BF2" i="1" l="1"/>
  <c r="BG2" i="1" s="1"/>
  <c r="D11" i="8"/>
  <c r="E11" i="8"/>
  <c r="BQ2" i="1"/>
  <c r="CJ2" i="1"/>
  <c r="BR2" i="1" l="1"/>
  <c r="BX2" i="1" s="1"/>
  <c r="BH2" i="1"/>
  <c r="BS2" i="1" s="1"/>
  <c r="D12" i="8"/>
  <c r="E12" i="8"/>
  <c r="BT2" i="1" l="1"/>
  <c r="BJ2" i="1"/>
  <c r="BU2" i="1" s="1"/>
  <c r="D13" i="8"/>
  <c r="CD2" i="1"/>
  <c r="BY2" i="1"/>
  <c r="BZ2" i="1" s="1"/>
  <c r="CA2" i="1" s="1"/>
  <c r="E13" i="8"/>
  <c r="BK2" i="1" l="1"/>
  <c r="CE2" i="1"/>
  <c r="CF2" i="1" s="1"/>
  <c r="CG2" i="1" s="1"/>
  <c r="CB2" i="1"/>
  <c r="CC2" i="1" s="1"/>
  <c r="BV2" i="1"/>
  <c r="D14" i="8"/>
  <c r="E14" i="8"/>
  <c r="CK2" i="1" l="1"/>
  <c r="CV2" i="1"/>
  <c r="BL2" i="1"/>
  <c r="CX2" i="1"/>
  <c r="DE2" i="1" s="1"/>
  <c r="D15" i="8"/>
  <c r="DP17" i="8"/>
  <c r="DO17" i="8"/>
  <c r="DP16" i="8"/>
  <c r="DO16" i="8"/>
  <c r="CT2" i="1"/>
  <c r="CS2" i="1"/>
  <c r="CH2" i="1"/>
  <c r="CI2" i="1" s="1"/>
  <c r="E15" i="8"/>
  <c r="DQ16" i="8" l="1"/>
  <c r="DQ17" i="8"/>
  <c r="DO20" i="8"/>
  <c r="DA2" i="1"/>
  <c r="CY2" i="1"/>
  <c r="CZ2" i="1"/>
  <c r="DB2" i="1"/>
  <c r="DC2" i="1"/>
  <c r="DD2" i="1"/>
  <c r="DP8" i="8"/>
  <c r="DQ8" i="8" s="1"/>
  <c r="DO24" i="8"/>
  <c r="DP9" i="8"/>
  <c r="DQ9" i="8" s="1"/>
  <c r="DO25" i="8"/>
  <c r="D16" i="8"/>
  <c r="E16" i="8"/>
  <c r="DG3" i="8" l="1"/>
  <c r="DG6" i="8" s="1"/>
  <c r="DG9" i="8" s="1"/>
  <c r="DO28" i="8"/>
  <c r="DN46" i="8"/>
  <c r="DN48" i="8" s="1"/>
  <c r="DQ12" i="8"/>
  <c r="DN49" i="8"/>
  <c r="DN52" i="8" s="1"/>
  <c r="DQ20" i="8"/>
  <c r="D17" i="8"/>
  <c r="DP25" i="8"/>
  <c r="DQ25" i="8" s="1"/>
  <c r="DP24" i="8"/>
  <c r="DQ24" i="8" s="1"/>
  <c r="DO32" i="8"/>
  <c r="E17" i="8"/>
  <c r="DN50" i="8" l="1"/>
  <c r="DQ28" i="8"/>
  <c r="DN53" i="8"/>
  <c r="DM40" i="8"/>
  <c r="DM32" i="8"/>
  <c r="DM24" i="8"/>
  <c r="DM16" i="8"/>
  <c r="DQ50" i="8"/>
  <c r="DP50" i="8"/>
  <c r="DP32" i="8"/>
  <c r="DP40" i="8" s="1"/>
  <c r="DO40" i="8"/>
  <c r="DG4" i="8"/>
  <c r="DM41" i="8"/>
  <c r="DM25" i="8"/>
  <c r="DM17" i="8"/>
  <c r="D18" i="8"/>
  <c r="E18" i="8"/>
  <c r="DQ40" i="8" l="1"/>
  <c r="DQ32" i="8"/>
  <c r="D19" i="8"/>
  <c r="DR50" i="8"/>
  <c r="DS50" i="8"/>
  <c r="DG1" i="8"/>
  <c r="DG2" i="8" s="1"/>
  <c r="DG5" i="8" s="1"/>
  <c r="DG10" i="8" s="1"/>
  <c r="DG11" i="8" s="1"/>
  <c r="E19" i="8"/>
  <c r="D20" i="8" l="1"/>
  <c r="E20" i="8"/>
  <c r="DM55" i="8" l="1"/>
  <c r="D21" i="8"/>
  <c r="E21" i="8"/>
  <c r="DM57" i="8" l="1"/>
  <c r="D22" i="8"/>
  <c r="E22" i="8"/>
  <c r="D23" i="8" l="1"/>
  <c r="E23" i="8"/>
  <c r="D24" i="8" l="1"/>
  <c r="E24" i="8"/>
  <c r="D25" i="8" l="1"/>
  <c r="E25" i="8"/>
  <c r="D26" i="8" l="1"/>
  <c r="E26" i="8"/>
  <c r="D27" i="8" l="1"/>
  <c r="E27" i="8"/>
  <c r="D28" i="8" l="1"/>
  <c r="E28" i="8"/>
  <c r="D29" i="8" l="1"/>
  <c r="E29" i="8"/>
  <c r="D30" i="8" l="1"/>
  <c r="E30" i="8"/>
  <c r="D31" i="8" l="1"/>
  <c r="E31" i="8"/>
  <c r="D32" i="8" l="1"/>
  <c r="E32" i="8"/>
  <c r="D33" i="8" l="1"/>
  <c r="E33" i="8"/>
  <c r="D34" i="8" l="1"/>
  <c r="E34" i="8"/>
  <c r="D35" i="8" l="1"/>
  <c r="E35" i="8"/>
  <c r="D36" i="8" l="1"/>
  <c r="E36" i="8"/>
  <c r="D37" i="8" l="1"/>
  <c r="E37" i="8"/>
  <c r="D38" i="8" l="1"/>
  <c r="E38" i="8"/>
  <c r="D39" i="8" l="1"/>
  <c r="E39" i="8"/>
  <c r="D40" i="8" l="1"/>
  <c r="E40" i="8"/>
  <c r="D41" i="8" l="1"/>
  <c r="E41" i="8"/>
  <c r="D42" i="8" l="1"/>
  <c r="E42" i="8"/>
  <c r="D43" i="8" l="1"/>
  <c r="E43" i="8"/>
  <c r="D44" i="8" l="1"/>
  <c r="E44" i="8"/>
  <c r="D45" i="8" l="1"/>
  <c r="E45" i="8"/>
  <c r="D46" i="8" l="1"/>
  <c r="E46" i="8"/>
  <c r="D47" i="8" l="1"/>
  <c r="E47" i="8"/>
  <c r="D48" i="8" l="1"/>
  <c r="E48" i="8"/>
  <c r="D49" i="8" l="1"/>
  <c r="E49" i="8"/>
  <c r="D50" i="8" l="1"/>
  <c r="E50" i="8"/>
  <c r="D51" i="8" l="1"/>
  <c r="E51" i="8"/>
  <c r="D52" i="8" l="1"/>
  <c r="E52" i="8"/>
  <c r="D53" i="8" l="1"/>
  <c r="E53" i="8"/>
  <c r="D54" i="8" l="1"/>
  <c r="E54" i="8"/>
  <c r="D55" i="8" l="1"/>
  <c r="E55" i="8"/>
  <c r="D56" i="8" l="1"/>
  <c r="E56" i="8"/>
  <c r="D57" i="8" l="1"/>
  <c r="E57" i="8"/>
  <c r="D58" i="8" l="1"/>
  <c r="E58" i="8"/>
  <c r="D59" i="8" l="1"/>
  <c r="E59" i="8"/>
  <c r="D60" i="8" l="1"/>
  <c r="E60" i="8"/>
  <c r="D61" i="8" l="1"/>
  <c r="E61" i="8"/>
  <c r="D62" i="8" l="1"/>
  <c r="E62" i="8"/>
  <c r="D63" i="8" l="1"/>
  <c r="E63" i="8"/>
  <c r="D64" i="8" l="1"/>
  <c r="E64" i="8"/>
  <c r="D65" i="8" l="1"/>
  <c r="E65" i="8"/>
  <c r="D66" i="8" l="1"/>
  <c r="E66" i="8"/>
  <c r="D67" i="8" l="1"/>
  <c r="E67" i="8"/>
  <c r="D68" i="8" l="1"/>
  <c r="E68" i="8"/>
  <c r="D69" i="8" l="1"/>
  <c r="E69" i="8"/>
  <c r="D70" i="8" l="1"/>
  <c r="E70" i="8"/>
  <c r="D71" i="8" l="1"/>
  <c r="E71" i="8"/>
  <c r="D72" i="8" l="1"/>
  <c r="E72" i="8"/>
  <c r="D73" i="8" l="1"/>
  <c r="E73" i="8"/>
  <c r="D74" i="8" l="1"/>
  <c r="E74" i="8"/>
  <c r="D75" i="8" l="1"/>
  <c r="E75" i="8"/>
  <c r="D76" i="8" l="1"/>
  <c r="E76" i="8"/>
  <c r="D77" i="8" l="1"/>
  <c r="E77" i="8"/>
  <c r="D78" i="8" l="1"/>
  <c r="E78" i="8"/>
  <c r="D79" i="8" l="1"/>
  <c r="E79" i="8"/>
  <c r="D80" i="8" l="1"/>
  <c r="E80" i="8"/>
  <c r="D81" i="8" l="1"/>
  <c r="E81" i="8"/>
  <c r="D82" i="8" l="1"/>
  <c r="E82" i="8"/>
  <c r="D83" i="8" l="1"/>
  <c r="E83" i="8"/>
  <c r="D84" i="8" l="1"/>
  <c r="E84" i="8"/>
  <c r="D85" i="8" l="1"/>
  <c r="E85" i="8"/>
  <c r="D86" i="8" l="1"/>
  <c r="E86" i="8"/>
  <c r="D87" i="8" l="1"/>
  <c r="E87" i="8"/>
  <c r="D88" i="8" l="1"/>
  <c r="E88" i="8"/>
  <c r="D89" i="8" l="1"/>
  <c r="E89" i="8"/>
  <c r="D90" i="8" l="1"/>
  <c r="E90" i="8"/>
  <c r="D91" i="8" l="1"/>
  <c r="E91" i="8"/>
  <c r="D92" i="8" l="1"/>
  <c r="E92" i="8"/>
  <c r="D93" i="8" l="1"/>
  <c r="E93" i="8"/>
  <c r="D94" i="8" l="1"/>
  <c r="E94" i="8"/>
  <c r="D95" i="8" l="1"/>
  <c r="E95" i="8"/>
  <c r="D96" i="8" l="1"/>
  <c r="E96" i="8"/>
  <c r="D97" i="8" l="1"/>
  <c r="E97" i="8"/>
  <c r="D98" i="8" l="1"/>
  <c r="E98" i="8"/>
  <c r="D99" i="8" l="1"/>
  <c r="E99" i="8"/>
  <c r="D100" i="8" l="1"/>
  <c r="E100" i="8"/>
  <c r="D101" i="8" l="1"/>
  <c r="E101" i="8"/>
  <c r="D102" i="8" l="1"/>
  <c r="E102" i="8"/>
  <c r="D103" i="8" l="1"/>
  <c r="E103" i="8"/>
  <c r="D104" i="8" l="1"/>
  <c r="E104" i="8"/>
  <c r="D105" i="8" l="1"/>
  <c r="E105" i="8"/>
  <c r="D106" i="8" l="1"/>
  <c r="E106" i="8"/>
  <c r="D107" i="8" l="1"/>
  <c r="E107" i="8"/>
  <c r="D108" i="8" l="1"/>
  <c r="E108" i="8"/>
  <c r="D109" i="8" l="1"/>
  <c r="E109" i="8"/>
  <c r="D110" i="8" l="1"/>
  <c r="E110" i="8"/>
  <c r="D111" i="8" l="1"/>
  <c r="E111" i="8"/>
  <c r="D112" i="8" l="1"/>
  <c r="E112" i="8"/>
  <c r="D113" i="8" l="1"/>
  <c r="E113" i="8"/>
  <c r="D114" i="8" l="1"/>
  <c r="E114" i="8"/>
  <c r="D115" i="8" l="1"/>
  <c r="E115" i="8"/>
  <c r="D116" i="8" l="1"/>
  <c r="E116" i="8"/>
  <c r="D117" i="8" l="1"/>
  <c r="E117" i="8"/>
  <c r="D118" i="8" l="1"/>
  <c r="E118" i="8"/>
  <c r="D119" i="8" l="1"/>
  <c r="E119" i="8"/>
  <c r="D120" i="8" l="1"/>
  <c r="E120" i="8"/>
  <c r="D121" i="8" l="1"/>
  <c r="E121" i="8"/>
  <c r="D122" i="8" l="1"/>
  <c r="E122" i="8"/>
  <c r="D123" i="8" l="1"/>
  <c r="E123" i="8"/>
  <c r="D124" i="8" l="1"/>
  <c r="E124" i="8"/>
  <c r="D125" i="8" l="1"/>
  <c r="E125" i="8"/>
  <c r="DN41" i="8" l="1"/>
  <c r="DN44" i="8" s="1"/>
  <c r="DP55" i="8" s="1"/>
  <c r="DP33" i="8"/>
  <c r="DP41" i="8" s="1"/>
  <c r="DP51" i="8"/>
  <c r="DO33" i="8"/>
  <c r="DO41" i="8" s="1"/>
  <c r="DQ51" i="8"/>
  <c r="DS51" i="8" l="1"/>
  <c r="DQ41" i="8"/>
  <c r="DQ44" i="8" s="1"/>
  <c r="DO44" i="8"/>
  <c r="DQ33" i="8"/>
  <c r="DQ36" i="8" s="1"/>
  <c r="DO36" i="8"/>
  <c r="DR51" i="8"/>
  <c r="BA2" i="20"/>
  <c r="AY2" i="20"/>
  <c r="BL2" i="20"/>
  <c r="DN56" i="8" l="1"/>
  <c r="DR44" i="8" s="1"/>
  <c r="DN55" i="8"/>
  <c r="CF2" i="20"/>
  <c r="CG2" i="20" s="1"/>
  <c r="CH2" i="20" s="1"/>
  <c r="BP2" i="20"/>
  <c r="BM2" i="20"/>
  <c r="BN2" i="20"/>
  <c r="BW2" i="20" l="1"/>
  <c r="CC2" i="20" s="1"/>
  <c r="BT2" i="20"/>
  <c r="BU2" i="20" s="1"/>
  <c r="BQ2" i="20"/>
  <c r="BO2" i="20"/>
  <c r="BS2" i="20"/>
  <c r="BX2" i="20" l="1"/>
  <c r="BV2" i="20"/>
  <c r="BY2" i="20"/>
  <c r="BZ2" i="20"/>
  <c r="CA2" i="20" s="1"/>
  <c r="CI2" i="20"/>
  <c r="CJ2" i="20"/>
  <c r="CD2" i="20" l="1"/>
  <c r="CB2" i="20"/>
  <c r="CJ2" i="3" l="1"/>
  <c r="CK2" i="3"/>
  <c r="CI2" i="3"/>
  <c r="FN2" i="3" l="1"/>
  <c r="CA2" i="3"/>
  <c r="DF2" i="3"/>
  <c r="DB2" i="3"/>
  <c r="FM2" i="3"/>
  <c r="CR2" i="3"/>
  <c r="FP2" i="3"/>
  <c r="CV2" i="3" l="1"/>
  <c r="DC2" i="3"/>
  <c r="DO2" i="3" s="1"/>
  <c r="EO2" i="3"/>
  <c r="EX2" i="3" s="1"/>
  <c r="FE2" i="3" s="1"/>
  <c r="FK2" i="3" s="1"/>
  <c r="CB2" i="3"/>
  <c r="CC2" i="3"/>
  <c r="CE2" i="3" s="1"/>
  <c r="DE2" i="3"/>
  <c r="DD2" i="3" l="1"/>
  <c r="EK2" i="3" s="1"/>
  <c r="EQ2" i="3"/>
  <c r="DM2" i="3" l="1"/>
  <c r="ER2" i="3"/>
  <c r="ET2" i="3"/>
  <c r="EN2" i="3"/>
  <c r="EU2" i="3"/>
  <c r="EP2" i="3"/>
  <c r="FO2" i="3"/>
  <c r="FQ2" i="3" s="1"/>
  <c r="DN2" i="3"/>
  <c r="DV2" i="3" l="1"/>
  <c r="DT2" i="3"/>
  <c r="DR2" i="3"/>
  <c r="DS2" i="3"/>
  <c r="DU2" i="3"/>
  <c r="FA2" i="3"/>
  <c r="FG2" i="3" s="1"/>
  <c r="EW2" i="3"/>
  <c r="EY2" i="3"/>
  <c r="DQ2" i="3"/>
  <c r="FV2" i="3"/>
  <c r="FW2" i="3"/>
  <c r="FX2" i="3"/>
  <c r="FD2" i="3" l="1"/>
  <c r="FF2" i="3"/>
  <c r="FJ2" i="3"/>
  <c r="FL2" i="3"/>
  <c r="FY2" i="3"/>
  <c r="FZ2" i="3"/>
  <c r="CJ2" i="19"/>
  <c r="CK2" i="19"/>
  <c r="CI2" i="19"/>
  <c r="FN2" i="19" l="1"/>
  <c r="CA2" i="19"/>
  <c r="FP2" i="19"/>
  <c r="CR2" i="19"/>
  <c r="DB2" i="19"/>
  <c r="FM2" i="19"/>
  <c r="DF2" i="19"/>
  <c r="CV2" i="19" l="1"/>
  <c r="EO2" i="19"/>
  <c r="EX2" i="19" s="1"/>
  <c r="FE2" i="19" s="1"/>
  <c r="FK2" i="19" s="1"/>
  <c r="DC2" i="19"/>
  <c r="CB2" i="19"/>
  <c r="CC2" i="19"/>
  <c r="CE2" i="19" s="1"/>
  <c r="DE2" i="19"/>
  <c r="DO2" i="19" l="1"/>
  <c r="DD2" i="19"/>
  <c r="EQ2" i="19" s="1"/>
  <c r="EK2" i="19" l="1"/>
  <c r="DM2" i="19"/>
  <c r="FO2" i="19" s="1"/>
  <c r="FQ2" i="19" s="1"/>
  <c r="ER2" i="19"/>
  <c r="ET2" i="19"/>
  <c r="EP2" i="19"/>
  <c r="EN2" i="19"/>
  <c r="EU2" i="19"/>
  <c r="DN2" i="19" l="1"/>
  <c r="DT2" i="19"/>
  <c r="DV2" i="19"/>
  <c r="DU2" i="19"/>
  <c r="DS2" i="19"/>
  <c r="DR2" i="19"/>
  <c r="EW2" i="19"/>
  <c r="EY2" i="19"/>
  <c r="FA2" i="19"/>
  <c r="DQ2" i="19"/>
  <c r="FW2" i="19"/>
  <c r="FV2" i="19"/>
  <c r="FX2" i="19"/>
  <c r="FF2" i="19" l="1"/>
  <c r="FD2" i="19"/>
  <c r="FY2" i="19"/>
  <c r="FZ2" i="19"/>
  <c r="FG2" i="19"/>
  <c r="FL2" i="19" l="1"/>
  <c r="FJ2" i="19"/>
</calcChain>
</file>

<file path=xl/sharedStrings.xml><?xml version="1.0" encoding="utf-8"?>
<sst xmlns="http://schemas.openxmlformats.org/spreadsheetml/2006/main" count="8049" uniqueCount="809">
  <si>
    <t>BEN_CHNG_IND</t>
  </si>
  <si>
    <t>Months Certain Remaining at DOPT</t>
  </si>
  <si>
    <t>4022c:</t>
  </si>
  <si>
    <t>Participant's Health Status</t>
  </si>
  <si>
    <t>Liability Weighted Age Nearest Birthday</t>
  </si>
  <si>
    <t>Present Value of Termination Benefit Without QPSA and Load</t>
  </si>
  <si>
    <t>(2)</t>
  </si>
  <si>
    <t>PA_ACOMP</t>
  </si>
  <si>
    <t>Participant's Age Nearest Birthday at XRD</t>
  </si>
  <si>
    <t>SDOD</t>
  </si>
  <si>
    <t>Participant's Date of Death</t>
  </si>
  <si>
    <t>PBGC_OPT_10CC</t>
  </si>
  <si>
    <t>ERF_ERD</t>
  </si>
  <si>
    <t>PBGC_OPT_SLA</t>
  </si>
  <si>
    <t>PBGC_OPT_JS100</t>
  </si>
  <si>
    <t>DOTE</t>
  </si>
  <si>
    <t>Survivor Percentage for Actual Retirement Form of Annuity</t>
  </si>
  <si>
    <t>Months Late</t>
  </si>
  <si>
    <t>N284</t>
  </si>
  <si>
    <t>PVMB_4022C_QPSA</t>
  </si>
  <si>
    <t>Probability of Death Between DOPT and XRD</t>
  </si>
  <si>
    <t>PVF_LEV_ANN</t>
  </si>
  <si>
    <t>PV of Termination Benefit in Plan Normal Single Form Using PBGC Optional Forms Assumptions</t>
  </si>
  <si>
    <t>Vesting Service</t>
  </si>
  <si>
    <t>PBL_LOAD</t>
  </si>
  <si>
    <t>N292</t>
  </si>
  <si>
    <t>Total</t>
  </si>
  <si>
    <t>Participant's Expected Retirement Date</t>
  </si>
  <si>
    <t>CALCULATION</t>
  </si>
  <si>
    <t>(5)</t>
  </si>
  <si>
    <t>EURD_MB_4022C_NSF</t>
  </si>
  <si>
    <t>LRF_ERD</t>
  </si>
  <si>
    <t>N005</t>
  </si>
  <si>
    <t>Termination Monthly Benefit in the Normal Single Form</t>
  </si>
  <si>
    <t>ME_ERD_MAXLIM</t>
  </si>
  <si>
    <t>EAGELEV</t>
  </si>
  <si>
    <t>BFCF_NRD_MAXLIM</t>
  </si>
  <si>
    <t>N293</t>
  </si>
  <si>
    <t>ERF</t>
  </si>
  <si>
    <t>(3)</t>
  </si>
  <si>
    <t>Termination Monthly Benefit at ARD</t>
  </si>
  <si>
    <t>Survivor Percentage for Normal Single Form of Annuity</t>
  </si>
  <si>
    <t>N006</t>
  </si>
  <si>
    <t>PBGC BFCF Rates</t>
  </si>
  <si>
    <t>DOR I/O/B</t>
  </si>
  <si>
    <t>ARD_MB_4022C</t>
  </si>
  <si>
    <t>NRD_MB_4022C_NSF</t>
  </si>
  <si>
    <t>Annuity Present Value Factor</t>
  </si>
  <si>
    <t>BNNFA_PVMB</t>
  </si>
  <si>
    <t>DOR Field name</t>
  </si>
  <si>
    <t>Number of Annuity Type Participants x $200:</t>
  </si>
  <si>
    <t>BDERDLEV</t>
  </si>
  <si>
    <t>Lump Sum</t>
  </si>
  <si>
    <t>End Date for Earliest Retirement Benefit</t>
  </si>
  <si>
    <t>MTHSNMF</t>
  </si>
  <si>
    <t>EURA_XRA</t>
  </si>
  <si>
    <t>MTHS_ARD</t>
  </si>
  <si>
    <t>N294</t>
  </si>
  <si>
    <t>Liability Weighted Expected Retirement Age</t>
  </si>
  <si>
    <t>5</t>
  </si>
  <si>
    <t>Present Value of Termination QPSA  Benefit</t>
  </si>
  <si>
    <t>QPSA Present Value Factor</t>
  </si>
  <si>
    <t>Months Early at XRD</t>
  </si>
  <si>
    <t>Late Retirement Factor at XRD</t>
  </si>
  <si>
    <t>VB</t>
  </si>
  <si>
    <t>TERM_MB_NSF</t>
  </si>
  <si>
    <t>BFCF_XRD</t>
  </si>
  <si>
    <t>CALC_INDICATOR</t>
  </si>
  <si>
    <t>ME_NRD_MAXLIM</t>
  </si>
  <si>
    <t>SPARR:</t>
  </si>
  <si>
    <t>Final Assets:</t>
  </si>
  <si>
    <t>(6)</t>
  </si>
  <si>
    <t>SAGELEV</t>
  </si>
  <si>
    <t>Title IV PV:</t>
  </si>
  <si>
    <t>Months Early for Max at XRD</t>
  </si>
  <si>
    <t>VAL_SDOB</t>
  </si>
  <si>
    <t>XRD I/O/B</t>
  </si>
  <si>
    <t>NRD Field name</t>
  </si>
  <si>
    <t>LRF_EURD</t>
  </si>
  <si>
    <t>Participant's Last Name</t>
  </si>
  <si>
    <t>N295</t>
  </si>
  <si>
    <t>Ratio of Benefit Form Conversion Factors for Lump Sum Calculation</t>
  </si>
  <si>
    <t>Present Value of Plan Benefit Liability Including Load</t>
  </si>
  <si>
    <t>UGB (A - B):</t>
  </si>
  <si>
    <t>ERF_ARD</t>
  </si>
  <si>
    <t>N008</t>
  </si>
  <si>
    <t>**</t>
  </si>
  <si>
    <t>LNAME</t>
  </si>
  <si>
    <t>Plan Administrator Accrued Monthly Benefit</t>
  </si>
  <si>
    <t>PBGC Optional J&amp;50%S Popup Benefit Amount</t>
  </si>
  <si>
    <t>(4)</t>
  </si>
  <si>
    <t>Late Retirement Factor</t>
  </si>
  <si>
    <t>D</t>
  </si>
  <si>
    <t>BL</t>
  </si>
  <si>
    <t>ERF_EURD_MAXLIM</t>
  </si>
  <si>
    <t>(9)</t>
  </si>
  <si>
    <t>SJSWC</t>
  </si>
  <si>
    <t>LRF_ARD</t>
  </si>
  <si>
    <t>Survivor Percentage for Normal Married Form of Annuity</t>
  </si>
  <si>
    <t>XRD Field name</t>
  </si>
  <si>
    <t>TERM_MB_ERD_NSF</t>
  </si>
  <si>
    <t>E</t>
  </si>
  <si>
    <t>QPSA Indicator</t>
  </si>
  <si>
    <t>Eligibility for Early Unreduced Benefits Indicator</t>
  </si>
  <si>
    <t>NRD I/O/B</t>
  </si>
  <si>
    <t>MSTAT</t>
  </si>
  <si>
    <t>MAXLIM_ERD</t>
  </si>
  <si>
    <t>(7)</t>
  </si>
  <si>
    <t>MTHSREM_DEATH</t>
  </si>
  <si>
    <t>120</t>
  </si>
  <si>
    <t>TEMP012</t>
  </si>
  <si>
    <t>DOH</t>
  </si>
  <si>
    <t>RETTYP</t>
  </si>
  <si>
    <t>PBGC_OPT_PV_NMF</t>
  </si>
  <si>
    <t>Reason for Benefit Change</t>
  </si>
  <si>
    <t>Date Participant Completes Participation Requirements</t>
  </si>
  <si>
    <t>F</t>
  </si>
  <si>
    <t>I/O/B</t>
  </si>
  <si>
    <t>ME_XRD</t>
  </si>
  <si>
    <t>VS</t>
  </si>
  <si>
    <t>Vesting Percentage at DOPT</t>
  </si>
  <si>
    <t>TERM_LOAD</t>
  </si>
  <si>
    <t>TEMP013</t>
  </si>
  <si>
    <t>N285</t>
  </si>
  <si>
    <t>UNGB:</t>
  </si>
  <si>
    <t>Alternate Payees</t>
  </si>
  <si>
    <t>BFCF_RATIO_LS</t>
  </si>
  <si>
    <t>PVMB_TERM_NO_Q_NO_L</t>
  </si>
  <si>
    <t>Normal Retirement Date</t>
  </si>
  <si>
    <t>Initial Annuity Interest Rate:</t>
  </si>
  <si>
    <t>G</t>
  </si>
  <si>
    <t>N019</t>
  </si>
  <si>
    <t>PC3_VP</t>
  </si>
  <si>
    <t>FORM_CODE_ARD</t>
  </si>
  <si>
    <t>Form of Annuity for ARD Benefit</t>
  </si>
  <si>
    <t>Beneficiary's Date of Death</t>
  </si>
  <si>
    <t>Active Vesteds</t>
  </si>
  <si>
    <t>TEMP014</t>
  </si>
  <si>
    <t>N286</t>
  </si>
  <si>
    <t>Participant's Expected Retirement Age</t>
  </si>
  <si>
    <t>U</t>
  </si>
  <si>
    <t>Lump Sum Present Value Factor for QPSA Benefit</t>
  </si>
  <si>
    <t>Beneficiaries</t>
  </si>
  <si>
    <t>Term_LW_XRA</t>
  </si>
  <si>
    <t>SFNAME</t>
  </si>
  <si>
    <t>Participant's Social Security Number</t>
  </si>
  <si>
    <t>(8)</t>
  </si>
  <si>
    <t>1991</t>
  </si>
  <si>
    <t>Early Retirement Factor at XRD</t>
  </si>
  <si>
    <t>ANB_ERD</t>
  </si>
  <si>
    <t>LOAD_PCT</t>
  </si>
  <si>
    <t>TERM_MB_ARD</t>
  </si>
  <si>
    <t>SXRA</t>
  </si>
  <si>
    <t>Benefit Form Conversion Factor Table 10C&amp;C to J&amp;100%S</t>
  </si>
  <si>
    <t>Excess of PVPBL over $200,000:</t>
  </si>
  <si>
    <t>ML_ARD_MAXLIM</t>
  </si>
  <si>
    <t>NON_SPOUSE_BENF</t>
  </si>
  <si>
    <t>TEMP015</t>
  </si>
  <si>
    <t>N287</t>
  </si>
  <si>
    <t>Benefit Recalculation Indicator</t>
  </si>
  <si>
    <t>V</t>
  </si>
  <si>
    <t>Term PV (A + G):</t>
  </si>
  <si>
    <t>MTHSREM</t>
  </si>
  <si>
    <t>SPCNMF</t>
  </si>
  <si>
    <t>PSEX</t>
  </si>
  <si>
    <t>4022(c) Benefit at XRD</t>
  </si>
  <si>
    <t>ME_EURD_MAXLIM</t>
  </si>
  <si>
    <t>S001</t>
  </si>
  <si>
    <t>SSN</t>
  </si>
  <si>
    <t>TERM_SURV_MB_NRD</t>
  </si>
  <si>
    <t>Benefit Level for XRA</t>
  </si>
  <si>
    <t>MAXLIM_ARD</t>
  </si>
  <si>
    <t>PBGC_OPT_JSPOPUP</t>
  </si>
  <si>
    <t>PVMB_TITLE_IV_NO_Q_NO_L</t>
  </si>
  <si>
    <t>IMM</t>
  </si>
  <si>
    <t>Vested Benefit Calculations: BR to BS</t>
  </si>
  <si>
    <t>N288</t>
  </si>
  <si>
    <t>Annuity_Criteria</t>
  </si>
  <si>
    <t>Normal Married Form of Annuity</t>
  </si>
  <si>
    <t>Retirees</t>
  </si>
  <si>
    <t>S002</t>
  </si>
  <si>
    <t>RETRO_EURD_IND</t>
  </si>
  <si>
    <t>Months Late at XRD From NRD</t>
  </si>
  <si>
    <t>BSSN</t>
  </si>
  <si>
    <t>N296</t>
  </si>
  <si>
    <t>Flat Rate (5% of the first $200,000 of PVPBL):</t>
  </si>
  <si>
    <t>BR_IND</t>
  </si>
  <si>
    <t>ML_XRD_MAXLIM</t>
  </si>
  <si>
    <t>S010</t>
  </si>
  <si>
    <t>N009</t>
  </si>
  <si>
    <t>Spouse's Date of Death</t>
  </si>
  <si>
    <t>ARD_PMB</t>
  </si>
  <si>
    <t>LOAD_4022C</t>
  </si>
  <si>
    <t>Months Certain for Normal Married Form of Annuity</t>
  </si>
  <si>
    <t>Present Value of Title IV Benefit Without QPSA and Load</t>
  </si>
  <si>
    <t>PVPBL_ANN_RATES_QPSA</t>
  </si>
  <si>
    <t>Spouse's Gender</t>
  </si>
  <si>
    <t>With Load</t>
  </si>
  <si>
    <t>Vested Monthly Benefit at DOPT</t>
  </si>
  <si>
    <t>XRA</t>
  </si>
  <si>
    <t>Months Certain for Actual Retirement Form of Annuity</t>
  </si>
  <si>
    <t>MTHSNSF</t>
  </si>
  <si>
    <t>PVF_QPSA_LS</t>
  </si>
  <si>
    <t>N297</t>
  </si>
  <si>
    <t>Lump Sum Option</t>
  </si>
  <si>
    <t>&lt;===</t>
  </si>
  <si>
    <t>LRF_EURD_MAXLIM</t>
  </si>
  <si>
    <t>S011</t>
  </si>
  <si>
    <t>PVMB_4022C_NO_LOAD</t>
  </si>
  <si>
    <t>TERM_MB_POPUP</t>
  </si>
  <si>
    <t>SPCNSF</t>
  </si>
  <si>
    <t>PBGC Early Retirement Factor</t>
  </si>
  <si>
    <t>Calculation of XRD Benefit: FM to GD</t>
  </si>
  <si>
    <t>FORMULAS</t>
  </si>
  <si>
    <t>Basic UNGB at XRD</t>
  </si>
  <si>
    <t>Load Percentage (10) / (3) (Formula):</t>
  </si>
  <si>
    <t>Present  Value</t>
  </si>
  <si>
    <t>N298</t>
  </si>
  <si>
    <t>9</t>
  </si>
  <si>
    <t>PC3_VB</t>
  </si>
  <si>
    <t>Load Percentage</t>
  </si>
  <si>
    <t>PV of Termination Benefit in Plan Normal Married Form Using PBGC Optional Forms Assumptions</t>
  </si>
  <si>
    <t>S012</t>
  </si>
  <si>
    <t>Interest Rates</t>
  </si>
  <si>
    <t>PBGC Optional SLA Benefit Amount</t>
  </si>
  <si>
    <t>Beneficiary's Social Security Number</t>
  </si>
  <si>
    <t>Beneficiary_Criteria</t>
  </si>
  <si>
    <t>On or After</t>
  </si>
  <si>
    <t>Non-Spouse Beneficiay Indicator</t>
  </si>
  <si>
    <t>BFCF_NRD</t>
  </si>
  <si>
    <t>SSSN</t>
  </si>
  <si>
    <t>Surivor Percentage for XRD Form of Annuity</t>
  </si>
  <si>
    <t>Months Certain for Normal Single Form of Annuity</t>
  </si>
  <si>
    <t>PAY_AMT1</t>
  </si>
  <si>
    <t>SPC_ARD</t>
  </si>
  <si>
    <t>Vesting Table</t>
  </si>
  <si>
    <t>N299</t>
  </si>
  <si>
    <t>ERF_ERD_MAXLIM</t>
  </si>
  <si>
    <t>ERF for Max at XRD</t>
  </si>
  <si>
    <t>SERV_PROJ_NRD</t>
  </si>
  <si>
    <t>18th Birthday</t>
  </si>
  <si>
    <t>Calculation of Expected Retirement Age, Date, and Form of Annuity: EX to FL</t>
  </si>
  <si>
    <t>ERD_MB_TITLE_IV_NSF</t>
  </si>
  <si>
    <t>S013</t>
  </si>
  <si>
    <t>Count</t>
  </si>
  <si>
    <t>TITLE_IV_LOAD</t>
  </si>
  <si>
    <t>Benefit Form Conversion Factor Table 10C&amp;C to J&amp;50%S Popup</t>
  </si>
  <si>
    <t>CSPA</t>
  </si>
  <si>
    <t>Benefit Form Conversion Factor at XRD</t>
  </si>
  <si>
    <t>T001</t>
  </si>
  <si>
    <t>Lump Sum Amount</t>
  </si>
  <si>
    <t>H</t>
  </si>
  <si>
    <t>XRD</t>
  </si>
  <si>
    <t>PAY_AMT2</t>
  </si>
  <si>
    <t>NRD Calculation: AA to AB</t>
  </si>
  <si>
    <t>TERM_LW_ANB</t>
  </si>
  <si>
    <t>DOPT-3</t>
  </si>
  <si>
    <t>BFCF_EURD</t>
  </si>
  <si>
    <t>ERF_XRD</t>
  </si>
  <si>
    <t>XRD_MB_TERM</t>
  </si>
  <si>
    <t>Title IV Monthly Benefit at XRD</t>
  </si>
  <si>
    <t>PL_EURD</t>
  </si>
  <si>
    <t>Beneficiary's Last Name</t>
  </si>
  <si>
    <t>Type of Retirement</t>
  </si>
  <si>
    <t>Present Value of Termination Benefit Without Load</t>
  </si>
  <si>
    <t>Date of Hire</t>
  </si>
  <si>
    <t>XRD_MB_4022C</t>
  </si>
  <si>
    <t>Spouse's Last Name</t>
  </si>
  <si>
    <t>Form of Annuity for XRD Benefit</t>
  </si>
  <si>
    <t>I</t>
  </si>
  <si>
    <t>Earliest Retirement Date for Payment Purposes</t>
  </si>
  <si>
    <t>PBGC_OPT_PV_NSF</t>
  </si>
  <si>
    <t>Rates</t>
  </si>
  <si>
    <t>LSOPTION</t>
  </si>
  <si>
    <t>TEMP008</t>
  </si>
  <si>
    <t>ERF_NRD_MAXLIM</t>
  </si>
  <si>
    <t>Months Early</t>
  </si>
  <si>
    <t>Status For Payment Purposes</t>
  </si>
  <si>
    <t>VBNF</t>
  </si>
  <si>
    <t>Early Retirement Factor Table</t>
  </si>
  <si>
    <t>Average</t>
  </si>
  <si>
    <t>Participant's Date of Birth</t>
  </si>
  <si>
    <t>PC3_ACOMP</t>
  </si>
  <si>
    <t>SANB_XRD</t>
  </si>
  <si>
    <t>TERM_MB_EURD_NSF</t>
  </si>
  <si>
    <t>XRD Termination Monthly Benefit for Lump Sum Calculation</t>
  </si>
  <si>
    <t>TEMP016</t>
  </si>
  <si>
    <t>EDERDLEV</t>
  </si>
  <si>
    <t>BFCF_EURD_MAXLIM</t>
  </si>
  <si>
    <t>Without Load</t>
  </si>
  <si>
    <t>PVMB_4022C_NO_Q_NO_L</t>
  </si>
  <si>
    <t>PC3_VS</t>
  </si>
  <si>
    <t>Beneficiary's Date of Birth for the Valuation</t>
  </si>
  <si>
    <t>D001</t>
  </si>
  <si>
    <t>Present Value of Title IV QPSA Benefit</t>
  </si>
  <si>
    <t>BFCF_XRD_MAXLIM</t>
  </si>
  <si>
    <t>SubTotal ($200 per participant + flat rate):</t>
  </si>
  <si>
    <t>Calculated Credited Service at DOPT</t>
  </si>
  <si>
    <t>PBGC_OPT_JS50</t>
  </si>
  <si>
    <t>Participant_Criteria</t>
  </si>
  <si>
    <t>TEMP017</t>
  </si>
  <si>
    <t>N289</t>
  </si>
  <si>
    <t>BFNAME</t>
  </si>
  <si>
    <t>PHS</t>
  </si>
  <si>
    <t>PC6_TOTAL_PV</t>
  </si>
  <si>
    <t>** $13.00 rate effective 04/01/1989 applied retroactively</t>
  </si>
  <si>
    <t>C1.CUSNUM</t>
  </si>
  <si>
    <t xml:space="preserve">to terminations &amp; retirements after 04/01/1987    </t>
  </si>
  <si>
    <t>S003</t>
  </si>
  <si>
    <t>Earliest Unreduced Retirement Age as of DOPT for XRA Determination</t>
  </si>
  <si>
    <t>Date of Retirement</t>
  </si>
  <si>
    <t>Present Value of 4022c Benefit Without Load</t>
  </si>
  <si>
    <t>D002</t>
  </si>
  <si>
    <t>PBGC Late Retirement Factor</t>
  </si>
  <si>
    <t>FNAME</t>
  </si>
  <si>
    <t>Termination Monthly Benefit Payable to Surviving Spouse at XRD</t>
  </si>
  <si>
    <t>Present Value of Plan Benefit Liability Without QPSA and Load</t>
  </si>
  <si>
    <t>Lump Sum Rates</t>
  </si>
  <si>
    <t>4022(c) Paragraphs for Benefits in Pay</t>
  </si>
  <si>
    <t>Surivor Percentage for ARD Form of Annuity</t>
  </si>
  <si>
    <t>TEMP018</t>
  </si>
  <si>
    <t>PC3_PROJ_NRD_BEN</t>
  </si>
  <si>
    <t>MAXLIM_DOPT</t>
  </si>
  <si>
    <t>PVPBL_ANN_RATES_NO_LOAD</t>
  </si>
  <si>
    <t>ME_XRD_MAXLIM</t>
  </si>
  <si>
    <t>Date of Participation Calculation: T to X</t>
  </si>
  <si>
    <t>Load for Title IV Liability</t>
  </si>
  <si>
    <t>S004</t>
  </si>
  <si>
    <t>PROB_DEATH</t>
  </si>
  <si>
    <t>DORNSF Field name</t>
  </si>
  <si>
    <t>LS_QPSA</t>
  </si>
  <si>
    <t>PC5_4022C_AR</t>
  </si>
  <si>
    <t>QPSA_INDICATOR</t>
  </si>
  <si>
    <t>SNRA</t>
  </si>
  <si>
    <t>(11)</t>
  </si>
  <si>
    <t>EURD Field name</t>
  </si>
  <si>
    <t>Spouse's Social Security Number</t>
  </si>
  <si>
    <t>MAXLIM_EURD</t>
  </si>
  <si>
    <t>End Date for Earliest Unreduced Retirement Benefit</t>
  </si>
  <si>
    <t>S005</t>
  </si>
  <si>
    <t>ENTER CELL CW11</t>
  </si>
  <si>
    <t>Months Certain for XRD Form of Annuity</t>
  </si>
  <si>
    <t>ML_ERD</t>
  </si>
  <si>
    <t>Plan's Earliest Unreduced Retirement Date at DOPT</t>
  </si>
  <si>
    <t>Load for Termination Benefit Liability</t>
  </si>
  <si>
    <t>Spouse's First Name</t>
  </si>
  <si>
    <t>BNNFA_LOAD</t>
  </si>
  <si>
    <t>BFCF for Max at XRD</t>
  </si>
  <si>
    <t>PBGC Optional 15C&amp;C Benefit Amount</t>
  </si>
  <si>
    <t>REASON</t>
  </si>
  <si>
    <t>OFA_INDICATOR</t>
  </si>
  <si>
    <t>AEQ</t>
  </si>
  <si>
    <t>Separated Vesteds</t>
  </si>
  <si>
    <t>CS</t>
  </si>
  <si>
    <t>Actual Retirement Form of Annuity</t>
  </si>
  <si>
    <t>Participant's First Name</t>
  </si>
  <si>
    <t>S006</t>
  </si>
  <si>
    <t>Title IV:</t>
  </si>
  <si>
    <t>MAXLIM_XRD</t>
  </si>
  <si>
    <t>SBCD</t>
  </si>
  <si>
    <t>SANB_EURD</t>
  </si>
  <si>
    <t>ANNUITY_TYPE</t>
  </si>
  <si>
    <t>BFCF_ARD_MAXLIM</t>
  </si>
  <si>
    <t>BNNFA_PVMB_NO_LOAD</t>
  </si>
  <si>
    <t>.</t>
  </si>
  <si>
    <t>S014</t>
  </si>
  <si>
    <t>EURD_MB_TITLE_IV_NSF</t>
  </si>
  <si>
    <t>Months Remaining in Certain Period After Participant's Death</t>
  </si>
  <si>
    <t>BS_IND</t>
  </si>
  <si>
    <t>Calculated Date of Participation</t>
  </si>
  <si>
    <t>N300</t>
  </si>
  <si>
    <t>XRD_MB_TITLE_IV</t>
  </si>
  <si>
    <t>BSEX</t>
  </si>
  <si>
    <t>Accrued Monthly Benefit at DOPT</t>
  </si>
  <si>
    <t>NRA</t>
  </si>
  <si>
    <t>PL_ERD</t>
  </si>
  <si>
    <t>LRF_XRD</t>
  </si>
  <si>
    <t>Earliest Unreduced Retirement Date for Payment Purposes</t>
  </si>
  <si>
    <t>Present Value of Termination Benefit Including Load</t>
  </si>
  <si>
    <t>Normal Single Form of Annuity</t>
  </si>
  <si>
    <t>TERM_SURV_MB_ERD</t>
  </si>
  <si>
    <t>Spouse J&amp;S Waiver Code</t>
  </si>
  <si>
    <t>Present Value of Plan Benefit Liability Without Load</t>
  </si>
  <si>
    <t>Earliest_Payment_Date</t>
  </si>
  <si>
    <t>4022c: (D x F):</t>
  </si>
  <si>
    <t>ME_ARD_MAXLIM</t>
  </si>
  <si>
    <t>Vesting Percent</t>
  </si>
  <si>
    <t>TERM_MB_NRD_NSF</t>
  </si>
  <si>
    <t>TEMP009</t>
  </si>
  <si>
    <t>Load Percentage (Fixed)</t>
  </si>
  <si>
    <t>(10)</t>
  </si>
  <si>
    <t>TERM_SURV_MB_EURD</t>
  </si>
  <si>
    <t>0</t>
  </si>
  <si>
    <t>PVMB_4022C</t>
  </si>
  <si>
    <t>PBGC MAX</t>
  </si>
  <si>
    <t>Beneficiary Benefit Commencement Date</t>
  </si>
  <si>
    <t>ME_ERD</t>
  </si>
  <si>
    <t>ANB_EURD</t>
  </si>
  <si>
    <t>Marital Status</t>
  </si>
  <si>
    <t>Beneficiary's Age Nearest Birthday at DOPT</t>
  </si>
  <si>
    <t>BS_PARAGRAPH_1</t>
  </si>
  <si>
    <t>ANB_XRD</t>
  </si>
  <si>
    <t>PA_AMB</t>
  </si>
  <si>
    <t>ML_ARD</t>
  </si>
  <si>
    <t>Deferred Beneficiaries</t>
  </si>
  <si>
    <t>C1.ID</t>
  </si>
  <si>
    <t>All_Criteria</t>
  </si>
  <si>
    <t>Total PVPBL (no load) for Annuity Type Participants:</t>
  </si>
  <si>
    <t>SSEX</t>
  </si>
  <si>
    <t>OFA Output Indicator</t>
  </si>
  <si>
    <t>PVMB_TITLE_IV</t>
  </si>
  <si>
    <t>Months Certain for ARD Form of Annuity</t>
  </si>
  <si>
    <t>Survivor Benefit from PBGC Optional J&amp;50% Benefit Amount</t>
  </si>
  <si>
    <t>PVMB_TERM_QPSA</t>
  </si>
  <si>
    <t>MTHS</t>
  </si>
  <si>
    <t>DORNSF I/O/B</t>
  </si>
  <si>
    <t>D003</t>
  </si>
  <si>
    <t>NRD</t>
  </si>
  <si>
    <t>ANNUITY_STATUS_PAY</t>
  </si>
  <si>
    <t>Ending Age for XRD Benefit</t>
  </si>
  <si>
    <t>ANNUITY_STATUS_VAL</t>
  </si>
  <si>
    <t>PBGC Optional J&amp;75%S Benefit Amount</t>
  </si>
  <si>
    <t>NA</t>
  </si>
  <si>
    <t>ERD Field name</t>
  </si>
  <si>
    <t>M</t>
  </si>
  <si>
    <t>Year of Termination</t>
  </si>
  <si>
    <t>PRSAC</t>
  </si>
  <si>
    <t>BFCF_ERD</t>
  </si>
  <si>
    <t>Beneficiary's First Name</t>
  </si>
  <si>
    <t>ARD_MB_TITLE_IV</t>
  </si>
  <si>
    <t>D004</t>
  </si>
  <si>
    <t>Pre-Retirement Annuity Waiver Code</t>
  </si>
  <si>
    <t>Load</t>
  </si>
  <si>
    <t>Date of Death</t>
  </si>
  <si>
    <t>SLNAME</t>
  </si>
  <si>
    <t>Calculation of Liabilities: GE to HP</t>
  </si>
  <si>
    <t>Vesting Service Calculations: BM to BO</t>
  </si>
  <si>
    <t>PBGC Optional J&amp;100%S Benefit Amount</t>
  </si>
  <si>
    <t>DOP</t>
  </si>
  <si>
    <t>BDOB</t>
  </si>
  <si>
    <t>TERM_SURV_MB_ARD</t>
  </si>
  <si>
    <t>FORM_CODE_DEATH</t>
  </si>
  <si>
    <t>Present Value of Total 4022c Benefit Including Load</t>
  </si>
  <si>
    <t>PBGC_OFA_COMMENTS</t>
  </si>
  <si>
    <t>N020</t>
  </si>
  <si>
    <t>1% + (Initial Annuity Interest Rate - 7.5%)/10:</t>
  </si>
  <si>
    <t>PRESENT VALUE TOTALS</t>
  </si>
  <si>
    <t>AMB</t>
  </si>
  <si>
    <t>Present Value of 4022c Benefit Without QPSA and Load</t>
  </si>
  <si>
    <t>N</t>
  </si>
  <si>
    <t>Participant Age</t>
  </si>
  <si>
    <t>Load for Unfunded Non-Guaranteed Benefit Liability</t>
  </si>
  <si>
    <t>D005</t>
  </si>
  <si>
    <t>Date of Termination of Employment</t>
  </si>
  <si>
    <t>PC6_LSDB_PVMB</t>
  </si>
  <si>
    <t>Factor</t>
  </si>
  <si>
    <t>Credited Service Calculations: AC to AG</t>
  </si>
  <si>
    <t>Present Value</t>
  </si>
  <si>
    <t>PBGC_OPT_JS75</t>
  </si>
  <si>
    <t>Starting Age for XRD Benefit</t>
  </si>
  <si>
    <t>Spouse's Date of Birth</t>
  </si>
  <si>
    <t>ME_ARD</t>
  </si>
  <si>
    <t>Annuity Rates</t>
  </si>
  <si>
    <t>Survivor Benefit from PBGC Optional J&amp;75% Benefit Amount</t>
  </si>
  <si>
    <t>O</t>
  </si>
  <si>
    <t>Lump Sum Value for QPSA Benefit</t>
  </si>
  <si>
    <t>Total 4022(c) Assets</t>
  </si>
  <si>
    <t>S007</t>
  </si>
  <si>
    <t>FIELDS</t>
  </si>
  <si>
    <t>Beneficiary's Gender</t>
  </si>
  <si>
    <t>Vesting Percentage Calculations: BP to BQ</t>
  </si>
  <si>
    <t>Present Value of Unfunded Non-Guaranteed Benefit Without Load</t>
  </si>
  <si>
    <t>PBGC_OPT_5CC</t>
  </si>
  <si>
    <t>Plan Administrator Date of Participation</t>
  </si>
  <si>
    <t>TERM_LW_XRA</t>
  </si>
  <si>
    <t>Age Nearest Birthday at DOPT</t>
  </si>
  <si>
    <t>S008</t>
  </si>
  <si>
    <t>Benefit in Elected PBGC Optional Form of Annuity</t>
  </si>
  <si>
    <t>SDOB</t>
  </si>
  <si>
    <t>PROJ_NRD_BEN</t>
  </si>
  <si>
    <t>ANB</t>
  </si>
  <si>
    <t>Load for Plan Benefit Liability</t>
  </si>
  <si>
    <t>Benefit Form Conversion Factor at XRD for Lump Sum Calculation</t>
  </si>
  <si>
    <t>SS_FACTOR</t>
  </si>
  <si>
    <t>Beneficiary's Age Nearest Birthday at XRD</t>
  </si>
  <si>
    <t>Present Value of Title IV Benefit Including Load</t>
  </si>
  <si>
    <t>Beneficiary Age   -------&gt;</t>
  </si>
  <si>
    <t>Max at 65 as SLA</t>
  </si>
  <si>
    <t>PVPBL_ANN_RATES_NO_Q_NO_L</t>
  </si>
  <si>
    <t>S009</t>
  </si>
  <si>
    <t>BFCF_ARD</t>
  </si>
  <si>
    <t>Total Load (subtotal + excess load):</t>
  </si>
  <si>
    <t>PVF_LEV_LS</t>
  </si>
  <si>
    <t>Plan's Earliest Retirement Date at DOPT</t>
  </si>
  <si>
    <t>Benefit Statement Indicator</t>
  </si>
  <si>
    <t>N290</t>
  </si>
  <si>
    <t>1</t>
  </si>
  <si>
    <t>PC3_CS</t>
  </si>
  <si>
    <t>Beneficiary's Date of Birth</t>
  </si>
  <si>
    <t>FORM_CODE_NMF</t>
  </si>
  <si>
    <t>PVMB_TERM</t>
  </si>
  <si>
    <t>Present Value of Title IV Benefit Without Load</t>
  </si>
  <si>
    <t>N003</t>
  </si>
  <si>
    <t>Maximum</t>
  </si>
  <si>
    <t>Term:</t>
  </si>
  <si>
    <t>Normal Retirement Age</t>
  </si>
  <si>
    <t>XRD_PMB</t>
  </si>
  <si>
    <t>PBGC Optional J&amp;50%S Benefit Amount</t>
  </si>
  <si>
    <t>BS_PARAGRAPH_2</t>
  </si>
  <si>
    <t>PVPBL_ANN_RATES</t>
  </si>
  <si>
    <t>QPSA_PVF</t>
  </si>
  <si>
    <t>Year of Birth</t>
  </si>
  <si>
    <t>PC3_AMB</t>
  </si>
  <si>
    <t>PC6_LOAD_PVMB</t>
  </si>
  <si>
    <t>BFCF_ERD_MAXLIM</t>
  </si>
  <si>
    <t>ML_EURD_MAXLIM</t>
  </si>
  <si>
    <t>MAXLIM_NRD</t>
  </si>
  <si>
    <t>N291</t>
  </si>
  <si>
    <t>ERF_XRD_MAXLIM</t>
  </si>
  <si>
    <t>C1.RETSTAT</t>
  </si>
  <si>
    <t>2</t>
  </si>
  <si>
    <t>Load for 4022c Benefit Liability</t>
  </si>
  <si>
    <t>FORM_CODE</t>
  </si>
  <si>
    <t>Form of Annuity for Beneficiary After Participant's Death</t>
  </si>
  <si>
    <t>ERD_PMB</t>
  </si>
  <si>
    <t>N004</t>
  </si>
  <si>
    <t>LRF_XRD_MAXLIM</t>
  </si>
  <si>
    <t>Termination</t>
  </si>
  <si>
    <t>Number of Annuity Type Participants:</t>
  </si>
  <si>
    <t>DOB</t>
  </si>
  <si>
    <t>EURD I/O/B</t>
  </si>
  <si>
    <t>RBD_DT</t>
  </si>
  <si>
    <t>BS_PARAGRAPH_3</t>
  </si>
  <si>
    <t>Participant's Gender</t>
  </si>
  <si>
    <t>Present Value of 4022c QPSA Benefit</t>
  </si>
  <si>
    <t>Field Name</t>
  </si>
  <si>
    <t>ERD I/O/B</t>
  </si>
  <si>
    <t>XRD_MB_LS</t>
  </si>
  <si>
    <t>Term_LW_ANB</t>
  </si>
  <si>
    <t>Excess Load (6) x (8):</t>
  </si>
  <si>
    <t>LS_TERM</t>
  </si>
  <si>
    <t>PBL:</t>
  </si>
  <si>
    <t>ERD_MB_4022C_NSF</t>
  </si>
  <si>
    <t>ARA</t>
  </si>
  <si>
    <t>Termination Monthly Benefit Payable at XRD</t>
  </si>
  <si>
    <t>PBGC Optional 5C&amp;C Benefit Amount</t>
  </si>
  <si>
    <t>Late Retirement Factor Table</t>
  </si>
  <si>
    <t>SANB_ERD</t>
  </si>
  <si>
    <t>SANB</t>
  </si>
  <si>
    <t>BS_PARAGRAPH_4</t>
  </si>
  <si>
    <t>XRD_SURV_MB_TERM</t>
  </si>
  <si>
    <t>BDEUAS</t>
  </si>
  <si>
    <t>Plan Administrator Credited Service</t>
  </si>
  <si>
    <t>A</t>
  </si>
  <si>
    <t>Calculated Service at DOPT-3</t>
  </si>
  <si>
    <t>PBGC Optional Forms Rates</t>
  </si>
  <si>
    <t>FORM_CODE_NSF</t>
  </si>
  <si>
    <t>Age</t>
  </si>
  <si>
    <t>UBL: (C + D)</t>
  </si>
  <si>
    <t>Present Value of Unfunded Non-Guaranteed Benefit Including Load</t>
  </si>
  <si>
    <t>DOD</t>
  </si>
  <si>
    <t>PVMB_TITLE_IV_QPSA</t>
  </si>
  <si>
    <t>BS_PARAGRAPH_5</t>
  </si>
  <si>
    <t>SPC_VAL</t>
  </si>
  <si>
    <t>Beneficiary's Expected Retirement Age</t>
  </si>
  <si>
    <t>B</t>
  </si>
  <si>
    <t>Vesting Service at DOPT</t>
  </si>
  <si>
    <t>PVMB_TERM_NO_LOAD</t>
  </si>
  <si>
    <t>Max at XRD</t>
  </si>
  <si>
    <t>N392</t>
  </si>
  <si>
    <t>ML_EURD</t>
  </si>
  <si>
    <t>(1)</t>
  </si>
  <si>
    <t>PVMB_TITLE_IV_NO_LOAD</t>
  </si>
  <si>
    <t>Earliest Retirement Age as of DOPT for XRA Determination</t>
  </si>
  <si>
    <t>DOR</t>
  </si>
  <si>
    <t>BDOD</t>
  </si>
  <si>
    <t>BFCF_XRD_LS</t>
  </si>
  <si>
    <t>ML_XRD</t>
  </si>
  <si>
    <t>P</t>
  </si>
  <si>
    <t>NRD_MB_TITLE_IV_NSF</t>
  </si>
  <si>
    <t>BLNAME</t>
  </si>
  <si>
    <t>C</t>
  </si>
  <si>
    <t>PBGC Optional 10C&amp;C Benefit Amount</t>
  </si>
  <si>
    <t>LRF</t>
  </si>
  <si>
    <t>N393</t>
  </si>
  <si>
    <t>EDEUAS</t>
  </si>
  <si>
    <t>PBGC_OPT_15CC</t>
  </si>
  <si>
    <t>DOPT</t>
  </si>
  <si>
    <t>ERF_ARD_MAXLIM</t>
  </si>
  <si>
    <t>VP</t>
  </si>
  <si>
    <t>LRF_ARD_MAXLIM</t>
  </si>
  <si>
    <t>EURD_PMB</t>
  </si>
  <si>
    <t>SARA</t>
  </si>
  <si>
    <t>Benefit Change Indicator</t>
  </si>
  <si>
    <t>ERA_XRA</t>
  </si>
  <si>
    <t>Present Value of Plan QPSA Benefit Liability</t>
  </si>
  <si>
    <t>Present Value Factor Using Lump Sum Rates and Mortality Assumptions</t>
  </si>
  <si>
    <t>MIL Paragraph for Benefits in Pay</t>
  </si>
  <si>
    <t>Estimated Benefit in Pay for Beneficiary of Participant who Died after Retiring</t>
  </si>
  <si>
    <t>CE_TRACK1</t>
  </si>
  <si>
    <t>Continuous Eligibility Track 1</t>
  </si>
  <si>
    <t>CE_TRACK2</t>
  </si>
  <si>
    <t>CE_TRACK3</t>
  </si>
  <si>
    <t>CE_TRACK4</t>
  </si>
  <si>
    <t>CE_TRACK5</t>
  </si>
  <si>
    <t>CE_TRACK6</t>
  </si>
  <si>
    <t>Continuous Eligibility Track 2</t>
  </si>
  <si>
    <t>Continuous Eligibility Track 3</t>
  </si>
  <si>
    <t>Continuous Eligibility Track 4</t>
  </si>
  <si>
    <t>Continuous Eligibility Track 5</t>
  </si>
  <si>
    <t>Continuous Eligibility Track 6</t>
  </si>
  <si>
    <t>Required Begin Date</t>
  </si>
  <si>
    <t>T016</t>
  </si>
  <si>
    <t>RETRO_DOR</t>
  </si>
  <si>
    <t>RETRO I/O/B</t>
  </si>
  <si>
    <t>RETRO Field Name</t>
  </si>
  <si>
    <t>RETRO_MB_TITLE_IV</t>
  </si>
  <si>
    <t>RETRO_MB_4022C</t>
  </si>
  <si>
    <t>RETRO_MB_TERM</t>
  </si>
  <si>
    <t>RETRO_SURV_MB_TERM</t>
  </si>
  <si>
    <t>N021</t>
  </si>
  <si>
    <t>I001</t>
  </si>
  <si>
    <t>I002</t>
  </si>
  <si>
    <t>I003</t>
  </si>
  <si>
    <t>N022</t>
  </si>
  <si>
    <t>N023</t>
  </si>
  <si>
    <t>N024</t>
  </si>
  <si>
    <t>N025</t>
  </si>
  <si>
    <t>I004</t>
  </si>
  <si>
    <t>N026</t>
  </si>
  <si>
    <t>N027</t>
  </si>
  <si>
    <t>N028</t>
  </si>
  <si>
    <t>I005</t>
  </si>
  <si>
    <t>I006</t>
  </si>
  <si>
    <t>RBD I/O/B</t>
  </si>
  <si>
    <t>RBD Field Name</t>
  </si>
  <si>
    <t>TEMP021</t>
  </si>
  <si>
    <t>I007</t>
  </si>
  <si>
    <t>N029</t>
  </si>
  <si>
    <t>I008</t>
  </si>
  <si>
    <t>I009</t>
  </si>
  <si>
    <t>N030</t>
  </si>
  <si>
    <t>I010</t>
  </si>
  <si>
    <t>N031</t>
  </si>
  <si>
    <t>N032</t>
  </si>
  <si>
    <t>I011</t>
  </si>
  <si>
    <t>N034</t>
  </si>
  <si>
    <t>I012</t>
  </si>
  <si>
    <t>N035</t>
  </si>
  <si>
    <t>N036</t>
  </si>
  <si>
    <t>N038</t>
  </si>
  <si>
    <t>RBD_MB_TITLE_IV</t>
  </si>
  <si>
    <t>N039</t>
  </si>
  <si>
    <t>RBD_MB_4022C</t>
  </si>
  <si>
    <t>RBD_MB_TERM</t>
  </si>
  <si>
    <t>RBD_SURV_MB_TERM</t>
  </si>
  <si>
    <t>XRD_MB_QPSA_TERM</t>
  </si>
  <si>
    <t>FORM_CODE_QPSA</t>
  </si>
  <si>
    <t>MTHS_QPSA</t>
  </si>
  <si>
    <t>TEMP_QPSA</t>
  </si>
  <si>
    <t>QPSA Form of Annuity</t>
  </si>
  <si>
    <t>Months Certain for QPSA Form of Annuity</t>
  </si>
  <si>
    <t>Temporary Period for QPSA Form of Annuity</t>
  </si>
  <si>
    <t>C1.CASE</t>
  </si>
  <si>
    <t>QPSA I/O/B</t>
  </si>
  <si>
    <t>QPSA Field name</t>
  </si>
  <si>
    <t>FORM_CODE_PTP_QPSA</t>
  </si>
  <si>
    <t>Participant's Form of Annuty Upon Which QPSA Benefit is Based</t>
  </si>
  <si>
    <t>SPC_PTP_QPSA</t>
  </si>
  <si>
    <t>Survivor Percentage for Participant's Benefit Upon Which QPSA Benefit is Based</t>
  </si>
  <si>
    <t>MTHS_PTP_QPSA</t>
  </si>
  <si>
    <t>Months Certain for Participant's Benefit Upon Which QPSA Benefit is Based</t>
  </si>
  <si>
    <t>TERM_MB_ARD_FF</t>
  </si>
  <si>
    <t>T021</t>
  </si>
  <si>
    <t>Spouse Date of Birth for QPSA Calculation</t>
  </si>
  <si>
    <t>D012</t>
  </si>
  <si>
    <t>Benefit Form Conversion Factor Table SLA to J&amp;50%S</t>
  </si>
  <si>
    <t>Participant's Actual Retirement Age</t>
  </si>
  <si>
    <t>Beneficiary's Age at Participant's ARD</t>
  </si>
  <si>
    <t>LEV_MB_ARD</t>
  </si>
  <si>
    <t xml:space="preserve">Primary Level Life ARD Benefit in Pay-status </t>
  </si>
  <si>
    <t>Participant's Required Beginning Date</t>
  </si>
  <si>
    <t>Benefit Change Indicator:                          I - Increase,                                  D - Decrease,                              M - Match,                                N - No Change</t>
  </si>
  <si>
    <t>Date Participant Attains Age 21</t>
  </si>
  <si>
    <t>Date Participant Completes 1 Yr. of Service</t>
  </si>
  <si>
    <t>3</t>
  </si>
  <si>
    <t>Separated Vested</t>
  </si>
  <si>
    <t>PC6_LEVEL_MB</t>
  </si>
  <si>
    <t>PC6_4022C_AR</t>
  </si>
  <si>
    <t>PC6_ANNUITY_PVMB</t>
  </si>
  <si>
    <t>PC6_QPSA_PVMB</t>
  </si>
  <si>
    <t>PC6 4022(c) Allocation Ratio</t>
  </si>
  <si>
    <t>Present Value of Net PC6 Benefit Without QPSA and Load</t>
  </si>
  <si>
    <t>Present Value of Net PC6 QPSA Benefit</t>
  </si>
  <si>
    <t>Total PC6 Liability</t>
  </si>
  <si>
    <t>PC6_4022C_AR (Formula)</t>
  </si>
  <si>
    <t>PC6_4022C_AR (Fixed)</t>
  </si>
  <si>
    <t>Type of Annuity:        0=Plan NSF,             1=Plan NMF,           2=Plan Optional Form,           3=PBGC Optional Form</t>
  </si>
  <si>
    <t>Primary Level Life ARD Benefit in Pay-status (for Summary section of BD Statement)</t>
  </si>
  <si>
    <t>Continuous Eligibility Track 1 (Participant Benefiting from the Disability Max or not applying the ANL due to SSA Disability)</t>
  </si>
  <si>
    <t>Continuous Eligibility Track 2 (Participant Receiving Plan Disability Benefit)</t>
  </si>
  <si>
    <t>Continuous Eligibility Track 3 (SSA Disability Eligibility being Required for the Plan Disability Benefit)</t>
  </si>
  <si>
    <t>Continuous Eligibility Track 4 (Participant Receiving Temporary Supplement subject to Earnings Limitation Offset)</t>
  </si>
  <si>
    <t>Continuous Eligibility Track 5 (Participant Receiving Benefit subject to Worker’s Compensation Offset)</t>
  </si>
  <si>
    <t>Continuous Eligibility Track 6 (Participant Receiving Benefit subject to Some Other Future Offset)</t>
  </si>
  <si>
    <t>DOBF</t>
  </si>
  <si>
    <t>Load for Net PC6 Liability</t>
  </si>
  <si>
    <t>Present Value of Net PC6 Benefit Including Load</t>
  </si>
  <si>
    <t>N015</t>
  </si>
  <si>
    <t xml:space="preserve"> Plan Monthly Benefit at XRD (no Form)</t>
  </si>
  <si>
    <t>LOAD CALCULATIONS</t>
  </si>
  <si>
    <t>PC6 CALCULATIONS</t>
  </si>
  <si>
    <t>QPSA CALCULATIONS</t>
  </si>
  <si>
    <t>TEMP020</t>
  </si>
  <si>
    <t>Retroactive Retirement Date</t>
  </si>
  <si>
    <t>Retroactive Retirement Indicator</t>
  </si>
  <si>
    <t>T019</t>
  </si>
  <si>
    <t>=IF(OR(AND(F2="XRD",G2="V"),ISBLANK(CF2),CF2&lt;&gt;"3"),"NULL",IF(CE2="Y",IF(CC2="2",DK2,IF(CD2=60,DL2,IF(CD2=120,DM2,DN2))),IF(BZ2="2",DK2,IF(BZ2="0",DU2,IF(CA2=0.5,DP2,IF(CA2=0.75,DR2,IF(CA2=1,DT2,IF(CB2=60,DL2,IF(CB2=120,DM2,DN2)))))))))</t>
  </si>
  <si>
    <t>Post-DOPT Lump Sum Distribution Date</t>
  </si>
  <si>
    <t>Post-DOPT Lump Sum Distribution Amount</t>
  </si>
  <si>
    <t>D006</t>
  </si>
  <si>
    <t>N060</t>
  </si>
  <si>
    <t>LS_TERM:</t>
  </si>
  <si>
    <t>LS_TERM_RESIDUAL</t>
  </si>
  <si>
    <t>POPLIM</t>
  </si>
  <si>
    <t>N040</t>
  </si>
  <si>
    <t>LRF from DOTE to NRD for P with DOTE &gt; NRD</t>
  </si>
  <si>
    <t>=IF(OR(V2="S",V2="D"),ROUND(AU2*ED2*ES2*12,0),0)</t>
  </si>
  <si>
    <t xml:space="preserve">XRD_MB_QPSA_TERM </t>
  </si>
  <si>
    <t>QPSA Form of Benefit Description</t>
  </si>
  <si>
    <t>&gt;'0</t>
  </si>
  <si>
    <t>=IF(OR(AND(F2="XRD",G2="V"),CL2="0",CL2="1",CL2="2",AND(NOT(ISBLANK(AL2)),AL2&lt;BR2,D2="1",DW2="NULL")),"NULL",IF(OR(D2="4",AND(NOT(ISBLANK(AL2)),AL2&lt;=BR2)),PBGCOFA(DOPT,Z2,0,0,"N",BR2,"MP","SLA",0,0,0,IF(D2="1",DW2,DV2),0,0,"SLA",0,0,0,0,0,0,0),PBGCOFA(DOPT,W2,0,0,"N",BR2,"MP","SLA",0,IF(F2="DORNSF",CO2,BX2),0,EB2,0,0,"SLA",0,0,0,0,0,0,0)))</t>
  </si>
  <si>
    <t>FORM_CODE_PTP</t>
  </si>
  <si>
    <t>SPC_PTP</t>
  </si>
  <si>
    <t>MTHS_PTP</t>
  </si>
  <si>
    <t>PC5_LOAD_PVMB</t>
  </si>
  <si>
    <t>PC5_TOTAL_PV</t>
  </si>
  <si>
    <t>BS_Ind</t>
  </si>
  <si>
    <t>BR_Ind</t>
  </si>
  <si>
    <t>SB</t>
  </si>
  <si>
    <t>Spouse Benefit Commencement Date</t>
  </si>
  <si>
    <t>Participant's Form of Annuity for ARD Benefit</t>
  </si>
  <si>
    <t>Participant's Surivor Percentage for ARD Form of Annuity</t>
  </si>
  <si>
    <t>Participant's Months Certain for ARD Form of Annuity</t>
  </si>
  <si>
    <t>Beneficiary Form of Annuity for ARD Benefit</t>
  </si>
  <si>
    <t>Beneficiary Surivor Percentage for ARD Form of Annuity</t>
  </si>
  <si>
    <t>Beneficiary Months Certain for ARD Form of Annuity</t>
  </si>
  <si>
    <t>Monthly Benefit in Pay at DOPT</t>
  </si>
  <si>
    <t>Present Value of Net PC5 Benefit Without QPSA and Load</t>
  </si>
  <si>
    <t>Load for Net PC5 Liability</t>
  </si>
  <si>
    <t>Present Value of Net PC5 Benefit Including Load</t>
  </si>
  <si>
    <t>XRD Benefit Limit</t>
  </si>
  <si>
    <t>=MAX(NRD(Y2,5),NRD(U2,65))</t>
  </si>
  <si>
    <t xml:space="preserve"> Plan Monthly Benefit at XRD in Final Form          (Before Majority Owner P/I)</t>
  </si>
  <si>
    <t>Months Late for Max at XRD</t>
  </si>
  <si>
    <t>LRF for Max at XRD</t>
  </si>
  <si>
    <t>Beneficiaries in Pay</t>
  </si>
  <si>
    <t>Present Value of PC6 Lump Sum Death Benefit Without Expense Load</t>
  </si>
  <si>
    <t>N070</t>
  </si>
  <si>
    <t>Valuation PC6 Monthly Benefit</t>
  </si>
  <si>
    <t xml:space="preserve">Primary Level Life XRD PC6 Monthly Benefit </t>
  </si>
  <si>
    <t>Load for Lump Sum Death Benefit QPSA Liabiliity</t>
  </si>
  <si>
    <t>Present Value of Lump Sum Death Benefit QPSA (Including Load)</t>
  </si>
  <si>
    <t>Residual Lump Sum Value Payable to Participant</t>
  </si>
  <si>
    <t>ENTER CELL DM57</t>
  </si>
  <si>
    <t>SHS</t>
  </si>
  <si>
    <t>Beneficiary's Health Status</t>
  </si>
  <si>
    <t>=ROUND(DH34*DD34*12,0)</t>
  </si>
  <si>
    <t>=ROUND(DG2*CM2*CP2*CS2,2)</t>
  </si>
  <si>
    <t>=IF(V2="S",EM2-EP2,0)</t>
  </si>
  <si>
    <t>EURD</t>
  </si>
  <si>
    <t>ERD</t>
  </si>
  <si>
    <t>Earliest Unreduced Retirement Date at DOPT</t>
  </si>
  <si>
    <t>Earliest Retirement Date at DOPT</t>
  </si>
  <si>
    <t>Beneficiary's Benefit Commencement Date</t>
  </si>
  <si>
    <t>Termination ARD Survivor Monthly Benefit</t>
  </si>
  <si>
    <t>Form of Annuity for Beneficiary after Participant's Post-DOPT Death (same codes as FORM_CODE in C1 table)</t>
  </si>
  <si>
    <t>Months Certain Remaining for Beneficiary after Participan't Post-DOPT Death</t>
  </si>
  <si>
    <t>=IF(AJ2&gt;DOPT,0,QPSAPVF("MP","SLA",DOPT,R2,S2,IF(S2="M","F","M"),AX2,CP2,IF(AY2="NULL",AX2+IF(S2="M",-4,4),AY2),IF(BO2="NULL",CP2+IF(S2="M",-4,4),CQ2),CE2,CF2,0))</t>
  </si>
  <si>
    <t>=IF(OR(AJ35&gt;DOPT,AND(Z35&gt;DOPT,CG35="N")),0,QPSAPVF("MP","SLA",DOPT,R35,S35,IF(S35="M","F","M"),AX35,CP35,IF(AY35="NULL",AX35+IF(S35="M",-4,4),AY35),IF(BO35="NULL",CP35+IF(S35="M",-4,4),CQ35),CE35,CF35,0))</t>
  </si>
  <si>
    <t>=IF(AND(BV35="5",COMPM(BJ35,BK35)&lt;BX35),BV35,"NULL")</t>
  </si>
  <si>
    <t>Worksheet_name</t>
  </si>
  <si>
    <t>Display_name</t>
  </si>
  <si>
    <t>L1_Section</t>
  </si>
  <si>
    <t>L2_Section</t>
  </si>
  <si>
    <t>Show_in_TOC</t>
  </si>
  <si>
    <t>Descriptions</t>
  </si>
  <si>
    <t>Actives</t>
  </si>
  <si>
    <t>Tables</t>
  </si>
  <si>
    <t>mySort</t>
  </si>
  <si>
    <t>Especial</t>
  </si>
  <si>
    <t>Esta gente esta retirada ya. Hace tiempo que estan recibiendo el cacao.</t>
  </si>
  <si>
    <t>Ver Retirados</t>
  </si>
  <si>
    <t>Ver Beneficiarios en Pago</t>
  </si>
  <si>
    <t>Ver Pensiones Diferidas</t>
  </si>
  <si>
    <t>Ver Activos</t>
  </si>
  <si>
    <t>Ver Tablas Usadas</t>
  </si>
  <si>
    <t>Retired</t>
  </si>
  <si>
    <t>Beneficiaries-in-Pay</t>
  </si>
  <si>
    <t>before DOPT</t>
  </si>
  <si>
    <t>as of DOPT</t>
  </si>
  <si>
    <t>used to do calculations</t>
  </si>
  <si>
    <t>Active Population</t>
  </si>
  <si>
    <t>Separated Vested Population</t>
  </si>
  <si>
    <t>Todos los beneficiarios, conyuges o no-conyuges estan representados en esta tabla relacional.</t>
  </si>
  <si>
    <t>Aquellos participantes que esten esperando la Fecha Normal de Retiro estan aqui en esta tabla.</t>
  </si>
  <si>
    <t>Participantes que a DOPT estan trabajando, osea, participando.</t>
  </si>
  <si>
    <t>Tablas de mortalidad, intereses de PBGC, y cualquier otra tabla miscelanea estara aqui.</t>
  </si>
  <si>
    <t>Table Of Contents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</si>
</sst>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General_)"/>
    <numFmt numFmtId="165" formatCode="mm/dd/yy_)"/>
    <numFmt numFmtId="166" formatCode="&quot;$&quot;#,##0.00"/>
    <numFmt numFmtId="167" formatCode="0.0000"/>
    <numFmt numFmtId="168" formatCode="&quot;$&quot;#,##0"/>
    <numFmt numFmtId="169" formatCode="&quot;$&quot;#,##0;[Red]&quot;$&quot;#,##0"/>
    <numFmt numFmtId="170" formatCode="&quot;$&quot;#,##0.00;[Red]&quot;$&quot;#,##0.00"/>
    <numFmt numFmtId="171" formatCode="0.0000%"/>
    <numFmt numFmtId="172" formatCode="#,##0.0000"/>
    <numFmt numFmtId="173" formatCode="0.0"/>
    <numFmt numFmtId="174" formatCode="0.0_)"/>
    <numFmt numFmtId="175" formatCode="0.000%"/>
  </numFmts>
  <fonts count="27">
    <font>
      <sz val="10"/>
      <name val="Arial"/>
    </font>
    <font>
      <sz val="12"/>
      <name val="Tms Rmn"/>
    </font>
    <font>
      <b/>
      <sz val="8"/>
      <name val="Arial"/>
      <family val="2"/>
    </font>
    <font>
      <b/>
      <sz val="10"/>
      <name val="Arial"/>
      <family val="2"/>
    </font>
    <font>
      <b/>
      <sz val="10"/>
      <color indexed="12"/>
      <name val="Arial"/>
      <family val="2"/>
    </font>
    <font>
      <sz val="12"/>
      <name val="Times New Roman"/>
      <family val="1"/>
    </font>
    <font>
      <sz val="10"/>
      <color indexed="12"/>
      <name val="Arial"/>
      <family val="2"/>
    </font>
    <font>
      <sz val="10"/>
      <color indexed="10"/>
      <name val="Arial"/>
      <family val="2"/>
    </font>
    <font>
      <sz val="10"/>
      <color indexed="13"/>
      <name val="Arial"/>
      <family val="2"/>
    </font>
    <font>
      <b/>
      <sz val="10"/>
      <color indexed="14"/>
      <name val="Arial"/>
      <family val="2"/>
    </font>
    <font>
      <b/>
      <sz val="12"/>
      <name val="Arial"/>
      <family val="2"/>
    </font>
    <font>
      <sz val="12"/>
      <name val="Arial"/>
      <family val="2"/>
    </font>
    <font>
      <b/>
      <sz val="10"/>
      <color indexed="48"/>
      <name val="Arial"/>
      <family val="2"/>
    </font>
    <font>
      <b/>
      <i/>
      <sz val="10"/>
      <name val="Arial"/>
      <family val="2"/>
    </font>
    <font>
      <sz val="10"/>
      <color indexed="48"/>
      <name val="Arial"/>
      <family val="2"/>
    </font>
    <font>
      <sz val="10"/>
      <color rgb="FF006100"/>
      <name val="Arial"/>
      <family val="2"/>
    </font>
    <font>
      <b/>
      <sz val="10"/>
      <color theme="0"/>
      <name val="Arial"/>
      <family val="2"/>
    </font>
    <font>
      <sz val="7"/>
      <name val="Arial"/>
      <family val="2"/>
    </font>
    <font>
      <sz val="10"/>
      <name val="Arial"/>
      <family val="2"/>
    </font>
    <font>
      <sz val="10"/>
      <color theme="0"/>
      <name val="Arial"/>
      <family val="2"/>
    </font>
    <font>
      <b/>
      <sz val="10"/>
      <color theme="1"/>
      <name val="Arial"/>
      <family val="2"/>
    </font>
    <font>
      <b/>
      <sz val="18"/>
      <color theme="1"/>
      <name val="Arial"/>
      <family val="2"/>
    </font>
    <font>
      <b/>
      <sz val="14"/>
      <color theme="1"/>
      <name val="Arial"/>
      <family val="2"/>
    </font>
    <font>
      <u/>
      <sz val="10"/>
      <color theme="10"/>
      <name val="Arial"/>
      <family val="2"/>
    </font>
    <font>
      <u/>
      <sz val="12"/>
      <color theme="10"/>
      <name val="TimesNewRoman"/>
    </font>
    <font>
      <i/>
      <sz val="12"/>
      <name val="TimesNewRoman"/>
    </font>
    <font>
      <b/>
      <sz val="24"/>
      <color theme="1"/>
      <name val="Arial"/>
      <family val="2"/>
    </font>
  </fonts>
  <fills count="13">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indexed="22"/>
        <bgColor indexed="64"/>
      </patternFill>
    </fill>
    <fill>
      <patternFill patternType="solid">
        <fgColor indexed="11"/>
        <bgColor indexed="64"/>
      </patternFill>
    </fill>
    <fill>
      <patternFill patternType="solid">
        <fgColor indexed="17"/>
        <bgColor indexed="64"/>
      </patternFill>
    </fill>
    <fill>
      <patternFill patternType="solid">
        <fgColor theme="1"/>
        <bgColor indexed="64"/>
      </patternFill>
    </fill>
    <fill>
      <patternFill patternType="solid">
        <fgColor rgb="FFC6EFCE"/>
      </patternFill>
    </fill>
    <fill>
      <patternFill patternType="solid">
        <fgColor theme="9" tint="0.59999389629810485"/>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5" tint="0.59999389629810485"/>
        <bgColor indexed="64"/>
      </patternFill>
    </fill>
  </fills>
  <borders count="86">
    <border>
      <left/>
      <right/>
      <top/>
      <bottom/>
      <diagonal/>
    </border>
    <border>
      <left/>
      <right/>
      <top/>
      <bottom style="thick">
        <color rgb="FFFF0000"/>
      </bottom>
      <diagonal/>
    </border>
    <border>
      <left/>
      <right/>
      <top/>
      <bottom style="thick">
        <color indexed="10"/>
      </bottom>
      <diagonal/>
    </border>
    <border>
      <left style="medium">
        <color indexed="64"/>
      </left>
      <right style="thin">
        <color indexed="64"/>
      </right>
      <top style="thin">
        <color indexed="64"/>
      </top>
      <bottom style="medium">
        <color indexed="64"/>
      </bottom>
      <diagonal/>
    </border>
    <border>
      <left/>
      <right style="thick">
        <color indexed="64"/>
      </right>
      <top style="thick">
        <color indexed="64"/>
      </top>
      <bottom/>
      <diagonal/>
    </border>
    <border>
      <left style="medium">
        <color indexed="64"/>
      </left>
      <right style="thin">
        <color indexed="64"/>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uble">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ck">
        <color indexed="64"/>
      </top>
      <bottom style="thin">
        <color indexed="64"/>
      </bottom>
      <diagonal/>
    </border>
    <border>
      <left style="thick">
        <color indexed="64"/>
      </left>
      <right/>
      <top/>
      <bottom style="thick">
        <color indexed="64"/>
      </bottom>
      <diagonal/>
    </border>
    <border>
      <left style="medium">
        <color indexed="64"/>
      </left>
      <right style="thin">
        <color indexed="64"/>
      </right>
      <top/>
      <bottom style="medium">
        <color indexed="64"/>
      </bottom>
      <diagonal/>
    </border>
    <border>
      <left/>
      <right/>
      <top style="thick">
        <color rgb="FFFF0000"/>
      </top>
      <bottom style="thick">
        <color rgb="FFFF0000"/>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bottom style="double">
        <color indexed="64"/>
      </bottom>
      <diagonal/>
    </border>
    <border>
      <left style="double">
        <color indexed="64"/>
      </left>
      <right style="double">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top/>
      <bottom style="thick">
        <color indexed="64"/>
      </bottom>
      <diagonal/>
    </border>
    <border>
      <left style="thick">
        <color indexed="64"/>
      </left>
      <right/>
      <top style="thick">
        <color indexed="64"/>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right/>
      <top style="thick">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thin">
        <color indexed="64"/>
      </top>
      <bottom style="thin">
        <color indexed="64"/>
      </bottom>
      <diagonal/>
    </border>
    <border>
      <left/>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style="thick">
        <color indexed="64"/>
      </left>
      <right/>
      <top/>
      <bottom/>
      <diagonal/>
    </border>
    <border>
      <left style="thin">
        <color indexed="64"/>
      </left>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diagonal/>
    </border>
    <border>
      <left style="thick">
        <color indexed="64"/>
      </left>
      <right style="thin">
        <color indexed="64"/>
      </right>
      <top style="thin">
        <color indexed="64"/>
      </top>
      <bottom style="thick">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ck">
        <color indexed="64"/>
      </right>
      <top/>
      <bottom/>
      <diagonal/>
    </border>
    <border>
      <left/>
      <right style="thin">
        <color indexed="64"/>
      </right>
      <top style="double">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top style="double">
        <color indexed="64"/>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top style="thin">
        <color indexed="64"/>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double">
        <color indexed="64"/>
      </bottom>
      <diagonal/>
    </border>
    <border>
      <left style="thin">
        <color indexed="64"/>
      </left>
      <right style="thick">
        <color indexed="64"/>
      </right>
      <top style="thick">
        <color indexed="64"/>
      </top>
      <bottom style="thin">
        <color indexed="64"/>
      </bottom>
      <diagonal/>
    </border>
    <border>
      <left/>
      <right style="thick">
        <color indexed="64"/>
      </right>
      <top/>
      <bottom style="thick">
        <color indexed="64"/>
      </bottom>
      <diagonal/>
    </border>
    <border>
      <left style="double">
        <color indexed="64"/>
      </left>
      <right/>
      <top style="double">
        <color indexed="64"/>
      </top>
      <bottom style="thin">
        <color indexed="64"/>
      </bottom>
      <diagonal/>
    </border>
    <border>
      <left style="double">
        <color indexed="64"/>
      </left>
      <right style="thin">
        <color indexed="64"/>
      </right>
      <top/>
      <bottom style="thin">
        <color indexed="64"/>
      </bottom>
      <diagonal/>
    </border>
    <border>
      <left/>
      <right/>
      <top style="double">
        <color indexed="64"/>
      </top>
      <bottom style="thin">
        <color indexed="64"/>
      </bottom>
      <diagonal/>
    </border>
    <border>
      <left/>
      <right style="double">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right/>
      <top style="double">
        <color indexed="64"/>
      </top>
      <bottom/>
      <diagonal/>
    </border>
    <border>
      <left/>
      <right style="double">
        <color indexed="64"/>
      </right>
      <top style="double">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double">
        <color indexed="64"/>
      </bottom>
      <diagonal/>
    </border>
    <border>
      <left style="thin">
        <color indexed="64"/>
      </left>
      <right style="medium">
        <color indexed="64"/>
      </right>
      <top style="medium">
        <color indexed="64"/>
      </top>
      <bottom/>
      <diagonal/>
    </border>
    <border>
      <left style="double">
        <color indexed="64"/>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6">
    <xf numFmtId="0" fontId="0" fillId="0" borderId="0"/>
    <xf numFmtId="0" fontId="1" fillId="0" borderId="0"/>
    <xf numFmtId="174" fontId="1" fillId="0" borderId="0"/>
    <xf numFmtId="0" fontId="1" fillId="0" borderId="0"/>
    <xf numFmtId="0" fontId="15" fillId="8" borderId="0" applyNumberFormat="0" applyBorder="0" applyAlignment="0" applyProtection="0"/>
    <xf numFmtId="0" fontId="23" fillId="0" borderId="0" applyNumberFormat="0" applyFill="0" applyBorder="0" applyAlignment="0" applyProtection="0"/>
  </cellStyleXfs>
  <cellXfs count="345">
    <xf numFmtId="0" fontId="0" fillId="0" borderId="0" xfId="0"/>
    <xf numFmtId="174" fontId="2" fillId="0" borderId="0" xfId="2" applyFont="1" applyAlignment="1">
      <alignment horizontal="center" vertical="center"/>
    </xf>
    <xf numFmtId="0" fontId="3" fillId="2" borderId="1" xfId="0" applyFont="1" applyFill="1" applyBorder="1" applyProtection="1">
      <protection locked="0"/>
    </xf>
    <xf numFmtId="166" fontId="4" fillId="0" borderId="0" xfId="0" applyNumberFormat="1" applyFont="1" applyAlignment="1" applyProtection="1">
      <alignment horizontal="center" vertical="center"/>
      <protection locked="0"/>
    </xf>
    <xf numFmtId="14" fontId="4" fillId="0" borderId="2" xfId="0" applyNumberFormat="1" applyFont="1" applyBorder="1" applyAlignment="1" applyProtection="1">
      <alignment horizontal="center"/>
      <protection locked="0"/>
    </xf>
    <xf numFmtId="167" fontId="0" fillId="0" borderId="3" xfId="0" applyNumberFormat="1" applyBorder="1"/>
    <xf numFmtId="174" fontId="0" fillId="0" borderId="4" xfId="2" applyFont="1" applyBorder="1" applyAlignment="1">
      <alignment vertical="center"/>
    </xf>
    <xf numFmtId="166" fontId="4" fillId="0" borderId="0" xfId="0" applyNumberFormat="1" applyFont="1" applyAlignment="1" applyProtection="1">
      <alignment horizontal="center"/>
      <protection locked="0"/>
    </xf>
    <xf numFmtId="0" fontId="0" fillId="3" borderId="0" xfId="0" applyFill="1" applyProtection="1">
      <protection locked="0"/>
    </xf>
    <xf numFmtId="169" fontId="0" fillId="0" borderId="0" xfId="0" quotePrefix="1" applyNumberFormat="1"/>
    <xf numFmtId="0" fontId="3" fillId="0" borderId="0" xfId="0" applyFont="1" applyProtection="1">
      <protection locked="0"/>
    </xf>
    <xf numFmtId="0" fontId="0" fillId="0" borderId="5" xfId="0" applyBorder="1"/>
    <xf numFmtId="0" fontId="5" fillId="0" borderId="6" xfId="0" applyFont="1" applyBorder="1" applyAlignment="1">
      <alignment horizontal="center"/>
    </xf>
    <xf numFmtId="0" fontId="6" fillId="0" borderId="0" xfId="0" applyFont="1" applyProtection="1">
      <protection locked="0"/>
    </xf>
    <xf numFmtId="0" fontId="3" fillId="4" borderId="2" xfId="0" applyFont="1" applyFill="1" applyBorder="1" applyProtection="1">
      <protection locked="0"/>
    </xf>
    <xf numFmtId="0" fontId="0" fillId="0" borderId="0" xfId="0" applyProtection="1">
      <protection locked="0"/>
    </xf>
    <xf numFmtId="3" fontId="5" fillId="0" borderId="7" xfId="0" applyNumberFormat="1" applyFont="1" applyBorder="1"/>
    <xf numFmtId="10" fontId="4" fillId="0" borderId="0" xfId="0" applyNumberFormat="1" applyFont="1" applyProtection="1">
      <protection locked="0"/>
    </xf>
    <xf numFmtId="164" fontId="3" fillId="2" borderId="2" xfId="0" applyNumberFormat="1" applyFont="1" applyFill="1" applyBorder="1" applyAlignment="1" applyProtection="1">
      <alignment horizontal="left"/>
      <protection locked="0"/>
    </xf>
    <xf numFmtId="0" fontId="0" fillId="0" borderId="8" xfId="0" applyBorder="1"/>
    <xf numFmtId="169" fontId="4" fillId="0" borderId="0" xfId="0" quotePrefix="1" applyNumberFormat="1" applyFont="1" applyProtection="1">
      <protection locked="0"/>
    </xf>
    <xf numFmtId="164" fontId="0" fillId="0" borderId="0" xfId="0" applyNumberFormat="1" applyAlignment="1" applyProtection="1">
      <alignment horizontal="center"/>
      <protection locked="0"/>
    </xf>
    <xf numFmtId="0" fontId="5" fillId="0" borderId="9" xfId="0" applyFont="1" applyBorder="1" applyAlignment="1">
      <alignment horizontal="center" wrapText="1"/>
    </xf>
    <xf numFmtId="0" fontId="4" fillId="0" borderId="2" xfId="0" applyFont="1" applyBorder="1" applyAlignment="1" applyProtection="1">
      <alignment horizontal="center"/>
      <protection locked="0"/>
    </xf>
    <xf numFmtId="0" fontId="3" fillId="0" borderId="10" xfId="0" applyFont="1" applyBorder="1"/>
    <xf numFmtId="14" fontId="0" fillId="0" borderId="0" xfId="0" applyNumberFormat="1" applyAlignment="1">
      <alignment horizontal="right"/>
    </xf>
    <xf numFmtId="166" fontId="0" fillId="0" borderId="0" xfId="0" applyNumberFormat="1"/>
    <xf numFmtId="167" fontId="0" fillId="0" borderId="11" xfId="0" applyNumberFormat="1" applyBorder="1"/>
    <xf numFmtId="14" fontId="0" fillId="0" borderId="12" xfId="1" applyNumberFormat="1" applyFont="1" applyBorder="1" applyAlignment="1">
      <alignment horizontal="center" vertical="center"/>
    </xf>
    <xf numFmtId="169" fontId="0" fillId="0" borderId="0" xfId="0" applyNumberFormat="1"/>
    <xf numFmtId="166" fontId="3" fillId="5" borderId="2" xfId="0" applyNumberFormat="1" applyFont="1" applyFill="1" applyBorder="1" applyProtection="1">
      <protection locked="0"/>
    </xf>
    <xf numFmtId="0" fontId="4" fillId="0" borderId="0" xfId="0" applyFont="1" applyProtection="1">
      <protection locked="0"/>
    </xf>
    <xf numFmtId="14" fontId="4" fillId="0" borderId="0" xfId="0" quotePrefix="1" applyNumberFormat="1" applyFont="1" applyAlignment="1" applyProtection="1">
      <alignment horizontal="left"/>
      <protection locked="0"/>
    </xf>
    <xf numFmtId="9" fontId="4" fillId="0" borderId="0" xfId="0" applyNumberFormat="1" applyFont="1" applyProtection="1">
      <protection locked="0"/>
    </xf>
    <xf numFmtId="2" fontId="0" fillId="0" borderId="13" xfId="0" applyNumberFormat="1" applyBorder="1"/>
    <xf numFmtId="0" fontId="7" fillId="0" borderId="14" xfId="0" applyFont="1" applyBorder="1" applyProtection="1">
      <protection locked="0"/>
    </xf>
    <xf numFmtId="165" fontId="0" fillId="3" borderId="0" xfId="0" applyNumberFormat="1" applyFill="1" applyProtection="1">
      <protection locked="0"/>
    </xf>
    <xf numFmtId="167" fontId="0" fillId="0" borderId="15" xfId="0" applyNumberFormat="1" applyBorder="1"/>
    <xf numFmtId="0" fontId="5" fillId="0" borderId="16" xfId="0" applyFont="1" applyBorder="1" applyAlignment="1">
      <alignment horizontal="center"/>
    </xf>
    <xf numFmtId="0" fontId="0" fillId="0" borderId="0" xfId="0" quotePrefix="1" applyAlignment="1">
      <alignment horizontal="center"/>
    </xf>
    <xf numFmtId="168" fontId="4" fillId="0" borderId="0" xfId="0" applyNumberFormat="1" applyFont="1" applyAlignment="1" applyProtection="1">
      <alignment horizontal="center" vertical="center"/>
      <protection locked="0"/>
    </xf>
    <xf numFmtId="0" fontId="5" fillId="0" borderId="17" xfId="0" applyFont="1" applyBorder="1" applyAlignment="1">
      <alignment horizontal="center"/>
    </xf>
    <xf numFmtId="10" fontId="8" fillId="6" borderId="0" xfId="0" applyNumberFormat="1" applyFont="1" applyFill="1"/>
    <xf numFmtId="0" fontId="5" fillId="0" borderId="18" xfId="0" applyFont="1" applyBorder="1" applyAlignment="1">
      <alignment horizontal="center"/>
    </xf>
    <xf numFmtId="14" fontId="4" fillId="0" borderId="2" xfId="0" applyNumberFormat="1" applyFont="1" applyBorder="1" applyProtection="1">
      <protection locked="0"/>
    </xf>
    <xf numFmtId="166" fontId="4" fillId="0" borderId="0" xfId="0" applyNumberFormat="1" applyFont="1" applyProtection="1">
      <protection locked="0"/>
    </xf>
    <xf numFmtId="168" fontId="0" fillId="0" borderId="0" xfId="0" applyNumberFormat="1"/>
    <xf numFmtId="3" fontId="5" fillId="0" borderId="19" xfId="0" applyNumberFormat="1" applyFont="1" applyBorder="1"/>
    <xf numFmtId="167" fontId="0" fillId="0" borderId="8" xfId="0" applyNumberFormat="1" applyBorder="1"/>
    <xf numFmtId="169" fontId="4" fillId="0" borderId="0" xfId="0" applyNumberFormat="1" applyFont="1" applyProtection="1">
      <protection locked="0"/>
    </xf>
    <xf numFmtId="167" fontId="4" fillId="0" borderId="2" xfId="0" applyNumberFormat="1" applyFont="1" applyBorder="1" applyAlignment="1" applyProtection="1">
      <alignment horizontal="center"/>
      <protection locked="0"/>
    </xf>
    <xf numFmtId="0" fontId="5" fillId="0" borderId="21" xfId="0" applyFont="1" applyBorder="1" applyAlignment="1">
      <alignment horizontal="center" wrapText="1"/>
    </xf>
    <xf numFmtId="0" fontId="3" fillId="0" borderId="0" xfId="0" applyFont="1" applyAlignment="1" applyProtection="1">
      <alignment horizontal="center" wrapText="1"/>
      <protection locked="0"/>
    </xf>
    <xf numFmtId="167" fontId="0" fillId="0" borderId="22" xfId="0" applyNumberFormat="1" applyBorder="1"/>
    <xf numFmtId="0" fontId="3" fillId="0" borderId="23" xfId="0" applyFont="1" applyBorder="1" applyAlignment="1">
      <alignment horizontal="center"/>
    </xf>
    <xf numFmtId="164" fontId="0" fillId="0" borderId="0" xfId="0" applyNumberFormat="1" applyProtection="1">
      <protection locked="0"/>
    </xf>
    <xf numFmtId="167" fontId="4" fillId="0" borderId="2" xfId="0" quotePrefix="1" applyNumberFormat="1" applyFont="1" applyBorder="1" applyProtection="1">
      <protection locked="0"/>
    </xf>
    <xf numFmtId="0" fontId="3" fillId="5" borderId="1" xfId="0" applyFont="1" applyFill="1" applyBorder="1" applyAlignment="1" applyProtection="1">
      <alignment horizontal="left"/>
      <protection locked="0"/>
    </xf>
    <xf numFmtId="0" fontId="4" fillId="0" borderId="2" xfId="0" applyFont="1" applyBorder="1" applyProtection="1">
      <protection locked="0"/>
    </xf>
    <xf numFmtId="0" fontId="0" fillId="0" borderId="24" xfId="0" applyBorder="1"/>
    <xf numFmtId="14" fontId="4" fillId="0" borderId="0" xfId="0" applyNumberFormat="1" applyFont="1" applyAlignment="1" applyProtection="1">
      <alignment horizontal="center"/>
      <protection locked="0"/>
    </xf>
    <xf numFmtId="164" fontId="3" fillId="5" borderId="1" xfId="0" quotePrefix="1" applyNumberFormat="1" applyFont="1" applyFill="1" applyBorder="1" applyAlignment="1" applyProtection="1">
      <alignment horizontal="left"/>
      <protection locked="0"/>
    </xf>
    <xf numFmtId="167" fontId="0" fillId="0" borderId="0" xfId="0" applyNumberFormat="1"/>
    <xf numFmtId="9" fontId="0" fillId="0" borderId="0" xfId="0" applyNumberFormat="1" applyAlignment="1">
      <alignment horizontal="center"/>
    </xf>
    <xf numFmtId="0" fontId="0" fillId="0" borderId="25" xfId="1" applyFont="1" applyBorder="1" applyAlignment="1">
      <alignment horizontal="right" vertical="center"/>
    </xf>
    <xf numFmtId="2" fontId="0" fillId="0" borderId="8" xfId="0" applyNumberFormat="1" applyBorder="1"/>
    <xf numFmtId="0" fontId="0" fillId="0" borderId="0" xfId="0" applyAlignment="1">
      <alignment horizontal="center"/>
    </xf>
    <xf numFmtId="3" fontId="5" fillId="0" borderId="0" xfId="0" applyNumberFormat="1" applyFont="1"/>
    <xf numFmtId="14" fontId="0" fillId="0" borderId="26" xfId="1" applyNumberFormat="1" applyFont="1" applyBorder="1" applyAlignment="1">
      <alignment horizontal="center" vertical="center"/>
    </xf>
    <xf numFmtId="2" fontId="0" fillId="0" borderId="27" xfId="0" applyNumberFormat="1" applyBorder="1"/>
    <xf numFmtId="0" fontId="3" fillId="4" borderId="0" xfId="0" applyFont="1" applyFill="1" applyProtection="1">
      <protection locked="0"/>
    </xf>
    <xf numFmtId="0" fontId="5" fillId="0" borderId="9" xfId="0" applyFont="1" applyBorder="1" applyAlignment="1">
      <alignment horizontal="center"/>
    </xf>
    <xf numFmtId="171" fontId="0" fillId="0" borderId="0" xfId="0" applyNumberFormat="1"/>
    <xf numFmtId="0" fontId="7" fillId="3" borderId="14" xfId="0" applyFont="1" applyFill="1" applyBorder="1" applyProtection="1">
      <protection locked="0"/>
    </xf>
    <xf numFmtId="3" fontId="5" fillId="0" borderId="28" xfId="0" applyNumberFormat="1" applyFont="1" applyBorder="1"/>
    <xf numFmtId="0" fontId="3" fillId="0" borderId="2" xfId="0" applyFont="1" applyBorder="1" applyAlignment="1" applyProtection="1">
      <alignment horizontal="center" wrapText="1"/>
      <protection locked="0" hidden="1"/>
    </xf>
    <xf numFmtId="0" fontId="0" fillId="0" borderId="0" xfId="0" quotePrefix="1"/>
    <xf numFmtId="0" fontId="4" fillId="0" borderId="0" xfId="0" applyFont="1" applyAlignment="1" applyProtection="1">
      <alignment horizontal="center"/>
      <protection locked="0"/>
    </xf>
    <xf numFmtId="167" fontId="0" fillId="0" borderId="29" xfId="0" applyNumberFormat="1" applyBorder="1"/>
    <xf numFmtId="14" fontId="0" fillId="0" borderId="0" xfId="0" applyNumberFormat="1"/>
    <xf numFmtId="0" fontId="3" fillId="0" borderId="30" xfId="0" applyFont="1" applyBorder="1"/>
    <xf numFmtId="167" fontId="4" fillId="0" borderId="2" xfId="0" applyNumberFormat="1" applyFont="1" applyBorder="1" applyProtection="1">
      <protection locked="0"/>
    </xf>
    <xf numFmtId="0" fontId="0" fillId="0" borderId="31" xfId="3" applyFont="1" applyBorder="1" applyAlignment="1">
      <alignment horizontal="center" vertical="center"/>
    </xf>
    <xf numFmtId="164" fontId="3" fillId="5" borderId="1" xfId="0" applyNumberFormat="1" applyFont="1" applyFill="1" applyBorder="1" applyAlignment="1" applyProtection="1">
      <alignment horizontal="left"/>
      <protection locked="0"/>
    </xf>
    <xf numFmtId="0" fontId="3" fillId="0" borderId="32" xfId="0" applyFont="1" applyBorder="1"/>
    <xf numFmtId="0" fontId="4" fillId="3" borderId="0" xfId="0" applyFont="1" applyFill="1" applyAlignment="1" applyProtection="1">
      <alignment horizontal="left"/>
      <protection locked="0"/>
    </xf>
    <xf numFmtId="0" fontId="3" fillId="0" borderId="33" xfId="0" applyFont="1" applyBorder="1"/>
    <xf numFmtId="0" fontId="4" fillId="0" borderId="0" xfId="0" quotePrefix="1" applyFont="1" applyProtection="1">
      <protection locked="0"/>
    </xf>
    <xf numFmtId="0" fontId="3" fillId="0" borderId="34" xfId="0" applyFont="1" applyBorder="1"/>
    <xf numFmtId="0" fontId="5" fillId="0" borderId="21" xfId="0" applyFont="1" applyBorder="1" applyAlignment="1">
      <alignment horizontal="center"/>
    </xf>
    <xf numFmtId="0" fontId="8" fillId="6" borderId="0" xfId="0" applyFont="1" applyFill="1" applyAlignment="1">
      <alignment horizontal="center"/>
    </xf>
    <xf numFmtId="167" fontId="0" fillId="0" borderId="35" xfId="0" applyNumberFormat="1" applyBorder="1"/>
    <xf numFmtId="167" fontId="4" fillId="0" borderId="0" xfId="0" applyNumberFormat="1" applyFont="1" applyAlignment="1" applyProtection="1">
      <alignment horizontal="center"/>
      <protection locked="0"/>
    </xf>
    <xf numFmtId="0" fontId="5" fillId="0" borderId="36" xfId="0" applyFont="1" applyBorder="1" applyAlignment="1">
      <alignment horizontal="center"/>
    </xf>
    <xf numFmtId="0" fontId="5" fillId="0" borderId="37" xfId="0" applyFont="1" applyBorder="1" applyAlignment="1">
      <alignment horizontal="center" wrapText="1"/>
    </xf>
    <xf numFmtId="0" fontId="3" fillId="0" borderId="2" xfId="0" applyFont="1" applyBorder="1" applyAlignment="1" applyProtection="1">
      <alignment horizontal="center" wrapText="1"/>
      <protection locked="0"/>
    </xf>
    <xf numFmtId="0" fontId="5" fillId="0" borderId="38" xfId="0" applyFont="1" applyBorder="1" applyAlignment="1">
      <alignment horizontal="center"/>
    </xf>
    <xf numFmtId="14" fontId="0" fillId="0" borderId="39" xfId="1" applyNumberFormat="1" applyFont="1" applyBorder="1" applyAlignment="1">
      <alignment horizontal="center" vertical="center"/>
    </xf>
    <xf numFmtId="0" fontId="5" fillId="0" borderId="28" xfId="0" applyFont="1" applyBorder="1" applyAlignment="1">
      <alignment horizontal="center" wrapText="1"/>
    </xf>
    <xf numFmtId="0" fontId="0" fillId="3" borderId="0" xfId="0" applyFill="1"/>
    <xf numFmtId="167" fontId="4" fillId="0" borderId="0" xfId="0" quotePrefix="1" applyNumberFormat="1" applyFont="1" applyProtection="1">
      <protection locked="0"/>
    </xf>
    <xf numFmtId="173" fontId="0" fillId="0" borderId="0" xfId="0" applyNumberFormat="1"/>
    <xf numFmtId="0" fontId="0" fillId="4" borderId="0" xfId="0" applyFill="1" applyAlignment="1" applyProtection="1">
      <alignment horizontal="left"/>
      <protection locked="0"/>
    </xf>
    <xf numFmtId="0" fontId="0" fillId="0" borderId="0" xfId="0" applyAlignment="1" applyProtection="1">
      <alignment horizontal="center"/>
      <protection locked="0"/>
    </xf>
    <xf numFmtId="0" fontId="3" fillId="0" borderId="0" xfId="0" applyFont="1" applyAlignment="1">
      <alignment horizontal="center"/>
    </xf>
    <xf numFmtId="9" fontId="0" fillId="0" borderId="41" xfId="0" applyNumberFormat="1" applyBorder="1" applyAlignment="1">
      <alignment horizontal="center"/>
    </xf>
    <xf numFmtId="0" fontId="5" fillId="0" borderId="7" xfId="0" applyFont="1" applyBorder="1" applyAlignment="1">
      <alignment horizontal="center"/>
    </xf>
    <xf numFmtId="0" fontId="8" fillId="0" borderId="0" xfId="0" applyFont="1"/>
    <xf numFmtId="10" fontId="4" fillId="0" borderId="2" xfId="0" applyNumberFormat="1" applyFont="1" applyBorder="1" applyProtection="1">
      <protection locked="0"/>
    </xf>
    <xf numFmtId="0" fontId="3" fillId="0" borderId="0" xfId="0" applyFont="1" applyAlignment="1">
      <alignment horizontal="center" wrapText="1"/>
    </xf>
    <xf numFmtId="0" fontId="0" fillId="0" borderId="43" xfId="0" applyBorder="1"/>
    <xf numFmtId="0" fontId="3" fillId="0" borderId="33" xfId="0" applyFont="1" applyBorder="1" applyAlignment="1">
      <alignment horizontal="center"/>
    </xf>
    <xf numFmtId="0" fontId="8" fillId="6" borderId="0" xfId="0" applyFont="1" applyFill="1"/>
    <xf numFmtId="1" fontId="4" fillId="0" borderId="0" xfId="0" applyNumberFormat="1" applyFont="1" applyProtection="1">
      <protection locked="0"/>
    </xf>
    <xf numFmtId="167" fontId="0" fillId="0" borderId="44" xfId="0" applyNumberFormat="1" applyBorder="1"/>
    <xf numFmtId="167" fontId="4" fillId="0" borderId="0" xfId="0" applyNumberFormat="1" applyFont="1" applyProtection="1">
      <protection locked="0"/>
    </xf>
    <xf numFmtId="3" fontId="0" fillId="0" borderId="0" xfId="0" applyNumberFormat="1"/>
    <xf numFmtId="168" fontId="4" fillId="0" borderId="2" xfId="0" quotePrefix="1" applyNumberFormat="1" applyFont="1" applyBorder="1" applyProtection="1">
      <protection locked="0"/>
    </xf>
    <xf numFmtId="0" fontId="5" fillId="0" borderId="45" xfId="0" applyFont="1" applyBorder="1" applyAlignment="1">
      <alignment horizontal="center" wrapText="1"/>
    </xf>
    <xf numFmtId="3" fontId="5" fillId="0" borderId="46" xfId="0" applyNumberFormat="1" applyFont="1" applyBorder="1"/>
    <xf numFmtId="9" fontId="4" fillId="0" borderId="2" xfId="0" applyNumberFormat="1" applyFont="1" applyBorder="1" applyProtection="1">
      <protection locked="0"/>
    </xf>
    <xf numFmtId="175" fontId="0" fillId="0" borderId="0" xfId="0" applyNumberFormat="1"/>
    <xf numFmtId="167" fontId="0" fillId="0" borderId="47" xfId="0" applyNumberFormat="1" applyBorder="1"/>
    <xf numFmtId="174" fontId="0" fillId="0" borderId="48" xfId="2" applyFont="1" applyBorder="1" applyAlignment="1">
      <alignment vertical="center"/>
    </xf>
    <xf numFmtId="3" fontId="5" fillId="0" borderId="49" xfId="0" applyNumberFormat="1" applyFont="1" applyBorder="1"/>
    <xf numFmtId="0" fontId="9" fillId="0" borderId="0" xfId="0" applyFont="1"/>
    <xf numFmtId="167" fontId="0" fillId="0" borderId="50" xfId="0" applyNumberFormat="1" applyBorder="1"/>
    <xf numFmtId="0" fontId="5" fillId="0" borderId="19" xfId="0" applyFont="1" applyBorder="1" applyAlignment="1">
      <alignment horizontal="center"/>
    </xf>
    <xf numFmtId="0" fontId="3" fillId="0" borderId="23" xfId="0" applyFont="1" applyBorder="1"/>
    <xf numFmtId="174" fontId="0" fillId="0" borderId="48" xfId="2" applyFont="1" applyBorder="1" applyAlignment="1">
      <alignment horizontal="left" vertical="center"/>
    </xf>
    <xf numFmtId="0" fontId="3" fillId="0" borderId="51" xfId="0" applyFont="1" applyBorder="1"/>
    <xf numFmtId="49" fontId="4" fillId="0" borderId="0" xfId="0" applyNumberFormat="1" applyFont="1" applyProtection="1">
      <protection locked="0"/>
    </xf>
    <xf numFmtId="0" fontId="5" fillId="0" borderId="52" xfId="0" applyFont="1" applyBorder="1" applyAlignment="1">
      <alignment horizontal="center" wrapText="1"/>
    </xf>
    <xf numFmtId="164" fontId="3" fillId="2" borderId="1" xfId="0" applyNumberFormat="1" applyFont="1" applyFill="1" applyBorder="1" applyAlignment="1" applyProtection="1">
      <alignment horizontal="left"/>
      <protection locked="0"/>
    </xf>
    <xf numFmtId="0" fontId="5" fillId="0" borderId="53" xfId="0" applyFont="1" applyBorder="1" applyAlignment="1">
      <alignment horizontal="center" wrapText="1"/>
    </xf>
    <xf numFmtId="0" fontId="5" fillId="0" borderId="37" xfId="0" applyFont="1" applyBorder="1" applyAlignment="1">
      <alignment horizontal="center"/>
    </xf>
    <xf numFmtId="14" fontId="0" fillId="0" borderId="0" xfId="1" applyNumberFormat="1" applyFont="1" applyAlignment="1">
      <alignment horizontal="center" vertical="center"/>
    </xf>
    <xf numFmtId="174" fontId="2" fillId="0" borderId="0" xfId="2" applyFont="1" applyAlignment="1">
      <alignment vertical="center"/>
    </xf>
    <xf numFmtId="164" fontId="3" fillId="0" borderId="0" xfId="0" applyNumberFormat="1" applyFont="1" applyProtection="1">
      <protection locked="0"/>
    </xf>
    <xf numFmtId="0" fontId="4" fillId="0" borderId="2" xfId="0" quotePrefix="1" applyFont="1" applyBorder="1" applyAlignment="1" applyProtection="1">
      <alignment horizontal="left"/>
      <protection locked="0"/>
    </xf>
    <xf numFmtId="166" fontId="3" fillId="0" borderId="2" xfId="0" applyNumberFormat="1" applyFont="1" applyBorder="1" applyAlignment="1" applyProtection="1">
      <alignment horizontal="center" wrapText="1"/>
      <protection locked="0"/>
    </xf>
    <xf numFmtId="3" fontId="5" fillId="0" borderId="54" xfId="0" applyNumberFormat="1" applyFont="1" applyBorder="1"/>
    <xf numFmtId="3" fontId="5" fillId="0" borderId="55" xfId="0" applyNumberFormat="1" applyFont="1" applyBorder="1"/>
    <xf numFmtId="0" fontId="5" fillId="0" borderId="28" xfId="0" applyFont="1" applyBorder="1" applyAlignment="1">
      <alignment horizontal="center"/>
    </xf>
    <xf numFmtId="172" fontId="4" fillId="0" borderId="0" xfId="0" applyNumberFormat="1" applyFont="1" applyAlignment="1" applyProtection="1">
      <alignment horizontal="center"/>
      <protection locked="0"/>
    </xf>
    <xf numFmtId="0" fontId="10" fillId="0" borderId="0" xfId="0" applyFont="1"/>
    <xf numFmtId="168" fontId="4" fillId="0" borderId="2" xfId="0" applyNumberFormat="1" applyFont="1" applyBorder="1" applyProtection="1">
      <protection locked="0"/>
    </xf>
    <xf numFmtId="166" fontId="3" fillId="5" borderId="1" xfId="0" applyNumberFormat="1" applyFont="1" applyFill="1" applyBorder="1" applyProtection="1">
      <protection locked="0"/>
    </xf>
    <xf numFmtId="0" fontId="0" fillId="0" borderId="3" xfId="0" applyBorder="1" applyAlignment="1">
      <alignment horizontal="center"/>
    </xf>
    <xf numFmtId="0" fontId="5" fillId="0" borderId="56" xfId="0" applyFont="1" applyBorder="1" applyAlignment="1">
      <alignment horizontal="center"/>
    </xf>
    <xf numFmtId="10" fontId="0" fillId="0" borderId="0" xfId="0" applyNumberFormat="1"/>
    <xf numFmtId="9" fontId="0" fillId="0" borderId="47" xfId="0" applyNumberFormat="1" applyBorder="1" applyAlignment="1">
      <alignment horizontal="center"/>
    </xf>
    <xf numFmtId="166" fontId="4" fillId="3" borderId="0" xfId="0" quotePrefix="1" applyNumberFormat="1" applyFont="1" applyFill="1" applyProtection="1">
      <protection locked="0"/>
    </xf>
    <xf numFmtId="0" fontId="3" fillId="2" borderId="2" xfId="0" applyFont="1" applyFill="1" applyBorder="1" applyProtection="1">
      <protection locked="0"/>
    </xf>
    <xf numFmtId="0" fontId="0" fillId="0" borderId="0" xfId="1" applyFont="1" applyAlignment="1">
      <alignment horizontal="right" vertical="center"/>
    </xf>
    <xf numFmtId="167" fontId="0" fillId="0" borderId="57" xfId="0" applyNumberFormat="1" applyBorder="1"/>
    <xf numFmtId="175" fontId="8" fillId="6" borderId="0" xfId="0" applyNumberFormat="1" applyFont="1" applyFill="1"/>
    <xf numFmtId="0" fontId="5" fillId="0" borderId="58" xfId="0" applyFont="1" applyBorder="1" applyAlignment="1">
      <alignment horizontal="center" wrapText="1"/>
    </xf>
    <xf numFmtId="0" fontId="4" fillId="0" borderId="2" xfId="0" applyFont="1" applyBorder="1" applyAlignment="1" applyProtection="1">
      <alignment horizontal="left"/>
      <protection locked="0"/>
    </xf>
    <xf numFmtId="172" fontId="0" fillId="0" borderId="0" xfId="0" applyNumberFormat="1"/>
    <xf numFmtId="167" fontId="0" fillId="0" borderId="59" xfId="0" applyNumberFormat="1" applyBorder="1"/>
    <xf numFmtId="14" fontId="0" fillId="0" borderId="25" xfId="1" applyNumberFormat="1" applyFont="1" applyBorder="1" applyAlignment="1">
      <alignment horizontal="center" vertical="center"/>
    </xf>
    <xf numFmtId="166" fontId="0" fillId="0" borderId="0" xfId="0" applyNumberFormat="1" applyAlignment="1" applyProtection="1">
      <alignment horizontal="center"/>
      <protection locked="0"/>
    </xf>
    <xf numFmtId="165" fontId="0" fillId="0" borderId="0" xfId="0" applyNumberFormat="1" applyProtection="1">
      <protection locked="0"/>
    </xf>
    <xf numFmtId="0" fontId="0" fillId="0" borderId="27" xfId="0" applyBorder="1"/>
    <xf numFmtId="0" fontId="5" fillId="0" borderId="45" xfId="0" applyFont="1" applyBorder="1" applyAlignment="1">
      <alignment horizontal="center"/>
    </xf>
    <xf numFmtId="0" fontId="5" fillId="0" borderId="60" xfId="0" applyFont="1" applyBorder="1" applyAlignment="1">
      <alignment horizontal="center"/>
    </xf>
    <xf numFmtId="167" fontId="0" fillId="0" borderId="61" xfId="0" applyNumberFormat="1" applyBorder="1"/>
    <xf numFmtId="0" fontId="6" fillId="0" borderId="0" xfId="0" applyFont="1" applyAlignment="1" applyProtection="1">
      <alignment horizontal="left"/>
      <protection locked="0"/>
    </xf>
    <xf numFmtId="168" fontId="4" fillId="0" borderId="0" xfId="0" quotePrefix="1" applyNumberFormat="1" applyFont="1" applyProtection="1">
      <protection locked="0"/>
    </xf>
    <xf numFmtId="166" fontId="4" fillId="3" borderId="0" xfId="0" applyNumberFormat="1" applyFont="1" applyFill="1" applyProtection="1">
      <protection locked="0"/>
    </xf>
    <xf numFmtId="0" fontId="5" fillId="0" borderId="46" xfId="0" applyFont="1" applyBorder="1" applyAlignment="1">
      <alignment horizontal="center" wrapText="1"/>
    </xf>
    <xf numFmtId="0" fontId="3" fillId="5" borderId="1" xfId="0" applyFont="1" applyFill="1" applyBorder="1" applyAlignment="1" applyProtection="1">
      <alignment horizontal="center"/>
      <protection locked="0"/>
    </xf>
    <xf numFmtId="4" fontId="4" fillId="0" borderId="0" xfId="0" applyNumberFormat="1" applyFont="1" applyAlignment="1" applyProtection="1">
      <alignment horizontal="right"/>
      <protection locked="0"/>
    </xf>
    <xf numFmtId="4" fontId="0" fillId="0" borderId="0" xfId="0" applyNumberFormat="1"/>
    <xf numFmtId="0" fontId="0" fillId="0" borderId="8" xfId="0" applyBorder="1" applyAlignment="1">
      <alignment horizontal="center"/>
    </xf>
    <xf numFmtId="0" fontId="5" fillId="0" borderId="49" xfId="0" applyFont="1" applyBorder="1" applyAlignment="1">
      <alignment horizontal="center" wrapText="1"/>
    </xf>
    <xf numFmtId="3" fontId="5" fillId="0" borderId="62" xfId="0" applyNumberFormat="1" applyFont="1" applyBorder="1"/>
    <xf numFmtId="0" fontId="5" fillId="0" borderId="55" xfId="0" applyFont="1" applyBorder="1" applyAlignment="1">
      <alignment horizontal="center"/>
    </xf>
    <xf numFmtId="0" fontId="5" fillId="0" borderId="62" xfId="0" applyFont="1" applyBorder="1" applyAlignment="1">
      <alignment horizontal="center" wrapText="1"/>
    </xf>
    <xf numFmtId="14" fontId="3" fillId="5" borderId="2" xfId="0" applyNumberFormat="1" applyFont="1" applyFill="1" applyBorder="1" applyAlignment="1" applyProtection="1">
      <alignment horizontal="left"/>
      <protection locked="0"/>
    </xf>
    <xf numFmtId="0" fontId="0" fillId="0" borderId="27" xfId="0" applyBorder="1" applyAlignment="1">
      <alignment horizontal="center"/>
    </xf>
    <xf numFmtId="0" fontId="4" fillId="0" borderId="0" xfId="0" quotePrefix="1" applyFont="1" applyAlignment="1" applyProtection="1">
      <alignment horizontal="left"/>
      <protection locked="0"/>
    </xf>
    <xf numFmtId="0" fontId="11" fillId="0" borderId="0" xfId="0" applyFont="1"/>
    <xf numFmtId="0" fontId="3" fillId="0" borderId="0" xfId="0" applyFont="1"/>
    <xf numFmtId="0" fontId="5" fillId="0" borderId="57" xfId="0" applyFont="1" applyBorder="1" applyAlignment="1">
      <alignment horizontal="center" wrapText="1"/>
    </xf>
    <xf numFmtId="168" fontId="4" fillId="0" borderId="0" xfId="0" applyNumberFormat="1" applyFont="1" applyProtection="1">
      <protection locked="0"/>
    </xf>
    <xf numFmtId="0" fontId="0" fillId="0" borderId="0" xfId="3" applyFont="1" applyAlignment="1">
      <alignment horizontal="center" vertical="center"/>
    </xf>
    <xf numFmtId="167" fontId="0" fillId="0" borderId="19" xfId="0" applyNumberFormat="1" applyBorder="1"/>
    <xf numFmtId="167" fontId="0" fillId="0" borderId="63" xfId="0" applyNumberFormat="1" applyBorder="1"/>
    <xf numFmtId="167" fontId="0" fillId="0" borderId="24" xfId="0" applyNumberFormat="1" applyBorder="1"/>
    <xf numFmtId="3" fontId="5" fillId="0" borderId="60" xfId="0" applyNumberFormat="1" applyFont="1" applyBorder="1"/>
    <xf numFmtId="174" fontId="0" fillId="0" borderId="64" xfId="2" applyFont="1" applyBorder="1" applyAlignment="1">
      <alignment vertical="center"/>
    </xf>
    <xf numFmtId="170" fontId="0" fillId="0" borderId="0" xfId="0" applyNumberFormat="1"/>
    <xf numFmtId="0" fontId="12" fillId="0" borderId="0" xfId="0" applyFont="1" applyProtection="1">
      <protection locked="0"/>
    </xf>
    <xf numFmtId="49" fontId="4" fillId="0" borderId="0" xfId="0" quotePrefix="1" applyNumberFormat="1" applyFont="1" applyProtection="1">
      <protection locked="0"/>
    </xf>
    <xf numFmtId="0" fontId="3" fillId="5" borderId="2" xfId="0" applyFont="1" applyFill="1" applyBorder="1" applyAlignment="1" applyProtection="1">
      <alignment horizontal="left"/>
      <protection locked="0"/>
    </xf>
    <xf numFmtId="0" fontId="3" fillId="4" borderId="2" xfId="0" applyFont="1" applyFill="1" applyBorder="1" applyAlignment="1" applyProtection="1">
      <alignment horizontal="center" wrapText="1"/>
      <protection locked="0"/>
    </xf>
    <xf numFmtId="164" fontId="3" fillId="5" borderId="2" xfId="0" quotePrefix="1" applyNumberFormat="1" applyFont="1" applyFill="1" applyBorder="1" applyAlignment="1" applyProtection="1">
      <alignment horizontal="left"/>
      <protection locked="0"/>
    </xf>
    <xf numFmtId="0" fontId="5" fillId="0" borderId="65" xfId="0" applyFont="1" applyBorder="1" applyAlignment="1">
      <alignment horizontal="center" wrapText="1"/>
    </xf>
    <xf numFmtId="0" fontId="5" fillId="0" borderId="66" xfId="0" applyFont="1" applyBorder="1" applyAlignment="1">
      <alignment horizontal="center" wrapText="1"/>
    </xf>
    <xf numFmtId="0" fontId="13" fillId="4" borderId="0" xfId="0" applyFont="1" applyFill="1" applyAlignment="1" applyProtection="1">
      <alignment horizontal="right"/>
      <protection locked="0"/>
    </xf>
    <xf numFmtId="3" fontId="5" fillId="0" borderId="17" xfId="0" applyNumberFormat="1" applyFont="1" applyBorder="1"/>
    <xf numFmtId="0" fontId="7" fillId="3" borderId="0" xfId="0" applyFont="1" applyFill="1" applyProtection="1">
      <protection locked="0"/>
    </xf>
    <xf numFmtId="0" fontId="3" fillId="5" borderId="1" xfId="0" applyFont="1" applyFill="1" applyBorder="1" applyProtection="1">
      <protection locked="0"/>
    </xf>
    <xf numFmtId="14" fontId="4" fillId="0" borderId="0" xfId="0" applyNumberFormat="1" applyFont="1" applyProtection="1">
      <protection locked="0"/>
    </xf>
    <xf numFmtId="0" fontId="4" fillId="0" borderId="0" xfId="0" applyFont="1" applyAlignment="1" applyProtection="1">
      <alignment horizontal="left"/>
      <protection locked="0"/>
    </xf>
    <xf numFmtId="14" fontId="0" fillId="0" borderId="31" xfId="1" applyNumberFormat="1" applyFont="1" applyBorder="1" applyAlignment="1">
      <alignment horizontal="center" vertical="center"/>
    </xf>
    <xf numFmtId="3" fontId="5" fillId="0" borderId="68" xfId="0" applyNumberFormat="1" applyFont="1" applyBorder="1"/>
    <xf numFmtId="0" fontId="0" fillId="0" borderId="69" xfId="0" applyBorder="1"/>
    <xf numFmtId="2" fontId="0" fillId="0" borderId="24" xfId="0" applyNumberFormat="1" applyBorder="1"/>
    <xf numFmtId="0" fontId="5" fillId="0" borderId="70" xfId="0" applyFont="1" applyBorder="1" applyAlignment="1">
      <alignment horizontal="center" wrapText="1"/>
    </xf>
    <xf numFmtId="0" fontId="3" fillId="3" borderId="2" xfId="0" applyFont="1" applyFill="1" applyBorder="1" applyAlignment="1" applyProtection="1">
      <alignment horizontal="center" wrapText="1"/>
      <protection locked="0"/>
    </xf>
    <xf numFmtId="0" fontId="0" fillId="0" borderId="72" xfId="0" applyBorder="1"/>
    <xf numFmtId="0" fontId="3" fillId="0" borderId="73" xfId="0" applyFont="1" applyBorder="1"/>
    <xf numFmtId="166" fontId="4" fillId="0" borderId="2" xfId="0" applyNumberFormat="1" applyFont="1" applyBorder="1" applyAlignment="1" applyProtection="1">
      <alignment horizontal="center"/>
      <protection locked="0"/>
    </xf>
    <xf numFmtId="0" fontId="6" fillId="0" borderId="0" xfId="0" quotePrefix="1" applyFont="1" applyAlignment="1" applyProtection="1">
      <alignment horizontal="left"/>
      <protection locked="0"/>
    </xf>
    <xf numFmtId="164" fontId="3" fillId="5" borderId="2" xfId="0" applyNumberFormat="1" applyFont="1" applyFill="1" applyBorder="1" applyAlignment="1" applyProtection="1">
      <alignment horizontal="left"/>
      <protection locked="0"/>
    </xf>
    <xf numFmtId="167" fontId="3" fillId="0" borderId="74" xfId="0" applyNumberFormat="1" applyFont="1" applyBorder="1"/>
    <xf numFmtId="0" fontId="5" fillId="0" borderId="62" xfId="0" applyFont="1" applyBorder="1" applyAlignment="1">
      <alignment horizontal="center"/>
    </xf>
    <xf numFmtId="14" fontId="6" fillId="0" borderId="0" xfId="0" applyNumberFormat="1" applyFont="1" applyAlignment="1" applyProtection="1">
      <alignment horizontal="left"/>
      <protection locked="0"/>
    </xf>
    <xf numFmtId="167" fontId="0" fillId="0" borderId="41" xfId="0" applyNumberFormat="1" applyBorder="1"/>
    <xf numFmtId="0" fontId="14" fillId="0" borderId="0" xfId="0" applyFont="1" applyAlignment="1" applyProtection="1">
      <alignment horizontal="left"/>
      <protection locked="0"/>
    </xf>
    <xf numFmtId="0" fontId="5" fillId="0" borderId="75" xfId="0" applyFont="1" applyBorder="1" applyAlignment="1">
      <alignment horizontal="center" wrapText="1"/>
    </xf>
    <xf numFmtId="0" fontId="3" fillId="0" borderId="76" xfId="0" applyFont="1" applyBorder="1"/>
    <xf numFmtId="0" fontId="5" fillId="0" borderId="57" xfId="0" applyFont="1" applyBorder="1" applyAlignment="1">
      <alignment horizontal="center"/>
    </xf>
    <xf numFmtId="0" fontId="3" fillId="5" borderId="2" xfId="0" applyFont="1" applyFill="1" applyBorder="1" applyProtection="1">
      <protection locked="0"/>
    </xf>
    <xf numFmtId="169" fontId="4" fillId="0" borderId="2" xfId="0" quotePrefix="1" applyNumberFormat="1" applyFont="1" applyBorder="1" applyProtection="1">
      <protection locked="0"/>
    </xf>
    <xf numFmtId="3" fontId="5" fillId="0" borderId="71" xfId="0" applyNumberFormat="1" applyFont="1" applyBorder="1"/>
    <xf numFmtId="0" fontId="5" fillId="0" borderId="77" xfId="0" applyFont="1" applyBorder="1" applyAlignment="1">
      <alignment horizontal="center"/>
    </xf>
    <xf numFmtId="0" fontId="0" fillId="3" borderId="0" xfId="0" applyFill="1" applyAlignment="1" applyProtection="1">
      <alignment horizontal="center"/>
      <protection locked="0"/>
    </xf>
    <xf numFmtId="0" fontId="4" fillId="0" borderId="2" xfId="0" applyFont="1" applyBorder="1" applyAlignment="1" applyProtection="1">
      <alignment horizontal="center" wrapText="1"/>
      <protection locked="0"/>
    </xf>
    <xf numFmtId="14" fontId="0" fillId="0" borderId="0" xfId="0" applyNumberFormat="1" applyProtection="1">
      <protection locked="0"/>
    </xf>
    <xf numFmtId="0" fontId="3" fillId="0" borderId="0" xfId="0" applyFont="1" applyAlignment="1">
      <alignment horizontal="left"/>
    </xf>
    <xf numFmtId="0" fontId="5" fillId="0" borderId="66" xfId="0" applyFont="1" applyBorder="1" applyAlignment="1">
      <alignment horizontal="center"/>
    </xf>
    <xf numFmtId="14" fontId="4" fillId="0" borderId="2" xfId="0" quotePrefix="1" applyNumberFormat="1" applyFont="1" applyBorder="1" applyAlignment="1" applyProtection="1">
      <alignment horizontal="left"/>
      <protection locked="0"/>
    </xf>
    <xf numFmtId="166" fontId="4" fillId="0" borderId="0" xfId="0" quotePrefix="1" applyNumberFormat="1" applyFont="1" applyAlignment="1" applyProtection="1">
      <alignment horizontal="left"/>
      <protection locked="0"/>
    </xf>
    <xf numFmtId="0" fontId="0" fillId="0" borderId="3" xfId="0" applyBorder="1"/>
    <xf numFmtId="10" fontId="4" fillId="0" borderId="0" xfId="0" applyNumberFormat="1" applyFont="1" applyAlignment="1" applyProtection="1">
      <alignment horizontal="center"/>
      <protection locked="0"/>
    </xf>
    <xf numFmtId="166" fontId="7" fillId="0" borderId="14" xfId="0" applyNumberFormat="1" applyFont="1" applyBorder="1" applyProtection="1">
      <protection locked="0"/>
    </xf>
    <xf numFmtId="174" fontId="0" fillId="0" borderId="0" xfId="2" applyFont="1" applyAlignment="1">
      <alignment vertical="center"/>
    </xf>
    <xf numFmtId="166" fontId="4" fillId="0" borderId="2" xfId="0" applyNumberFormat="1" applyFont="1" applyBorder="1" applyProtection="1">
      <protection locked="0"/>
    </xf>
    <xf numFmtId="0" fontId="5" fillId="0" borderId="78" xfId="0" applyFont="1" applyBorder="1" applyAlignment="1">
      <alignment horizontal="center" wrapText="1"/>
    </xf>
    <xf numFmtId="169" fontId="4" fillId="0" borderId="2" xfId="0" applyNumberFormat="1" applyFont="1" applyBorder="1" applyProtection="1">
      <protection locked="0"/>
    </xf>
    <xf numFmtId="0" fontId="5" fillId="0" borderId="16" xfId="0" applyFont="1" applyBorder="1" applyAlignment="1">
      <alignment horizontal="center" wrapText="1"/>
    </xf>
    <xf numFmtId="0" fontId="5" fillId="0" borderId="0" xfId="0" applyFont="1" applyAlignment="1">
      <alignment horizontal="center"/>
    </xf>
    <xf numFmtId="0" fontId="0" fillId="4" borderId="0" xfId="0" applyFill="1" applyProtection="1">
      <protection locked="0"/>
    </xf>
    <xf numFmtId="0" fontId="3" fillId="0" borderId="79" xfId="0" applyFont="1" applyBorder="1"/>
    <xf numFmtId="0" fontId="14" fillId="0" borderId="0" xfId="0" applyFont="1" applyProtection="1">
      <protection locked="0"/>
    </xf>
    <xf numFmtId="164" fontId="0" fillId="3" borderId="0" xfId="0" applyNumberFormat="1" applyFill="1" applyAlignment="1" applyProtection="1">
      <alignment horizontal="center"/>
      <protection locked="0"/>
    </xf>
    <xf numFmtId="0" fontId="4" fillId="0" borderId="0" xfId="0" applyFont="1" applyAlignment="1" applyProtection="1">
      <alignment horizontal="right" vertical="center"/>
      <protection locked="0"/>
    </xf>
    <xf numFmtId="9" fontId="0" fillId="0" borderId="44" xfId="0" applyNumberFormat="1" applyBorder="1" applyAlignment="1">
      <alignment horizontal="center"/>
    </xf>
    <xf numFmtId="167" fontId="0" fillId="0" borderId="80" xfId="0" applyNumberFormat="1" applyBorder="1"/>
    <xf numFmtId="167" fontId="0" fillId="0" borderId="81" xfId="0" applyNumberFormat="1" applyBorder="1"/>
    <xf numFmtId="167" fontId="0" fillId="0" borderId="82" xfId="0" applyNumberFormat="1" applyBorder="1"/>
    <xf numFmtId="167" fontId="0" fillId="7" borderId="22" xfId="0" applyNumberFormat="1" applyFill="1" applyBorder="1"/>
    <xf numFmtId="167" fontId="0" fillId="7" borderId="59" xfId="0" applyNumberFormat="1" applyFill="1" applyBorder="1"/>
    <xf numFmtId="167" fontId="0" fillId="7" borderId="19" xfId="0" applyNumberFormat="1" applyFill="1" applyBorder="1"/>
    <xf numFmtId="167" fontId="0" fillId="7" borderId="47" xfId="0" applyNumberFormat="1" applyFill="1" applyBorder="1"/>
    <xf numFmtId="167" fontId="0" fillId="7" borderId="35" xfId="0" applyNumberFormat="1" applyFill="1" applyBorder="1"/>
    <xf numFmtId="167" fontId="0" fillId="7" borderId="41" xfId="0" applyNumberFormat="1" applyFill="1" applyBorder="1"/>
    <xf numFmtId="14" fontId="4" fillId="0" borderId="0" xfId="0" quotePrefix="1" applyNumberFormat="1" applyFont="1" applyProtection="1">
      <protection locked="0"/>
    </xf>
    <xf numFmtId="0" fontId="4" fillId="0" borderId="0" xfId="0" applyFont="1" applyAlignment="1" applyProtection="1">
      <alignment horizontal="right"/>
      <protection locked="0"/>
    </xf>
    <xf numFmtId="0" fontId="4" fillId="0" borderId="0" xfId="0" quotePrefix="1" applyFont="1" applyAlignment="1" applyProtection="1">
      <alignment horizontal="right"/>
      <protection locked="0"/>
    </xf>
    <xf numFmtId="168" fontId="3" fillId="9" borderId="83" xfId="4" applyNumberFormat="1" applyFont="1" applyFill="1" applyBorder="1" applyProtection="1">
      <protection locked="0"/>
    </xf>
    <xf numFmtId="14" fontId="0" fillId="0" borderId="0" xfId="0" applyNumberFormat="1" applyAlignment="1" applyProtection="1">
      <alignment horizontal="center"/>
      <protection locked="0"/>
    </xf>
    <xf numFmtId="166" fontId="4" fillId="0" borderId="0" xfId="0" quotePrefix="1" applyNumberFormat="1" applyFont="1" applyProtection="1">
      <protection locked="0"/>
    </xf>
    <xf numFmtId="166" fontId="4" fillId="0" borderId="0" xfId="0" quotePrefix="1" applyNumberFormat="1" applyFont="1" applyAlignment="1" applyProtection="1">
      <alignment horizontal="center"/>
      <protection locked="0"/>
    </xf>
    <xf numFmtId="166" fontId="4" fillId="10" borderId="0" xfId="0" applyNumberFormat="1" applyFont="1" applyFill="1" applyProtection="1">
      <protection locked="0"/>
    </xf>
    <xf numFmtId="164" fontId="0" fillId="10" borderId="0" xfId="0" applyNumberFormat="1" applyFill="1" applyProtection="1">
      <protection locked="0"/>
    </xf>
    <xf numFmtId="0" fontId="0" fillId="10" borderId="0" xfId="0" applyFill="1" applyProtection="1">
      <protection locked="0"/>
    </xf>
    <xf numFmtId="0" fontId="3" fillId="10" borderId="0" xfId="0" applyFont="1" applyFill="1" applyProtection="1">
      <protection locked="0"/>
    </xf>
    <xf numFmtId="164" fontId="3" fillId="10" borderId="0" xfId="0" applyNumberFormat="1" applyFont="1" applyFill="1" applyProtection="1">
      <protection locked="0"/>
    </xf>
    <xf numFmtId="0" fontId="16" fillId="7" borderId="2" xfId="0" applyFont="1" applyFill="1" applyBorder="1" applyAlignment="1" applyProtection="1">
      <alignment horizontal="center" wrapText="1"/>
      <protection locked="0"/>
    </xf>
    <xf numFmtId="168" fontId="0" fillId="0" borderId="0" xfId="0" quotePrefix="1" applyNumberFormat="1"/>
    <xf numFmtId="168" fontId="3" fillId="0" borderId="0" xfId="4" applyNumberFormat="1" applyFont="1" applyFill="1" applyBorder="1" applyProtection="1">
      <protection locked="0"/>
    </xf>
    <xf numFmtId="3" fontId="0" fillId="0" borderId="0" xfId="0" quotePrefix="1" applyNumberFormat="1"/>
    <xf numFmtId="166" fontId="0" fillId="11" borderId="0" xfId="0" applyNumberFormat="1" applyFill="1" applyAlignment="1" applyProtection="1">
      <alignment horizontal="center"/>
      <protection locked="0"/>
    </xf>
    <xf numFmtId="0" fontId="3" fillId="12" borderId="2" xfId="0" applyFont="1" applyFill="1" applyBorder="1" applyAlignment="1" applyProtection="1">
      <alignment horizontal="center" wrapText="1"/>
      <protection locked="0"/>
    </xf>
    <xf numFmtId="166" fontId="3" fillId="12" borderId="2" xfId="0" applyNumberFormat="1" applyFont="1" applyFill="1" applyBorder="1" applyAlignment="1" applyProtection="1">
      <alignment horizontal="center" wrapText="1"/>
      <protection locked="0"/>
    </xf>
    <xf numFmtId="166" fontId="17" fillId="0" borderId="0" xfId="0" applyNumberFormat="1" applyFont="1" applyProtection="1">
      <protection locked="0"/>
    </xf>
    <xf numFmtId="166" fontId="17" fillId="0" borderId="0" xfId="0" applyNumberFormat="1" applyFont="1" applyAlignment="1" applyProtection="1">
      <alignment horizontal="center"/>
      <protection locked="0"/>
    </xf>
    <xf numFmtId="166" fontId="3" fillId="0" borderId="0" xfId="0" applyNumberFormat="1" applyFont="1" applyAlignment="1" applyProtection="1">
      <alignment horizontal="center"/>
      <protection locked="0"/>
    </xf>
    <xf numFmtId="166" fontId="3" fillId="11" borderId="0" xfId="0" applyNumberFormat="1" applyFont="1" applyFill="1" applyAlignment="1" applyProtection="1">
      <alignment horizontal="center"/>
      <protection locked="0"/>
    </xf>
    <xf numFmtId="14" fontId="14" fillId="0" borderId="0" xfId="0" applyNumberFormat="1" applyFont="1" applyAlignment="1" applyProtection="1">
      <alignment horizontal="left"/>
      <protection locked="0"/>
    </xf>
    <xf numFmtId="164" fontId="0" fillId="3" borderId="0" xfId="0" applyNumberFormat="1" applyFill="1" applyAlignment="1" applyProtection="1">
      <alignment horizontal="left"/>
      <protection locked="0"/>
    </xf>
    <xf numFmtId="0" fontId="18" fillId="4" borderId="0" xfId="0" applyFont="1" applyFill="1" applyAlignment="1" applyProtection="1">
      <alignment horizontal="left"/>
      <protection locked="0"/>
    </xf>
    <xf numFmtId="0" fontId="18" fillId="0" borderId="0" xfId="0" applyFont="1" applyProtection="1">
      <protection locked="0"/>
    </xf>
    <xf numFmtId="166" fontId="18" fillId="0" borderId="0" xfId="0" applyNumberFormat="1" applyFont="1" applyAlignment="1" applyProtection="1">
      <alignment horizontal="center"/>
      <protection locked="0"/>
    </xf>
    <xf numFmtId="164" fontId="18" fillId="0" borderId="0" xfId="0" applyNumberFormat="1" applyFont="1" applyProtection="1">
      <protection locked="0"/>
    </xf>
    <xf numFmtId="164" fontId="18" fillId="0" borderId="0" xfId="0" applyNumberFormat="1" applyFont="1" applyAlignment="1" applyProtection="1">
      <alignment horizontal="center"/>
      <protection locked="0"/>
    </xf>
    <xf numFmtId="49" fontId="6" fillId="0" borderId="0" xfId="0" applyNumberFormat="1" applyFont="1" applyProtection="1">
      <protection locked="0"/>
    </xf>
    <xf numFmtId="14" fontId="18" fillId="0" borderId="0" xfId="0" applyNumberFormat="1" applyFont="1" applyProtection="1">
      <protection locked="0"/>
    </xf>
    <xf numFmtId="0" fontId="18" fillId="0" borderId="0" xfId="0" applyFont="1" applyAlignment="1" applyProtection="1">
      <alignment horizontal="center"/>
      <protection locked="0"/>
    </xf>
    <xf numFmtId="0" fontId="18" fillId="4" borderId="0" xfId="0" applyFont="1" applyFill="1" applyProtection="1">
      <protection locked="0"/>
    </xf>
    <xf numFmtId="165" fontId="18" fillId="0" borderId="0" xfId="0" applyNumberFormat="1" applyFont="1" applyProtection="1">
      <protection locked="0"/>
    </xf>
    <xf numFmtId="1" fontId="0" fillId="0" borderId="27" xfId="0" applyNumberFormat="1" applyBorder="1"/>
    <xf numFmtId="1" fontId="0" fillId="0" borderId="8" xfId="0" applyNumberFormat="1" applyBorder="1"/>
    <xf numFmtId="1" fontId="0" fillId="0" borderId="3" xfId="0" applyNumberFormat="1" applyBorder="1"/>
    <xf numFmtId="0" fontId="19" fillId="7" borderId="0" xfId="0" applyFont="1" applyFill="1" applyProtection="1">
      <protection locked="0"/>
    </xf>
    <xf numFmtId="0" fontId="19" fillId="7" borderId="14" xfId="0" applyFont="1" applyFill="1" applyBorder="1" applyProtection="1">
      <protection locked="0"/>
    </xf>
    <xf numFmtId="0" fontId="16" fillId="7" borderId="1" xfId="0" applyFont="1" applyFill="1" applyBorder="1" applyAlignment="1" applyProtection="1">
      <alignment horizontal="left"/>
      <protection locked="0"/>
    </xf>
    <xf numFmtId="14" fontId="16" fillId="7" borderId="0" xfId="0" applyNumberFormat="1" applyFont="1" applyFill="1" applyProtection="1">
      <protection locked="0"/>
    </xf>
    <xf numFmtId="166" fontId="16" fillId="7" borderId="2" xfId="0" applyNumberFormat="1" applyFont="1" applyFill="1" applyBorder="1" applyProtection="1">
      <protection locked="0"/>
    </xf>
    <xf numFmtId="166" fontId="16" fillId="7" borderId="0" xfId="0" applyNumberFormat="1" applyFont="1" applyFill="1" applyProtection="1">
      <protection locked="0"/>
    </xf>
    <xf numFmtId="164" fontId="19" fillId="7" borderId="0" xfId="0" applyNumberFormat="1" applyFont="1" applyFill="1" applyProtection="1">
      <protection locked="0"/>
    </xf>
    <xf numFmtId="0" fontId="16" fillId="7" borderId="2" xfId="0" applyFont="1" applyFill="1" applyBorder="1" applyAlignment="1" applyProtection="1">
      <alignment horizontal="left"/>
      <protection locked="0"/>
    </xf>
    <xf numFmtId="1" fontId="4" fillId="0" borderId="0" xfId="0" quotePrefix="1" applyNumberFormat="1" applyFont="1" applyProtection="1">
      <protection locked="0"/>
    </xf>
    <xf numFmtId="9" fontId="4" fillId="0" borderId="0" xfId="0" quotePrefix="1" applyNumberFormat="1" applyFont="1" applyProtection="1">
      <protection locked="0"/>
    </xf>
    <xf numFmtId="2" fontId="3" fillId="5" borderId="1" xfId="0" applyNumberFormat="1" applyFont="1" applyFill="1" applyBorder="1" applyProtection="1">
      <protection locked="0"/>
    </xf>
    <xf numFmtId="2" fontId="4" fillId="0" borderId="0" xfId="0" quotePrefix="1" applyNumberFormat="1" applyFont="1" applyProtection="1">
      <protection locked="0"/>
    </xf>
    <xf numFmtId="2" fontId="4" fillId="0" borderId="2" xfId="0" applyNumberFormat="1" applyFont="1" applyBorder="1" applyProtection="1">
      <protection locked="0"/>
    </xf>
    <xf numFmtId="2" fontId="0" fillId="0" borderId="0" xfId="0" applyNumberFormat="1" applyAlignment="1" applyProtection="1">
      <alignment horizontal="center"/>
      <protection locked="0"/>
    </xf>
    <xf numFmtId="2" fontId="3" fillId="0" borderId="0" xfId="0" applyNumberFormat="1" applyFont="1" applyAlignment="1" applyProtection="1">
      <alignment horizontal="center"/>
      <protection locked="0"/>
    </xf>
    <xf numFmtId="2" fontId="7" fillId="0" borderId="14" xfId="0" applyNumberFormat="1" applyFont="1" applyBorder="1" applyProtection="1">
      <protection locked="0"/>
    </xf>
    <xf numFmtId="2" fontId="0" fillId="0" borderId="0" xfId="0" applyNumberFormat="1" applyProtection="1">
      <protection locked="0"/>
    </xf>
    <xf numFmtId="2" fontId="3" fillId="0" borderId="2" xfId="0" applyNumberFormat="1" applyFont="1" applyBorder="1" applyAlignment="1" applyProtection="1">
      <alignment horizontal="center" wrapText="1"/>
      <protection locked="0" hidden="1"/>
    </xf>
    <xf numFmtId="168" fontId="4" fillId="0" borderId="0" xfId="0" quotePrefix="1" applyNumberFormat="1" applyFont="1" applyAlignment="1" applyProtection="1">
      <alignment horizontal="center"/>
      <protection locked="0"/>
    </xf>
    <xf numFmtId="166" fontId="4" fillId="7" borderId="0" xfId="0" applyNumberFormat="1" applyFont="1" applyFill="1" applyProtection="1">
      <protection locked="0"/>
    </xf>
    <xf numFmtId="164" fontId="0" fillId="7" borderId="0" xfId="0" applyNumberFormat="1" applyFill="1" applyProtection="1">
      <protection locked="0"/>
    </xf>
    <xf numFmtId="0" fontId="3" fillId="7" borderId="0" xfId="0" applyFont="1" applyFill="1" applyProtection="1">
      <protection locked="0"/>
    </xf>
    <xf numFmtId="164" fontId="3" fillId="7" borderId="0" xfId="0" applyNumberFormat="1" applyFont="1" applyFill="1" applyProtection="1">
      <protection locked="0"/>
    </xf>
    <xf numFmtId="0" fontId="0" fillId="7" borderId="0" xfId="0" applyFill="1" applyProtection="1">
      <protection locked="0"/>
    </xf>
    <xf numFmtId="173" fontId="0" fillId="0" borderId="0" xfId="0" quotePrefix="1" applyNumberFormat="1"/>
    <xf numFmtId="167" fontId="4" fillId="0" borderId="0" xfId="0" quotePrefix="1" applyNumberFormat="1" applyFont="1" applyAlignment="1" applyProtection="1">
      <alignment horizontal="center"/>
      <protection locked="0"/>
    </xf>
    <xf numFmtId="3" fontId="4" fillId="0" borderId="0" xfId="0" quotePrefix="1" applyNumberFormat="1" applyFont="1" applyProtection="1">
      <protection locked="0"/>
    </xf>
    <xf numFmtId="0" fontId="0" fillId="0" borderId="0" xfId="0" applyAlignment="1">
      <alignment wrapText="1"/>
    </xf>
    <xf numFmtId="0" fontId="18" fillId="0" borderId="0" xfId="0" applyFont="1" applyAlignment="1">
      <alignment wrapText="1"/>
    </xf>
    <xf numFmtId="0" fontId="24" fillId="0" borderId="0" xfId="5" applyFont="1" applyFill="1" applyBorder="1" applyAlignment="1">
      <alignment horizontal="left" indent="2"/>
    </xf>
    <xf numFmtId="0" fontId="22" fillId="0" borderId="0" xfId="0" applyFont="1" applyAlignment="1">
      <alignment horizontal="left" indent="1"/>
    </xf>
    <xf numFmtId="0" fontId="25" fillId="0" borderId="0" xfId="0" applyFont="1" applyAlignment="1">
      <alignment wrapText="1"/>
    </xf>
    <xf numFmtId="0" fontId="21" fillId="0" borderId="0" xfId="0" applyFont="1" applyAlignment="1">
      <alignment horizontal="left"/>
    </xf>
    <xf numFmtId="0" fontId="20" fillId="0" borderId="0" xfId="0" applyFont="1"/>
    <xf numFmtId="0" fontId="26" fillId="0" borderId="84" xfId="0" applyFont="1" applyBorder="1" applyAlignment="1">
      <alignment horizontal="left"/>
    </xf>
    <xf numFmtId="0" fontId="26" fillId="0" borderId="85" xfId="0" applyFont="1" applyBorder="1" applyAlignment="1">
      <alignment horizontal="left"/>
    </xf>
    <xf numFmtId="0" fontId="5" fillId="0" borderId="42" xfId="0" applyFont="1" applyBorder="1" applyAlignment="1">
      <alignment horizontal="center" wrapText="1"/>
    </xf>
    <xf numFmtId="0" fontId="0" fillId="0" borderId="20" xfId="0" applyBorder="1" applyAlignment="1">
      <alignment horizontal="center" wrapText="1"/>
    </xf>
    <xf numFmtId="0" fontId="5" fillId="0" borderId="67" xfId="0" applyFont="1" applyBorder="1" applyAlignment="1">
      <alignment horizontal="center"/>
    </xf>
    <xf numFmtId="0" fontId="0" fillId="0" borderId="67" xfId="0" applyBorder="1" applyAlignment="1">
      <alignment horizontal="center"/>
    </xf>
    <xf numFmtId="0" fontId="0" fillId="0" borderId="71" xfId="0" applyBorder="1" applyAlignment="1">
      <alignment horizontal="center"/>
    </xf>
    <xf numFmtId="0" fontId="0" fillId="0" borderId="0" xfId="0" applyAlignment="1">
      <alignment horizontal="center"/>
    </xf>
    <xf numFmtId="0" fontId="5" fillId="0" borderId="40" xfId="0" applyFont="1" applyBorder="1" applyAlignment="1">
      <alignment horizontal="center"/>
    </xf>
    <xf numFmtId="0" fontId="3" fillId="0" borderId="0" xfId="0" applyFont="1" applyAlignment="1">
      <alignment horizontal="center"/>
    </xf>
    <xf numFmtId="10" fontId="3" fillId="0" borderId="0" xfId="0" applyNumberFormat="1" applyFont="1" applyAlignment="1">
      <alignment horizontal="center"/>
    </xf>
    <xf numFmtId="0" fontId="3" fillId="0" borderId="0" xfId="0" applyFont="1"/>
  </cellXfs>
  <cellStyles count="6">
    <cellStyle name="Good" xfId="4" builtinId="26"/>
    <cellStyle name="Hyperlink" xfId="5" builtinId="8"/>
    <cellStyle name="Normal" xfId="0" builtinId="0"/>
    <cellStyle name="Normal_AAA Temp" xfId="1" xr:uid="{00000000-0005-0000-0000-000002000000}"/>
    <cellStyle name="Normal_Camillus Hourly 2000-2001 Valuation" xfId="2" xr:uid="{00000000-0005-0000-0000-000003000000}"/>
    <cellStyle name="Normal_Camillus Hourly Retiree Benefits" xfId="3" xr:uid="{00000000-0005-0000-0000-000004000000}"/>
  </cellStyles>
  <dxfs count="0"/>
  <tableStyles count="1" defaultTableStyle="TableStyleMedium2" defaultPivotStyle="PivotStyleLight16">
    <tableStyle name="Invisible" pivot="0" table="0" count="0" xr9:uid="{119C718A-8909-4D5F-A7C9-49DDB12F79C9}"/>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ekog82\AppData\Roaming\Microsoft\AddIns\atpbgc2007.xlam" TargetMode="External"/><Relationship Id="rId1" Type="http://schemas.openxmlformats.org/officeDocument/2006/relationships/externalLinkPath" Target="file:///C:\Users\bekog82\AppData\Roaming\Microsoft\AddIns\atpbgc2007.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atpbgc2007"/>
    </sheetNames>
    <definedNames>
      <definedName name="anb"/>
      <definedName name="ATT"/>
      <definedName name="BFCFAEQ"/>
      <definedName name="BL"/>
      <definedName name="CCF"/>
      <definedName name="COMPM"/>
      <definedName name="ErrorCode"/>
      <definedName name="jsf"/>
      <definedName name="LRFAEQ"/>
      <definedName name="lx"/>
      <definedName name="NPVF2"/>
      <definedName name="NRD"/>
      <definedName name="PBGCBFCF2"/>
      <definedName name="PBGCERF"/>
      <definedName name="PBGCLRF"/>
      <definedName name="PBGCOFA"/>
      <definedName name="QPSAPVF"/>
      <definedName name="RBD"/>
      <definedName name="SERVYCA"/>
      <definedName name="XRA2"/>
    </definedNames>
    <sheetDataSet>
      <sheetData sheetId="0"/>
      <sheetData sheetId="1"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7DB51-59D2-40FE-8267-DB9BFA247EE0}">
  <sheetPr codeName="Sheet13"/>
  <dimension ref="B1:C22"/>
  <sheetViews>
    <sheetView workbookViewId="0">
      <selection activeCell="B2" sqref="B2:C2"/>
    </sheetView>
  </sheetViews>
  <sheetFormatPr defaultRowHeight="12.75"/>
  <cols>
    <col min="2" max="2" width="50.42578125" bestFit="1" customWidth="1"/>
    <col min="3" max="3" width="70.7109375" customWidth="1"/>
  </cols>
  <sheetData>
    <row r="1" spans="2:3" ht="13.5" thickBot="1"/>
    <row r="2" spans="2:3" ht="30.75" thickBot="1">
      <c r="B2" s="333" t="s">
        <v>808</v>
      </c>
      <c r="C2" s="334"/>
    </row>
    <row r="3" spans="2:3">
      <c r="B3" s="332"/>
    </row>
    <row r="4" spans="2:3" ht="23.25">
      <c r="B4" s="331" t="s">
        <v>802</v>
      </c>
    </row>
    <row r="5" spans="2:3" ht="18">
      <c r="B5" s="329" t="s">
        <v>800</v>
      </c>
    </row>
    <row r="6" spans="2:3" ht="15.75">
      <c r="B6" s="328" t="s">
        <v>795</v>
      </c>
      <c r="C6" s="330" t="s">
        <v>806</v>
      </c>
    </row>
    <row r="7" spans="2:3" ht="15.75">
      <c r="B7" s="328"/>
      <c r="C7" s="330"/>
    </row>
    <row r="8" spans="2:3" ht="23.25">
      <c r="B8" s="331" t="s">
        <v>798</v>
      </c>
    </row>
    <row r="9" spans="2:3" ht="18">
      <c r="B9" s="329" t="s">
        <v>799</v>
      </c>
    </row>
    <row r="10" spans="2:3" ht="31.5">
      <c r="B10" s="328" t="s">
        <v>793</v>
      </c>
      <c r="C10" s="330" t="s">
        <v>804</v>
      </c>
    </row>
    <row r="11" spans="2:3" ht="15.75">
      <c r="B11" s="328"/>
      <c r="C11" s="330"/>
    </row>
    <row r="12" spans="2:3" ht="23.25">
      <c r="B12" s="331" t="s">
        <v>797</v>
      </c>
    </row>
    <row r="13" spans="2:3" ht="18">
      <c r="B13" s="329" t="s">
        <v>799</v>
      </c>
    </row>
    <row r="14" spans="2:3" ht="15.75">
      <c r="B14" s="328" t="s">
        <v>792</v>
      </c>
      <c r="C14" s="330" t="s">
        <v>791</v>
      </c>
    </row>
    <row r="15" spans="2:3" ht="15.75">
      <c r="B15" s="328"/>
      <c r="C15" s="330"/>
    </row>
    <row r="16" spans="2:3" ht="23.25">
      <c r="B16" s="331" t="s">
        <v>803</v>
      </c>
    </row>
    <row r="17" spans="2:3" ht="18">
      <c r="B17" s="329" t="s">
        <v>800</v>
      </c>
    </row>
    <row r="18" spans="2:3" ht="31.5">
      <c r="B18" s="328" t="s">
        <v>794</v>
      </c>
      <c r="C18" s="330" t="s">
        <v>805</v>
      </c>
    </row>
    <row r="19" spans="2:3" ht="15.75">
      <c r="B19" s="328"/>
      <c r="C19" s="330"/>
    </row>
    <row r="20" spans="2:3" ht="23.25">
      <c r="B20" s="331" t="s">
        <v>788</v>
      </c>
    </row>
    <row r="21" spans="2:3" ht="18">
      <c r="B21" s="329" t="s">
        <v>801</v>
      </c>
    </row>
    <row r="22" spans="2:3" ht="31.5">
      <c r="B22" s="328" t="s">
        <v>796</v>
      </c>
      <c r="C22" s="330" t="s">
        <v>807</v>
      </c>
    </row>
  </sheetData>
  <mergeCells count="1">
    <mergeCell ref="B2:C2"/>
  </mergeCells>
  <hyperlinks>
    <hyperlink ref="B6" location="'Actives'!A1" display="Ver Activos" xr:uid="{B225901A-9ADF-47F8-A438-8B83D4946B67}"/>
    <hyperlink ref="B10" location="'Beneficiaries in Pay'!A1" display="Ver Beneficiarios en Pago" xr:uid="{05B39B42-07AC-407F-9FE6-F8384762B5CD}"/>
    <hyperlink ref="B14" location="'Retirees'!A1" display="Ver Retirados" xr:uid="{28979856-ADBD-4AEE-9D6A-CDF78C6CC7F2}"/>
    <hyperlink ref="B18" location="'Separated Vested'!A1" display="Ver Pensiones Diferidas" xr:uid="{7B12B46A-D338-43F7-8AB2-4D12B8D8335F}"/>
    <hyperlink ref="B22" location="'Tables'!A1" display="Ver Tablas Usadas" xr:uid="{93A30E14-C152-44DC-AA4C-B3E2DF0690F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D750-10FF-458A-95E0-13EFF75CB792}">
  <sheetPr codeName="Sheet7"/>
  <dimension ref="A1:F7"/>
  <sheetViews>
    <sheetView workbookViewId="0">
      <selection activeCell="C17" sqref="C17"/>
    </sheetView>
  </sheetViews>
  <sheetFormatPr defaultRowHeight="12.75"/>
  <cols>
    <col min="1" max="1" width="17.7109375" style="326" bestFit="1" customWidth="1"/>
    <col min="2" max="2" width="22.85546875" style="326" bestFit="1" customWidth="1"/>
    <col min="3" max="3" width="17.7109375" style="326" bestFit="1" customWidth="1"/>
    <col min="4" max="4" width="11.5703125" style="326" bestFit="1" customWidth="1"/>
    <col min="5" max="5" width="15.42578125" style="326" customWidth="1"/>
    <col min="6" max="6" width="70.5703125" style="326" customWidth="1"/>
  </cols>
  <sheetData>
    <row r="1" spans="1:6">
      <c r="A1" s="326" t="s">
        <v>781</v>
      </c>
      <c r="B1" s="326" t="s">
        <v>782</v>
      </c>
      <c r="C1" s="326" t="s">
        <v>783</v>
      </c>
      <c r="D1" s="326" t="s">
        <v>784</v>
      </c>
      <c r="E1" s="326" t="s">
        <v>785</v>
      </c>
      <c r="F1" s="326" t="s">
        <v>786</v>
      </c>
    </row>
    <row r="2" spans="1:6">
      <c r="A2" s="326" t="s">
        <v>179</v>
      </c>
      <c r="B2" s="327" t="s">
        <v>792</v>
      </c>
      <c r="C2" s="327" t="s">
        <v>797</v>
      </c>
      <c r="D2" s="327" t="s">
        <v>799</v>
      </c>
      <c r="E2" s="326">
        <v>1</v>
      </c>
      <c r="F2" s="327" t="s">
        <v>791</v>
      </c>
    </row>
    <row r="3" spans="1:6" ht="25.5">
      <c r="A3" s="326" t="s">
        <v>756</v>
      </c>
      <c r="B3" s="327" t="s">
        <v>793</v>
      </c>
      <c r="C3" s="327" t="s">
        <v>798</v>
      </c>
      <c r="D3" s="327" t="s">
        <v>799</v>
      </c>
      <c r="E3" s="326">
        <v>1</v>
      </c>
      <c r="F3" s="327" t="s">
        <v>804</v>
      </c>
    </row>
    <row r="4" spans="1:6" ht="25.5">
      <c r="A4" s="326" t="s">
        <v>686</v>
      </c>
      <c r="B4" s="327" t="s">
        <v>794</v>
      </c>
      <c r="C4" s="327" t="s">
        <v>803</v>
      </c>
      <c r="D4" s="327" t="s">
        <v>800</v>
      </c>
      <c r="E4" s="326">
        <v>1</v>
      </c>
      <c r="F4" s="327" t="s">
        <v>805</v>
      </c>
    </row>
    <row r="5" spans="1:6">
      <c r="A5" s="326" t="s">
        <v>787</v>
      </c>
      <c r="B5" s="327" t="s">
        <v>795</v>
      </c>
      <c r="C5" s="327" t="s">
        <v>802</v>
      </c>
      <c r="D5" s="327" t="s">
        <v>800</v>
      </c>
      <c r="E5" s="326">
        <v>1</v>
      </c>
      <c r="F5" s="327" t="s">
        <v>806</v>
      </c>
    </row>
    <row r="6" spans="1:6" ht="25.5">
      <c r="A6" s="326" t="s">
        <v>788</v>
      </c>
      <c r="B6" s="327" t="s">
        <v>796</v>
      </c>
      <c r="C6" s="326" t="s">
        <v>788</v>
      </c>
      <c r="D6" s="327" t="s">
        <v>801</v>
      </c>
      <c r="E6" s="326">
        <v>1</v>
      </c>
      <c r="F6" s="327" t="s">
        <v>807</v>
      </c>
    </row>
    <row r="7" spans="1:6">
      <c r="A7" s="326" t="s">
        <v>789</v>
      </c>
      <c r="B7" s="327" t="s">
        <v>790</v>
      </c>
      <c r="E7" s="326">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M16"/>
  <sheetViews>
    <sheetView topLeftCell="BR1" zoomScale="90" zoomScaleNormal="90" workbookViewId="0">
      <selection activeCell="CE6" sqref="CE6"/>
    </sheetView>
  </sheetViews>
  <sheetFormatPr defaultRowHeight="12.75"/>
  <cols>
    <col min="1" max="1" width="19.85546875" customWidth="1"/>
    <col min="2" max="3" width="19.42578125" customWidth="1"/>
    <col min="4" max="4" width="14" customWidth="1"/>
    <col min="5" max="5" width="8.85546875" customWidth="1"/>
    <col min="6" max="6" width="15.85546875" customWidth="1"/>
    <col min="7" max="14" width="14.42578125" customWidth="1"/>
    <col min="15" max="16" width="20.28515625" customWidth="1"/>
    <col min="17" max="17" width="12.5703125" customWidth="1"/>
    <col min="18" max="19" width="14.7109375" customWidth="1"/>
    <col min="20" max="20" width="10.85546875" customWidth="1"/>
    <col min="21" max="21" width="12" customWidth="1"/>
    <col min="22" max="23" width="13.85546875" customWidth="1"/>
    <col min="24" max="24" width="12.7109375" customWidth="1"/>
    <col min="25" max="25" width="14.28515625" customWidth="1"/>
    <col min="26" max="29" width="12.5703125" customWidth="1"/>
    <col min="30" max="30" width="13.42578125" customWidth="1"/>
    <col min="31" max="33" width="13.140625" customWidth="1"/>
    <col min="34" max="34" width="14.28515625" customWidth="1"/>
    <col min="35" max="35" width="13.7109375" customWidth="1"/>
    <col min="36" max="36" width="12.7109375" customWidth="1"/>
    <col min="37" max="37" width="15.7109375" customWidth="1"/>
    <col min="38" max="38" width="12.7109375" customWidth="1"/>
    <col min="39" max="39" width="18" customWidth="1"/>
    <col min="40" max="40" width="14.7109375" customWidth="1"/>
    <col min="41" max="42" width="12.140625" customWidth="1"/>
    <col min="43" max="43" width="8.85546875" customWidth="1"/>
    <col min="44" max="44" width="13.85546875" customWidth="1"/>
    <col min="45" max="45" width="13.28515625" customWidth="1"/>
    <col min="46" max="46" width="14.42578125" customWidth="1"/>
    <col min="47" max="47" width="18" customWidth="1"/>
    <col min="48" max="48" width="14.7109375" customWidth="1"/>
    <col min="49" max="49" width="12.140625" customWidth="1"/>
    <col min="50" max="50" width="12.28515625" customWidth="1"/>
    <col min="51" max="51" width="11.7109375" customWidth="1"/>
    <col min="52" max="52" width="19.140625" customWidth="1"/>
    <col min="53" max="53" width="18.5703125" customWidth="1"/>
    <col min="54" max="56" width="20.140625" customWidth="1"/>
    <col min="57" max="58" width="21.7109375" customWidth="1"/>
    <col min="59" max="59" width="25.140625" customWidth="1"/>
    <col min="60" max="60" width="22.140625" customWidth="1"/>
    <col min="61" max="61" width="28.28515625" customWidth="1"/>
    <col min="62" max="62" width="25.140625" customWidth="1"/>
    <col min="63" max="69" width="21.5703125" customWidth="1"/>
    <col min="70" max="70" width="30.28515625" customWidth="1"/>
    <col min="71" max="71" width="22.42578125" customWidth="1"/>
    <col min="72" max="72" width="32.42578125" customWidth="1"/>
    <col min="73" max="73" width="26.140625" customWidth="1"/>
    <col min="74" max="74" width="25.140625" customWidth="1"/>
    <col min="75" max="75" width="16.140625" customWidth="1"/>
    <col min="76" max="76" width="15.7109375" customWidth="1"/>
    <col min="77" max="77" width="17.5703125" customWidth="1"/>
    <col min="78" max="78" width="16.5703125" customWidth="1"/>
    <col min="79" max="79" width="14.7109375" customWidth="1"/>
    <col min="80" max="80" width="12.85546875" customWidth="1"/>
    <col min="81" max="81" width="14.28515625" customWidth="1"/>
    <col min="82" max="82" width="16.7109375" customWidth="1"/>
    <col min="83" max="83" width="17.140625" customWidth="1"/>
    <col min="84" max="84" width="18.42578125" customWidth="1"/>
    <col min="85" max="85" width="21.42578125" customWidth="1"/>
    <col min="86" max="86" width="16.7109375" customWidth="1"/>
    <col min="87" max="87" width="14.7109375" customWidth="1"/>
    <col min="88" max="88" width="21.7109375" customWidth="1"/>
    <col min="89" max="89" width="10.5703125" customWidth="1"/>
    <col min="90" max="90" width="14.5703125" bestFit="1" customWidth="1"/>
    <col min="91" max="91" width="10.5703125" customWidth="1"/>
    <col min="92" max="92" width="11.5703125" customWidth="1"/>
    <col min="93" max="96" width="22.140625" customWidth="1"/>
    <col min="97" max="97" width="15.42578125" customWidth="1"/>
    <col min="98" max="99" width="15" customWidth="1"/>
    <col min="100" max="103" width="16.140625" customWidth="1"/>
    <col min="104" max="108" width="20.140625" customWidth="1"/>
    <col min="109" max="111" width="16.140625" customWidth="1"/>
    <col min="112" max="112" width="17.28515625" customWidth="1"/>
    <col min="113" max="113" width="17.5703125" customWidth="1"/>
    <col min="114" max="114" width="17.140625" customWidth="1"/>
    <col min="115" max="115" width="17.85546875" customWidth="1"/>
    <col min="116" max="116" width="17.7109375" customWidth="1"/>
    <col min="117" max="117" width="18" customWidth="1"/>
  </cols>
  <sheetData>
    <row r="1" spans="1:117" ht="13.5" thickBot="1">
      <c r="A1" s="70" t="s">
        <v>468</v>
      </c>
      <c r="B1" s="61" t="s">
        <v>663</v>
      </c>
      <c r="C1" s="61" t="s">
        <v>519</v>
      </c>
      <c r="D1" s="61" t="s">
        <v>306</v>
      </c>
      <c r="E1" s="83" t="s">
        <v>405</v>
      </c>
      <c r="F1" s="83" t="s">
        <v>168</v>
      </c>
      <c r="G1" s="57" t="s">
        <v>314</v>
      </c>
      <c r="H1" s="57" t="s">
        <v>87</v>
      </c>
      <c r="I1" s="57" t="s">
        <v>230</v>
      </c>
      <c r="J1" s="57" t="s">
        <v>144</v>
      </c>
      <c r="K1" s="57" t="s">
        <v>434</v>
      </c>
      <c r="L1" s="57" t="s">
        <v>183</v>
      </c>
      <c r="M1" s="57" t="s">
        <v>302</v>
      </c>
      <c r="N1" s="57" t="s">
        <v>580</v>
      </c>
      <c r="O1" s="57" t="s">
        <v>156</v>
      </c>
      <c r="P1" s="57" t="s">
        <v>303</v>
      </c>
      <c r="Q1" s="57" t="s">
        <v>164</v>
      </c>
      <c r="R1" s="57" t="s">
        <v>408</v>
      </c>
      <c r="S1" s="57" t="s">
        <v>372</v>
      </c>
      <c r="T1" s="57" t="s">
        <v>105</v>
      </c>
      <c r="U1" s="57" t="s">
        <v>529</v>
      </c>
      <c r="V1" s="57" t="s">
        <v>478</v>
      </c>
      <c r="W1" s="57" t="s">
        <v>439</v>
      </c>
      <c r="X1" s="57" t="s">
        <v>111</v>
      </c>
      <c r="Y1" s="57" t="s">
        <v>438</v>
      </c>
      <c r="Z1" s="57" t="s">
        <v>15</v>
      </c>
      <c r="AA1" s="57" t="s">
        <v>560</v>
      </c>
      <c r="AB1" s="57" t="s">
        <v>9</v>
      </c>
      <c r="AC1" s="57" t="s">
        <v>575</v>
      </c>
      <c r="AD1" s="57" t="s">
        <v>417</v>
      </c>
      <c r="AE1" s="57" t="s">
        <v>374</v>
      </c>
      <c r="AF1" s="57" t="s">
        <v>543</v>
      </c>
      <c r="AG1" s="57" t="s">
        <v>592</v>
      </c>
      <c r="AH1" s="57" t="s">
        <v>480</v>
      </c>
      <c r="AI1" s="57" t="s">
        <v>548</v>
      </c>
      <c r="AJ1" s="204" t="s">
        <v>574</v>
      </c>
      <c r="AK1" s="204" t="s">
        <v>359</v>
      </c>
      <c r="AL1" s="204" t="s">
        <v>531</v>
      </c>
      <c r="AM1" s="204" t="s">
        <v>133</v>
      </c>
      <c r="AN1" s="204" t="s">
        <v>234</v>
      </c>
      <c r="AO1" s="204" t="s">
        <v>56</v>
      </c>
      <c r="AP1" s="204" t="s">
        <v>162</v>
      </c>
      <c r="AQ1" s="204" t="s">
        <v>93</v>
      </c>
      <c r="AR1" s="204" t="s">
        <v>199</v>
      </c>
      <c r="AS1" s="204" t="s">
        <v>252</v>
      </c>
      <c r="AT1" s="204" t="s">
        <v>152</v>
      </c>
      <c r="AU1" s="204" t="s">
        <v>522</v>
      </c>
      <c r="AV1" s="204" t="s">
        <v>563</v>
      </c>
      <c r="AW1" s="204" t="s">
        <v>414</v>
      </c>
      <c r="AX1" s="204" t="s">
        <v>72</v>
      </c>
      <c r="AY1" s="204" t="s">
        <v>35</v>
      </c>
      <c r="AZ1" s="204" t="s">
        <v>679</v>
      </c>
      <c r="BA1" s="204" t="s">
        <v>324</v>
      </c>
      <c r="BB1" s="204" t="s">
        <v>518</v>
      </c>
      <c r="BC1" s="204" t="s">
        <v>187</v>
      </c>
      <c r="BD1" s="204" t="s">
        <v>526</v>
      </c>
      <c r="BE1" s="147" t="s">
        <v>295</v>
      </c>
      <c r="BF1" s="147" t="s">
        <v>358</v>
      </c>
      <c r="BG1" s="147" t="s">
        <v>371</v>
      </c>
      <c r="BH1" s="147" t="s">
        <v>687</v>
      </c>
      <c r="BI1" s="147" t="s">
        <v>688</v>
      </c>
      <c r="BJ1" s="147" t="s">
        <v>266</v>
      </c>
      <c r="BK1" s="204" t="s">
        <v>259</v>
      </c>
      <c r="BL1" s="204" t="s">
        <v>151</v>
      </c>
      <c r="BM1" s="204" t="s">
        <v>441</v>
      </c>
      <c r="BN1" s="204" t="s">
        <v>108</v>
      </c>
      <c r="BO1" s="204" t="s">
        <v>440</v>
      </c>
      <c r="BP1" s="204" t="s">
        <v>672</v>
      </c>
      <c r="BQ1" s="204" t="s">
        <v>21</v>
      </c>
      <c r="BR1" s="172" t="s">
        <v>572</v>
      </c>
      <c r="BS1" s="172" t="s">
        <v>363</v>
      </c>
      <c r="BT1" s="172" t="s">
        <v>323</v>
      </c>
      <c r="BU1" s="172" t="s">
        <v>208</v>
      </c>
      <c r="BV1" s="172" t="s">
        <v>567</v>
      </c>
      <c r="BW1" s="204" t="s">
        <v>150</v>
      </c>
      <c r="BX1" s="172" t="s">
        <v>245</v>
      </c>
      <c r="BY1" s="172" t="s">
        <v>513</v>
      </c>
      <c r="BZ1" s="172" t="s">
        <v>346</v>
      </c>
      <c r="CA1" s="172" t="s">
        <v>24</v>
      </c>
      <c r="CB1" s="172" t="s">
        <v>192</v>
      </c>
      <c r="CC1" s="172" t="s">
        <v>121</v>
      </c>
      <c r="CD1" s="172" t="s">
        <v>410</v>
      </c>
      <c r="CE1" s="172" t="s">
        <v>304</v>
      </c>
      <c r="CF1" s="172" t="s">
        <v>48</v>
      </c>
      <c r="CG1" s="172" t="s">
        <v>509</v>
      </c>
      <c r="CH1" s="172" t="s">
        <v>393</v>
      </c>
      <c r="CI1" s="172" t="s">
        <v>500</v>
      </c>
      <c r="CJ1" s="204" t="s">
        <v>492</v>
      </c>
      <c r="CK1" s="204" t="s">
        <v>540</v>
      </c>
      <c r="CL1" s="204" t="s">
        <v>202</v>
      </c>
      <c r="CM1" s="204" t="s">
        <v>330</v>
      </c>
      <c r="CN1" s="204" t="s">
        <v>273</v>
      </c>
      <c r="CO1" s="204" t="s">
        <v>418</v>
      </c>
      <c r="CP1" s="204" t="s">
        <v>169</v>
      </c>
      <c r="CQ1" s="204" t="s">
        <v>391</v>
      </c>
      <c r="CR1" s="204" t="s">
        <v>380</v>
      </c>
      <c r="CS1" s="204" t="s">
        <v>255</v>
      </c>
      <c r="CT1" s="204" t="s">
        <v>474</v>
      </c>
      <c r="CU1" s="204" t="s">
        <v>112</v>
      </c>
      <c r="CV1" s="204" t="s">
        <v>368</v>
      </c>
      <c r="CW1" s="204" t="s">
        <v>186</v>
      </c>
      <c r="CX1" s="204" t="s">
        <v>0</v>
      </c>
      <c r="CY1" s="204" t="s">
        <v>349</v>
      </c>
      <c r="CZ1" s="204" t="s">
        <v>400</v>
      </c>
      <c r="DA1" s="204" t="s">
        <v>508</v>
      </c>
      <c r="DB1" s="204" t="s">
        <v>532</v>
      </c>
      <c r="DC1" s="204" t="s">
        <v>549</v>
      </c>
      <c r="DD1" s="204" t="s">
        <v>562</v>
      </c>
      <c r="DE1" s="204" t="s">
        <v>443</v>
      </c>
      <c r="DF1" s="204" t="s">
        <v>426</v>
      </c>
      <c r="DG1" s="204" t="s">
        <v>96</v>
      </c>
      <c r="DH1" s="204" t="s">
        <v>599</v>
      </c>
      <c r="DI1" s="204" t="s">
        <v>601</v>
      </c>
      <c r="DJ1" s="204" t="s">
        <v>602</v>
      </c>
      <c r="DK1" s="204" t="s">
        <v>603</v>
      </c>
      <c r="DL1" s="204" t="s">
        <v>604</v>
      </c>
      <c r="DM1" s="204" t="s">
        <v>605</v>
      </c>
    </row>
    <row r="2" spans="1:117" ht="13.5" thickTop="1">
      <c r="A2" s="70" t="s">
        <v>213</v>
      </c>
      <c r="B2" s="216">
        <v>22361100</v>
      </c>
      <c r="C2" s="182" t="s">
        <v>496</v>
      </c>
      <c r="D2" s="182"/>
      <c r="E2" s="182" t="s">
        <v>496</v>
      </c>
      <c r="F2" s="182"/>
      <c r="G2" s="206"/>
      <c r="H2" s="206"/>
      <c r="I2" s="182"/>
      <c r="J2" s="206"/>
      <c r="K2" s="206"/>
      <c r="L2" s="206"/>
      <c r="M2" s="206"/>
      <c r="N2" s="206"/>
      <c r="O2" s="206" t="s">
        <v>449</v>
      </c>
      <c r="P2" s="182" t="s">
        <v>392</v>
      </c>
      <c r="Q2" s="206" t="s">
        <v>424</v>
      </c>
      <c r="R2" s="31" t="s">
        <v>116</v>
      </c>
      <c r="S2" s="31"/>
      <c r="T2" s="31" t="s">
        <v>424</v>
      </c>
      <c r="U2" s="205">
        <v>16510</v>
      </c>
      <c r="V2" s="205">
        <v>17078</v>
      </c>
      <c r="W2" s="205"/>
      <c r="X2" s="205">
        <v>25430</v>
      </c>
      <c r="Y2" s="32">
        <v>26390</v>
      </c>
      <c r="Z2" s="32">
        <v>38107</v>
      </c>
      <c r="AA2" s="32"/>
      <c r="AB2" s="32"/>
      <c r="AC2" s="32"/>
      <c r="AD2" s="261">
        <f>[1]!NRD(U2,65)</f>
        <v>40269</v>
      </c>
      <c r="AE2" s="87">
        <f>[1]!anb(U2,AD2)</f>
        <v>65</v>
      </c>
      <c r="AF2" s="87">
        <f>[1]!anb(U2,AJ2)</f>
        <v>59</v>
      </c>
      <c r="AG2" s="87">
        <f>IF(AND(ISBLANK(V2),ISBLANK(W2)),"NULL",[1]!anb(IF(O2="Y",W2,V2),AJ2))</f>
        <v>58</v>
      </c>
      <c r="AH2" s="87">
        <f>[1]!anb(U2,DOPT)</f>
        <v>68</v>
      </c>
      <c r="AI2" s="87">
        <f>IF(AND(ISBLANK(V2),ISBLANK(W2)),"NULL",[1]!anb(IF(O2="Y",W2,V2),DOPT))</f>
        <v>67</v>
      </c>
      <c r="AJ2" s="60">
        <v>38108</v>
      </c>
      <c r="AK2" s="60"/>
      <c r="AL2" s="60">
        <f>[1]!RBD(C2,DOPT,"P",U2,Z2,AA2,"N",O2)</f>
        <v>42461</v>
      </c>
      <c r="AM2" s="87" t="s">
        <v>218</v>
      </c>
      <c r="AN2" s="33">
        <v>0.5</v>
      </c>
      <c r="AO2" s="31">
        <v>0</v>
      </c>
      <c r="AP2" s="31">
        <f>IF(AO2&gt;0,AO2-[1]!COMPM(AJ2,[1]!NRD(DOPT,0)),0)</f>
        <v>0</v>
      </c>
      <c r="AQ2" s="45" t="s">
        <v>174</v>
      </c>
      <c r="AR2" s="31">
        <f>AH2</f>
        <v>68</v>
      </c>
      <c r="AS2" s="60">
        <f>[1]!NRD(DOPT,0)</f>
        <v>41395</v>
      </c>
      <c r="AT2" s="77">
        <f>AI2</f>
        <v>67</v>
      </c>
      <c r="AU2" s="31" t="str">
        <f>IF(AND(AM2="5",AP2=0),"2",IF(AND(OR(AM2="9",AM2="0"),,NOT(ISBLANK(IF(O2="Y",AC2,AB2))),IF(O2="Y",AC2,AB2)&lt;=DOPT),"2",AM2))</f>
        <v>9</v>
      </c>
      <c r="AV2" s="33">
        <f>IF(OR(AU2="9",AU2="0"),AN2,0)</f>
        <v>0.5</v>
      </c>
      <c r="AW2" s="31">
        <f>IF(AP2&gt;0,AO2,0)</f>
        <v>0</v>
      </c>
      <c r="AX2" s="31">
        <f>+AR2</f>
        <v>68</v>
      </c>
      <c r="AY2" s="31">
        <v>999</v>
      </c>
      <c r="AZ2" s="45">
        <v>3000</v>
      </c>
      <c r="BA2" s="31">
        <f>IF(DATE(YEAR(U2)+65,MONTH(U2),DAY(U2))&lt;DOPT,0,[1]!COMPM(DOPT,DATE(YEAR(U2)+65,MONTH(U2),DAY(U2))))</f>
        <v>0</v>
      </c>
      <c r="BB2" s="115">
        <f>[1]!PBGCERF(BA2)</f>
        <v>1</v>
      </c>
      <c r="BC2" s="31">
        <f>IF(DATE(YEAR(U2)+65,MONTH(U2),DAY(U2))&gt;=DOPT,0,[1]!COMPM(DATE(YEAR(U2)+65,MONTH(U2),DAY(U2)),MIN(MAX(AJ2,AD2),DOPT)))</f>
        <v>0</v>
      </c>
      <c r="BD2" s="115">
        <f>[1]!PBGCLRF(65+BC2/12)</f>
        <v>1</v>
      </c>
      <c r="BE2" s="144">
        <f>IF(AU2="2",1,IF(AU2="5",[1]!CCF(AP2),[1]!jsf(AR2,AT2,0.5)*IF(AU2="0",(1-(0.04*AV2*IF(AR2-AT2&lt;0,1-0.1*(AR2-AT2),IF(AR2-AT2&gt;0,0.6667^(0.2*(AR2-AT2)),1)))),1)))</f>
        <v>0.89100000000000001</v>
      </c>
      <c r="BF2" s="7">
        <f>ROUND(PBGC_MAX*BB2*BD2*BE2,2)</f>
        <v>4267.6899999999996</v>
      </c>
      <c r="BG2" s="7">
        <f>MIN(AZ2,BF2)</f>
        <v>3000</v>
      </c>
      <c r="BH2" s="7">
        <f>AZ2-BG2</f>
        <v>0</v>
      </c>
      <c r="BI2" s="238">
        <f>PC6_4022C_AR</f>
        <v>0.17230000000000001</v>
      </c>
      <c r="BJ2" s="7">
        <f>ROUND(BH2*BI2,2)</f>
        <v>0</v>
      </c>
      <c r="BK2" s="45">
        <f>BG2+BJ2</f>
        <v>3000</v>
      </c>
      <c r="BL2" s="45">
        <f>BK2</f>
        <v>3000</v>
      </c>
      <c r="BM2" s="266" t="str">
        <f>IF(AND(AA2&gt;0,AM2="9"),"2","NULL")</f>
        <v>NULL</v>
      </c>
      <c r="BN2" s="325">
        <f>IF(AND(AA2&gt;0,AM2="5"),AO2,0)</f>
        <v>0</v>
      </c>
      <c r="BO2" s="45" t="str">
        <f>IF(ISBLANK(AA2),"NULL",IF(OR(AU2="2",AND(AU2="5",[1]!COMPM(AJ2,[1]!NRD(AA2,0))=0)),"NULL",IF(AU2="9",ROUND(BK2*AV2,2),BK2)))</f>
        <v>NULL</v>
      </c>
      <c r="BP2" s="45" t="str">
        <f>BO2</f>
        <v>NULL</v>
      </c>
      <c r="BQ2" s="115">
        <f>ROUND([1]!NPVF2("MP",IF(AU2="9","JSC","SLA"),"N",DOPT,Q2,AH2,AR2,IF(AT2="NULL",0,AT2),AV2,AP2,0,DOPT,DOPT,"P","","",P2),4)</f>
        <v>15.578799999999999</v>
      </c>
      <c r="BR2" s="169">
        <f>ROUND(BG2*BQ2*12,0)</f>
        <v>560837</v>
      </c>
      <c r="BS2" s="169">
        <f>ROUND(BH2*BQ2*12,0)</f>
        <v>0</v>
      </c>
      <c r="BT2" s="169">
        <f>BR2+BS2</f>
        <v>560837</v>
      </c>
      <c r="BU2" s="169">
        <f>ROUND(BJ2*BQ2*12,0)</f>
        <v>0</v>
      </c>
      <c r="BV2" s="169">
        <f>BR2+BU2</f>
        <v>560837</v>
      </c>
      <c r="BW2" s="17">
        <f>Load_Percent</f>
        <v>1.11E-2</v>
      </c>
      <c r="BX2" s="20">
        <f>ROUND(BR2*BW2,0)</f>
        <v>6225</v>
      </c>
      <c r="BY2" s="20">
        <f>ROUND(BS2*BW2,0)</f>
        <v>0</v>
      </c>
      <c r="BZ2" s="49">
        <f>BY2</f>
        <v>0</v>
      </c>
      <c r="CA2" s="49">
        <f>BX2+BZ2</f>
        <v>6225</v>
      </c>
      <c r="CB2" s="49">
        <f>ROUND(BU2*BW2,0)</f>
        <v>0</v>
      </c>
      <c r="CC2" s="49">
        <f>BX2+CB2</f>
        <v>6225</v>
      </c>
      <c r="CD2" s="49">
        <f t="shared" ref="CD2:CE2" si="0">BR2+BX2</f>
        <v>567062</v>
      </c>
      <c r="CE2" s="49">
        <f t="shared" si="0"/>
        <v>0</v>
      </c>
      <c r="CF2" s="49">
        <f>CE2</f>
        <v>0</v>
      </c>
      <c r="CG2" s="49">
        <f>CD2+CF2</f>
        <v>567062</v>
      </c>
      <c r="CH2" s="49">
        <f>BU2+CB2</f>
        <v>0</v>
      </c>
      <c r="CI2" s="49">
        <f>CD2+CH2</f>
        <v>567062</v>
      </c>
      <c r="CJ2" s="31">
        <f>ROUND([1]!NPVF2("MP",IF(AU2="9","JSC","SLA"),"O",DOPT,Q2,AH2,AR2,IF(AT2="NULL",0,AT2),AV2,AP2,0,DOPT,DOPT,"P","",""),4)</f>
        <v>14.432499999999999</v>
      </c>
      <c r="CK2" s="169">
        <f>ROUND(12*CJ2*BK2,0)</f>
        <v>519570</v>
      </c>
      <c r="CL2" s="100" t="str">
        <f>IF(AND(AA2&gt;0,AM2="9"),ROUND([1]!NPVF2("MP","SLA","O",LS_Rates,IF(S2="M","F","M"),AI2,AT2,0,0,0,0,DOPT,DOPT,"P","",""),4),"NULL")</f>
        <v>NULL</v>
      </c>
      <c r="CM2" s="169" t="str">
        <f>IF(AND(AA2&gt;0,AM2="9"),ROUND(12*CL2*BO2,0),"NULL")</f>
        <v>NULL</v>
      </c>
      <c r="CN2" s="31" t="s">
        <v>449</v>
      </c>
      <c r="CO2" s="31" t="s">
        <v>553</v>
      </c>
      <c r="CP2" s="87" t="str">
        <f>IF(AND(AA2&gt;0,AM2="9"),BO2,"NULL")</f>
        <v>NULL</v>
      </c>
      <c r="CQ2" s="87" t="str">
        <f>IF(AA2&gt;0,BO2,"NULL")</f>
        <v>NULL</v>
      </c>
      <c r="CR2" s="87" t="str">
        <f>IF(AA2&gt;0,BO2,"NULL")</f>
        <v>NULL</v>
      </c>
      <c r="CS2" s="186">
        <f>ROUND(BV2*AH2,0)</f>
        <v>38136916</v>
      </c>
      <c r="CT2" s="186">
        <f>ROUND(BV2*AR2,0)</f>
        <v>38136916</v>
      </c>
      <c r="CU2" s="186" t="str">
        <f>IF(AJ2&lt;AD2,"ER",IF(AJ2&gt;AD2,"LR","NR"))</f>
        <v>ER</v>
      </c>
      <c r="CV2" s="45" t="str">
        <f>IF(AND(AZ2&gt;=BK2,AZ2-BK2&lt;5),"N","Y")</f>
        <v>N</v>
      </c>
      <c r="CW2" s="45" t="s">
        <v>449</v>
      </c>
      <c r="CX2" s="45" t="str">
        <f>IF(AND(AZ2&gt;BK2,AZ2-BK2&gt;=5),"D",IF(AND(AZ2&gt;BK2,AZ2-BK2&lt;5),"N",IF(AZ2=BK2,"M","I")))</f>
        <v>M</v>
      </c>
      <c r="CY2" s="45" t="str">
        <f>IF(CX2="D","Your current monthly benefit of $"&amp;TEXT(AZ2,"0000.00")&amp;" will decrease to $"&amp;TEXT(BK2,"0000.00")&amp;" because of the limitations placed on the monthly benefit payable at DOPT.  See the Benefit Calculation section for further details.","NULL")</f>
        <v>NULL</v>
      </c>
      <c r="CZ2" s="45" t="str">
        <f>IF(CX2="D","The benefits PBGC guarantees are limited by federal pension law to PBGC's maximum monthly amount that was in effect on the date of plan termination.  This amount is adjusted to reflect the participant's age and form of annuity.","NULL")</f>
        <v>NULL</v>
      </c>
      <c r="DA2" s="45" t="str">
        <f>IF(AND(CX2="D",BJ2&gt;0),"Under Section 4022(c) of ERISA, PBGC has allocated additional funds to non-guaranteed benefits based on PBGC's experience in recovering on claims against plan sponsors. PBGC has, therefore, increased your monthly benefit, as shown below.","NULL")</f>
        <v>NULL</v>
      </c>
      <c r="DB2" s="45" t="str">
        <f>IF(CX2="D","The benefits PBGC guarantees are limited by federal pension law to PBGC's maximum monthly amount that was in effect on the date of plan termination.  This amount is adjusted to reflect the participant's age and form of annuity.","NULL")</f>
        <v>NULL</v>
      </c>
      <c r="DC2" s="45" t="str">
        <f>IF(AND(CX2="D",BJ2&gt;0),"Under Section 4022(c) of ERISA, PBGC has allocated additional funds to non-guaranteed benefits based on PBGC's experience in recovering on claims against plan sponsors. PBGC has, therefore, increased your monthly benefit, as shown below.","NULL")</f>
        <v>NULL</v>
      </c>
      <c r="DD2" s="45" t="str">
        <f>IF(CX2="D","The benefits PBGC guarantees are limited by federal pension law to PBGC's maximum monthly amount that was in effect on the date of plan termination.  This amount is adjusted to reflect the participant's age and form of annuity.","NULL")</f>
        <v>NULL</v>
      </c>
      <c r="DE2" s="45" t="str">
        <f>IF(CX2="D","Your current monthly benefit of $"&amp;TEXT(CB2,"0000.00")&amp;" will decrease to $"&amp;TEXT(AI2,"0000.00")&amp;" because of the limitations placed on the monthly benefit payable at DOPT.  See the Benefit Calculation section for further details.","NULL")</f>
        <v>NULL</v>
      </c>
      <c r="DF2" s="3" t="s">
        <v>140</v>
      </c>
      <c r="DG2" s="3" t="s">
        <v>140</v>
      </c>
      <c r="DH2" s="3" t="s">
        <v>449</v>
      </c>
      <c r="DI2" s="3" t="s">
        <v>449</v>
      </c>
      <c r="DJ2" s="3" t="s">
        <v>449</v>
      </c>
      <c r="DK2" s="3" t="s">
        <v>449</v>
      </c>
      <c r="DL2" s="3" t="s">
        <v>449</v>
      </c>
      <c r="DM2" s="3" t="s">
        <v>449</v>
      </c>
    </row>
    <row r="3" spans="1:117" ht="13.5" thickBot="1">
      <c r="A3" s="14"/>
      <c r="B3" s="139"/>
      <c r="C3" s="139"/>
      <c r="D3" s="139"/>
      <c r="E3" s="139"/>
      <c r="F3" s="139"/>
      <c r="G3" s="158"/>
      <c r="H3" s="158"/>
      <c r="I3" s="158"/>
      <c r="J3" s="158"/>
      <c r="K3" s="158"/>
      <c r="L3" s="158"/>
      <c r="M3" s="158"/>
      <c r="N3" s="158"/>
      <c r="O3" s="158"/>
      <c r="P3" s="158"/>
      <c r="Q3" s="158"/>
      <c r="R3" s="58"/>
      <c r="S3" s="58"/>
      <c r="T3" s="58"/>
      <c r="U3" s="44"/>
      <c r="V3" s="44"/>
      <c r="W3" s="44"/>
      <c r="X3" s="44"/>
      <c r="Y3" s="235"/>
      <c r="Z3" s="235"/>
      <c r="AA3" s="235"/>
      <c r="AB3" s="235"/>
      <c r="AC3" s="235"/>
      <c r="AD3" s="44"/>
      <c r="AE3" s="58"/>
      <c r="AF3" s="58"/>
      <c r="AG3" s="58"/>
      <c r="AH3" s="58"/>
      <c r="AI3" s="58"/>
      <c r="AJ3" s="4"/>
      <c r="AK3" s="4"/>
      <c r="AL3" s="4"/>
      <c r="AM3" s="58"/>
      <c r="AN3" s="120"/>
      <c r="AO3" s="58"/>
      <c r="AP3" s="58"/>
      <c r="AQ3" s="241"/>
      <c r="AR3" s="58"/>
      <c r="AS3" s="4"/>
      <c r="AT3" s="23"/>
      <c r="AU3" s="58"/>
      <c r="AV3" s="120"/>
      <c r="AW3" s="58"/>
      <c r="AX3" s="58"/>
      <c r="AY3" s="58"/>
      <c r="AZ3" s="241"/>
      <c r="BA3" s="50"/>
      <c r="BB3" s="50"/>
      <c r="BC3" s="50"/>
      <c r="BD3" s="50"/>
      <c r="BE3" s="215"/>
      <c r="BF3" s="215"/>
      <c r="BG3" s="215"/>
      <c r="BH3" s="215"/>
      <c r="BI3" s="215"/>
      <c r="BJ3" s="215"/>
      <c r="BK3" s="241"/>
      <c r="BL3" s="241"/>
      <c r="BM3" s="241"/>
      <c r="BN3" s="241"/>
      <c r="BO3" s="241"/>
      <c r="BP3" s="241"/>
      <c r="BQ3" s="81"/>
      <c r="BR3" s="117"/>
      <c r="BS3" s="117"/>
      <c r="BT3" s="117"/>
      <c r="BU3" s="117"/>
      <c r="BV3" s="117"/>
      <c r="BW3" s="108"/>
      <c r="BX3" s="227"/>
      <c r="BY3" s="56"/>
      <c r="BZ3" s="243"/>
      <c r="CA3" s="243"/>
      <c r="CB3" s="243"/>
      <c r="CC3" s="243"/>
      <c r="CD3" s="243"/>
      <c r="CE3" s="56"/>
      <c r="CF3" s="243"/>
      <c r="CG3" s="243"/>
      <c r="CH3" s="243"/>
      <c r="CI3" s="243"/>
      <c r="CJ3" s="58"/>
      <c r="CK3" s="146"/>
      <c r="CL3" s="146"/>
      <c r="CM3" s="146"/>
      <c r="CN3" s="58"/>
      <c r="CO3" s="58"/>
      <c r="CP3" s="58"/>
      <c r="CQ3" s="58"/>
      <c r="CR3" s="58"/>
      <c r="CS3" s="146"/>
      <c r="CT3" s="146"/>
      <c r="CU3" s="146"/>
      <c r="CV3" s="241"/>
      <c r="CW3" s="241"/>
      <c r="CX3" s="241"/>
      <c r="CY3" s="241"/>
      <c r="CZ3" s="241"/>
      <c r="DA3" s="241"/>
      <c r="DB3" s="241"/>
      <c r="DC3" s="241"/>
      <c r="DD3" s="241"/>
      <c r="DE3" s="241"/>
      <c r="DF3" s="241"/>
      <c r="DG3" s="241"/>
      <c r="DH3" s="241"/>
      <c r="DI3" s="241"/>
      <c r="DJ3" s="241"/>
      <c r="DK3" s="241"/>
      <c r="DL3" s="241"/>
      <c r="DM3" s="241"/>
    </row>
    <row r="4" spans="1:117" ht="13.5" thickTop="1">
      <c r="A4" s="102"/>
      <c r="B4" s="13"/>
      <c r="C4" s="13"/>
      <c r="D4" s="15"/>
      <c r="E4" s="15"/>
      <c r="F4" s="15"/>
      <c r="G4" s="15"/>
      <c r="H4" s="15"/>
      <c r="I4" s="15"/>
      <c r="J4" s="15"/>
      <c r="K4" s="15"/>
      <c r="L4" s="15"/>
      <c r="M4" s="15"/>
      <c r="N4" s="15"/>
      <c r="O4" s="15"/>
      <c r="P4" s="15"/>
      <c r="Q4" s="15"/>
      <c r="R4" s="15"/>
      <c r="S4" s="15"/>
      <c r="T4" s="15"/>
      <c r="U4" s="15"/>
      <c r="V4" s="15"/>
      <c r="W4" s="15"/>
      <c r="X4" s="15"/>
      <c r="Y4" s="15"/>
      <c r="Z4" s="15"/>
      <c r="AA4" s="15"/>
      <c r="AB4" s="15"/>
      <c r="AC4" s="15"/>
      <c r="AD4" s="261" t="s">
        <v>752</v>
      </c>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62"/>
      <c r="BF4" s="162"/>
      <c r="BG4" s="162"/>
      <c r="BH4" s="162"/>
      <c r="BI4" s="162"/>
      <c r="BJ4" s="162"/>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15"/>
      <c r="CR4" s="15"/>
      <c r="CS4" s="15"/>
      <c r="CT4" s="15"/>
      <c r="CU4" s="15"/>
      <c r="CV4" s="15"/>
      <c r="CW4" s="15"/>
      <c r="CX4" s="15"/>
      <c r="CY4" s="15"/>
      <c r="CZ4" s="15"/>
      <c r="DA4" s="15"/>
      <c r="DB4" s="15"/>
      <c r="DC4" s="15"/>
      <c r="DD4" s="15"/>
      <c r="DE4" s="15"/>
      <c r="DF4" s="15"/>
      <c r="DG4" s="15"/>
      <c r="DH4" s="15"/>
      <c r="DI4" s="15"/>
      <c r="DJ4" s="15"/>
      <c r="DK4" s="15"/>
      <c r="DL4" s="15"/>
      <c r="DM4" s="15"/>
    </row>
    <row r="5" spans="1:117">
      <c r="A5" s="201"/>
      <c r="B5" s="216"/>
      <c r="D5" s="15"/>
      <c r="E5" s="15"/>
      <c r="F5" s="15"/>
      <c r="G5" s="15"/>
      <c r="H5" s="15"/>
      <c r="I5" s="15"/>
      <c r="J5" s="15"/>
      <c r="K5" s="15"/>
      <c r="L5" s="15"/>
      <c r="M5" s="15"/>
      <c r="N5" s="15"/>
      <c r="O5" s="15"/>
      <c r="P5" s="15"/>
      <c r="Q5" s="55"/>
      <c r="R5" s="55"/>
      <c r="S5" s="55"/>
      <c r="T5" s="55"/>
      <c r="U5" s="55"/>
      <c r="V5" s="55"/>
      <c r="W5" s="55"/>
      <c r="X5" s="55"/>
      <c r="Y5" s="15"/>
      <c r="Z5" s="15"/>
      <c r="AA5" s="15"/>
      <c r="AB5" s="15"/>
      <c r="AC5" s="15"/>
      <c r="AD5" s="55"/>
      <c r="AE5" s="55"/>
      <c r="AF5" s="55"/>
      <c r="AG5" s="55"/>
      <c r="AH5" s="55"/>
      <c r="AI5" s="55"/>
      <c r="AJ5" s="21"/>
      <c r="AK5" s="21"/>
      <c r="AL5" s="21"/>
      <c r="AM5" s="55"/>
      <c r="AN5" s="55"/>
      <c r="AO5" s="55"/>
      <c r="AP5" s="55"/>
      <c r="AQ5" s="15"/>
      <c r="AR5" s="55"/>
      <c r="AS5" s="55"/>
      <c r="AT5" s="55"/>
      <c r="AU5" s="55"/>
      <c r="AV5" s="55"/>
      <c r="AW5" s="55"/>
      <c r="AX5" s="55"/>
      <c r="AY5" s="55"/>
      <c r="AZ5" s="55"/>
      <c r="BA5" s="21"/>
      <c r="BB5" s="21"/>
      <c r="BC5" s="21"/>
      <c r="BD5" s="21"/>
      <c r="BE5" s="162"/>
      <c r="BF5" s="162"/>
      <c r="BG5" s="162"/>
      <c r="BH5" s="162"/>
      <c r="BI5" s="162"/>
      <c r="BJ5" s="162"/>
      <c r="BK5" s="21"/>
      <c r="BL5" s="21"/>
      <c r="BM5" s="21"/>
      <c r="BN5" s="21"/>
      <c r="BO5" s="21"/>
      <c r="BP5" s="21"/>
      <c r="BQ5" s="55"/>
      <c r="BR5" s="15"/>
      <c r="BS5" s="15"/>
      <c r="BT5" s="15"/>
      <c r="BU5" s="15"/>
      <c r="BV5" s="15"/>
      <c r="BW5" s="55"/>
      <c r="BX5" s="15"/>
      <c r="BY5" s="15"/>
      <c r="BZ5" s="15"/>
      <c r="CA5" s="15"/>
      <c r="CB5" s="15"/>
      <c r="CC5" s="15"/>
      <c r="CD5" s="15"/>
      <c r="CE5" s="15"/>
      <c r="CF5" s="15"/>
      <c r="CG5" s="15"/>
      <c r="CH5" s="15"/>
      <c r="CI5" s="15"/>
      <c r="CJ5" s="55"/>
      <c r="CK5" s="55"/>
      <c r="CL5" s="55"/>
      <c r="CM5" s="55"/>
      <c r="CN5" s="55"/>
      <c r="CO5" s="55"/>
      <c r="CP5" s="55"/>
      <c r="CQ5" s="55"/>
      <c r="CR5" s="55"/>
      <c r="CS5" s="55"/>
      <c r="CT5" s="55"/>
      <c r="CU5" s="55"/>
      <c r="CV5" s="55"/>
      <c r="CW5" s="55"/>
      <c r="CX5" s="55"/>
      <c r="CY5" s="55"/>
      <c r="CZ5" s="55"/>
      <c r="DA5" s="55"/>
      <c r="DB5" s="55"/>
      <c r="DC5" s="55"/>
      <c r="DD5" s="55"/>
      <c r="DE5" s="55"/>
      <c r="DF5" s="55"/>
      <c r="DG5" s="55"/>
      <c r="DH5" s="55"/>
      <c r="DI5" s="55"/>
      <c r="DJ5" s="55"/>
      <c r="DK5" s="55"/>
      <c r="DL5" s="55"/>
      <c r="DM5" s="55"/>
    </row>
    <row r="6" spans="1:117">
      <c r="A6" s="201"/>
      <c r="B6" s="168"/>
      <c r="D6" s="15"/>
      <c r="E6" s="15"/>
      <c r="F6" s="15"/>
      <c r="G6" s="15"/>
      <c r="H6" s="15"/>
      <c r="I6" s="15"/>
      <c r="J6" s="15"/>
      <c r="K6" s="15"/>
      <c r="L6" s="15"/>
      <c r="M6" s="15"/>
      <c r="N6" s="15"/>
      <c r="O6" s="15"/>
      <c r="P6" s="15"/>
      <c r="Q6" s="15"/>
      <c r="R6" s="15"/>
      <c r="S6" s="15"/>
      <c r="T6" s="15"/>
      <c r="U6" s="15"/>
      <c r="V6" s="15"/>
      <c r="W6" s="15"/>
      <c r="X6" s="15"/>
      <c r="Y6" s="232"/>
      <c r="Z6" s="15"/>
      <c r="AA6" s="15"/>
      <c r="AB6" s="15"/>
      <c r="AC6" s="15"/>
      <c r="AD6" s="205"/>
      <c r="AE6" s="15"/>
      <c r="AF6" s="15"/>
      <c r="AG6" s="15"/>
      <c r="AH6" s="15"/>
      <c r="AI6" s="15"/>
      <c r="AJ6" s="103"/>
      <c r="AK6" s="103"/>
      <c r="AL6" s="103"/>
      <c r="AM6" s="15"/>
      <c r="AN6" s="15"/>
      <c r="AO6" s="15"/>
      <c r="AP6" s="15"/>
      <c r="AQ6" s="15"/>
      <c r="AR6" s="15"/>
      <c r="AS6" s="15"/>
      <c r="AT6" s="15"/>
      <c r="AU6" s="15"/>
      <c r="AV6" s="15"/>
      <c r="AW6" s="15"/>
      <c r="AX6" s="15"/>
      <c r="AY6" s="15"/>
      <c r="AZ6" s="10"/>
      <c r="BA6" s="103"/>
      <c r="BB6" s="103"/>
      <c r="BC6" s="103"/>
      <c r="BD6" s="103"/>
      <c r="BE6" s="162"/>
      <c r="BF6" s="162"/>
      <c r="BG6" s="162"/>
      <c r="BH6" s="162"/>
      <c r="BI6" s="162"/>
      <c r="BJ6" s="162"/>
      <c r="BK6" s="103"/>
      <c r="BL6" s="103"/>
      <c r="BM6" s="103"/>
      <c r="BN6" s="103"/>
      <c r="BO6" s="103"/>
      <c r="BP6" s="103"/>
      <c r="BQ6" s="10"/>
      <c r="BR6" s="15"/>
      <c r="BS6" s="15"/>
      <c r="BT6" s="15"/>
      <c r="BU6" s="15"/>
      <c r="BV6" s="15"/>
      <c r="BW6" s="10"/>
      <c r="BX6" s="15"/>
      <c r="BY6" s="15"/>
      <c r="BZ6" s="15"/>
      <c r="CA6" s="15"/>
      <c r="CB6" s="15"/>
      <c r="CC6" s="15"/>
      <c r="CD6" s="15"/>
      <c r="CE6" s="15"/>
      <c r="CF6" s="15"/>
      <c r="CG6" s="15"/>
      <c r="CH6" s="15"/>
      <c r="CI6" s="15"/>
      <c r="CJ6" s="10"/>
      <c r="CK6" s="10"/>
      <c r="CL6" s="10"/>
      <c r="CM6" s="10"/>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row>
    <row r="7" spans="1:117">
      <c r="A7" s="201"/>
      <c r="B7" s="206"/>
      <c r="D7" s="15"/>
      <c r="E7" s="15"/>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03"/>
      <c r="AK7" s="103"/>
      <c r="AL7" s="103"/>
      <c r="AM7" s="15"/>
      <c r="AN7" s="15"/>
      <c r="AO7" s="15"/>
      <c r="AP7" s="15"/>
      <c r="AQ7" s="15"/>
      <c r="AR7" s="15"/>
      <c r="AS7" s="15"/>
      <c r="AT7" s="15"/>
      <c r="AU7" s="15"/>
      <c r="AV7" s="15"/>
      <c r="AW7" s="15"/>
      <c r="AX7" s="15"/>
      <c r="AY7" s="15"/>
      <c r="AZ7" s="10"/>
      <c r="BA7" s="103"/>
      <c r="BB7" s="103"/>
      <c r="BC7" s="103"/>
      <c r="BD7" s="103"/>
      <c r="BE7" s="162"/>
      <c r="BF7" s="162"/>
      <c r="BG7" s="162"/>
      <c r="BH7" s="162"/>
      <c r="BI7" s="162"/>
      <c r="BJ7" s="162"/>
      <c r="BK7" s="103"/>
      <c r="BL7" s="103"/>
      <c r="BM7" s="103"/>
      <c r="BN7" s="103"/>
      <c r="BO7" s="103"/>
      <c r="BP7" s="103"/>
      <c r="BQ7" s="10"/>
      <c r="BR7" s="15"/>
      <c r="BS7" s="15"/>
      <c r="BT7" s="15"/>
      <c r="BU7" s="15"/>
      <c r="BV7" s="15"/>
      <c r="BW7" s="10"/>
      <c r="BX7" s="15"/>
      <c r="BY7" s="15"/>
      <c r="BZ7" s="15"/>
      <c r="CA7" s="15"/>
      <c r="CB7" s="15"/>
      <c r="CC7" s="15"/>
      <c r="CD7" s="15"/>
      <c r="CE7" s="15"/>
      <c r="CF7" s="15"/>
      <c r="CG7" s="15"/>
      <c r="CH7" s="15"/>
      <c r="CI7" s="15"/>
      <c r="CJ7" s="10"/>
      <c r="CK7" s="10"/>
      <c r="CL7" s="10"/>
      <c r="CM7" s="10"/>
      <c r="CN7" s="15"/>
      <c r="CO7" s="15"/>
      <c r="CP7" s="15"/>
      <c r="CQ7" s="15"/>
      <c r="CR7" s="15"/>
      <c r="CS7" s="15"/>
      <c r="CT7" s="15"/>
      <c r="CU7" s="15"/>
      <c r="CV7" s="15"/>
      <c r="CW7" s="15"/>
      <c r="CX7" s="15"/>
      <c r="CY7" s="15"/>
      <c r="CZ7" s="15"/>
      <c r="DA7" s="15"/>
      <c r="DB7" s="15"/>
      <c r="DC7" s="15"/>
      <c r="DD7" s="15"/>
      <c r="DE7" s="15"/>
      <c r="DF7" s="15"/>
      <c r="DG7" s="15"/>
      <c r="DH7" s="15"/>
      <c r="DI7" s="15"/>
      <c r="DJ7" s="15"/>
      <c r="DK7" s="15"/>
      <c r="DL7" s="15"/>
      <c r="DM7" s="15"/>
    </row>
    <row r="8" spans="1:117">
      <c r="A8" s="201"/>
      <c r="B8" s="220"/>
      <c r="D8" s="15"/>
      <c r="E8" s="15"/>
      <c r="F8" s="15"/>
      <c r="G8" s="15"/>
      <c r="H8" s="15"/>
      <c r="I8" s="15"/>
      <c r="J8" s="15"/>
      <c r="K8" s="15"/>
      <c r="L8" s="15"/>
      <c r="M8" s="15"/>
      <c r="N8" s="15"/>
      <c r="O8" s="15"/>
      <c r="P8" s="15"/>
      <c r="Q8" s="55"/>
      <c r="R8" s="55"/>
      <c r="S8" s="55"/>
      <c r="T8" s="55"/>
      <c r="U8" s="55"/>
      <c r="V8" s="55"/>
      <c r="W8" s="55"/>
      <c r="X8" s="55"/>
      <c r="Y8" s="15"/>
      <c r="Z8" s="15"/>
      <c r="AA8" s="15"/>
      <c r="AB8" s="15"/>
      <c r="AC8" s="15"/>
      <c r="AD8" s="55"/>
      <c r="AE8" s="55"/>
      <c r="AF8" s="55"/>
      <c r="AG8" s="55"/>
      <c r="AH8" s="55"/>
      <c r="AI8" s="55"/>
      <c r="AJ8" s="21"/>
      <c r="AK8" s="21"/>
      <c r="AL8" s="21"/>
      <c r="AM8" s="55"/>
      <c r="AN8" s="55"/>
      <c r="AO8" s="55"/>
      <c r="AP8" s="55"/>
      <c r="AQ8" s="15"/>
      <c r="AR8" s="55"/>
      <c r="AS8" s="55"/>
      <c r="AT8" s="55"/>
      <c r="AU8" s="55"/>
      <c r="AV8" s="55"/>
      <c r="AW8" s="55"/>
      <c r="AX8" s="55"/>
      <c r="AY8" s="55"/>
      <c r="AZ8" s="138"/>
      <c r="BA8" s="21"/>
      <c r="BB8" s="21"/>
      <c r="BC8" s="21"/>
      <c r="BD8" s="21"/>
      <c r="BE8" s="103"/>
      <c r="BF8" s="103"/>
      <c r="BG8" s="103"/>
      <c r="BH8" s="103"/>
      <c r="BI8" s="103"/>
      <c r="BJ8" s="103"/>
      <c r="BK8" s="21"/>
      <c r="BL8" s="21"/>
      <c r="BM8" s="21"/>
      <c r="BN8" s="21"/>
      <c r="BO8" s="21"/>
      <c r="BP8" s="21"/>
      <c r="BQ8" s="138"/>
      <c r="BR8" s="15"/>
      <c r="BS8" s="15"/>
      <c r="BT8" s="15"/>
      <c r="BU8" s="15"/>
      <c r="BV8" s="15"/>
      <c r="BW8" s="138"/>
      <c r="BX8" s="15"/>
      <c r="BY8" s="15"/>
      <c r="BZ8" s="15"/>
      <c r="CA8" s="15"/>
      <c r="CB8" s="15"/>
      <c r="CC8" s="15"/>
      <c r="CD8" s="15"/>
      <c r="CE8" s="15"/>
      <c r="CF8" s="15"/>
      <c r="CG8" s="15"/>
      <c r="CH8" s="15"/>
      <c r="CI8" s="15"/>
      <c r="CJ8" s="138"/>
      <c r="CK8" s="138"/>
      <c r="CL8" s="138"/>
      <c r="CM8" s="138"/>
      <c r="CN8" s="55"/>
      <c r="CO8" s="55"/>
      <c r="CP8" s="55"/>
      <c r="CQ8" s="55"/>
      <c r="CR8" s="55"/>
      <c r="CS8" s="55"/>
      <c r="CT8" s="55"/>
      <c r="CU8" s="55"/>
      <c r="CV8" s="55"/>
      <c r="CW8" s="55"/>
      <c r="CX8" s="55"/>
      <c r="CY8" s="55"/>
      <c r="CZ8" s="55"/>
      <c r="DA8" s="55"/>
      <c r="DB8" s="55"/>
      <c r="DC8" s="55"/>
      <c r="DD8" s="55"/>
      <c r="DE8" s="55"/>
      <c r="DF8" s="55"/>
      <c r="DG8" s="55"/>
      <c r="DH8" s="55"/>
      <c r="DI8" s="55"/>
      <c r="DJ8" s="55"/>
      <c r="DK8" s="55"/>
      <c r="DL8" s="55"/>
      <c r="DM8" s="55"/>
    </row>
    <row r="9" spans="1:117" ht="13.5" thickBot="1">
      <c r="A9" s="201"/>
      <c r="B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5"/>
      <c r="CT9" s="15"/>
      <c r="CU9" s="15"/>
      <c r="CV9" s="15"/>
      <c r="CW9" s="15"/>
      <c r="CX9" s="15"/>
      <c r="CY9" s="15"/>
      <c r="CZ9" s="15"/>
      <c r="DA9" s="15"/>
      <c r="DB9" s="15"/>
      <c r="DC9" s="15"/>
      <c r="DD9" s="15"/>
      <c r="DE9" s="15"/>
      <c r="DF9" s="15"/>
      <c r="DG9" s="15"/>
      <c r="DH9" s="15"/>
      <c r="DI9" s="15"/>
      <c r="DJ9" s="15"/>
      <c r="DK9" s="15"/>
      <c r="DL9" s="15"/>
      <c r="DM9" s="15"/>
    </row>
    <row r="10" spans="1:117" ht="14.25" thickTop="1" thickBot="1">
      <c r="A10" s="201"/>
      <c r="B10" s="168"/>
      <c r="D10" s="15"/>
      <c r="E10" s="15"/>
      <c r="F10" s="15"/>
      <c r="G10" s="15"/>
      <c r="H10" s="15"/>
      <c r="I10" s="15"/>
      <c r="J10" s="15"/>
      <c r="K10" s="15"/>
      <c r="L10" s="15"/>
      <c r="M10" s="15"/>
      <c r="N10" s="15"/>
      <c r="O10" s="15"/>
      <c r="P10" s="15"/>
      <c r="Q10" s="55"/>
      <c r="R10" s="55"/>
      <c r="S10" s="55"/>
      <c r="T10" s="55"/>
      <c r="U10" s="55"/>
      <c r="V10" s="55"/>
      <c r="W10" s="55"/>
      <c r="X10" s="55"/>
      <c r="Y10" s="15"/>
      <c r="Z10" s="15"/>
      <c r="AA10" s="15"/>
      <c r="AB10" s="15"/>
      <c r="AC10" s="15"/>
      <c r="AD10" s="55"/>
      <c r="AE10" s="55"/>
      <c r="AF10" s="55"/>
      <c r="AG10" s="55"/>
      <c r="AH10" s="55"/>
      <c r="AI10" s="55"/>
      <c r="AJ10" s="21"/>
      <c r="AK10" s="21"/>
      <c r="AL10" s="21"/>
      <c r="AQ10" s="15"/>
      <c r="AR10" s="55"/>
      <c r="AS10" s="55"/>
      <c r="AT10" s="55"/>
      <c r="AY10" s="55"/>
      <c r="AZ10" s="15"/>
      <c r="BA10" s="15"/>
      <c r="BB10" s="15"/>
      <c r="BC10" s="15"/>
      <c r="BD10" s="15"/>
      <c r="BE10" s="15"/>
      <c r="BF10" s="15"/>
      <c r="BG10" s="15"/>
      <c r="BH10" s="15"/>
      <c r="BI10" s="15"/>
      <c r="BJ10" s="15"/>
      <c r="BK10" s="15"/>
      <c r="BL10" s="15"/>
      <c r="BR10" s="264">
        <f>SUM(BR16:BR20)</f>
        <v>0</v>
      </c>
      <c r="BS10" s="264">
        <f t="shared" ref="BS10:CM10" si="1">SUM(BS16:BS20)</f>
        <v>0</v>
      </c>
      <c r="BT10" s="264">
        <f t="shared" si="1"/>
        <v>0</v>
      </c>
      <c r="BU10" s="264">
        <f t="shared" si="1"/>
        <v>0</v>
      </c>
      <c r="BV10" s="264">
        <f t="shared" si="1"/>
        <v>0</v>
      </c>
      <c r="BW10" s="138"/>
      <c r="BX10" s="264">
        <f t="shared" si="1"/>
        <v>0</v>
      </c>
      <c r="BY10" s="264">
        <f t="shared" si="1"/>
        <v>0</v>
      </c>
      <c r="BZ10" s="264">
        <f t="shared" si="1"/>
        <v>0</v>
      </c>
      <c r="CA10" s="264">
        <f t="shared" si="1"/>
        <v>0</v>
      </c>
      <c r="CB10" s="264">
        <f t="shared" si="1"/>
        <v>0</v>
      </c>
      <c r="CC10" s="264">
        <f t="shared" si="1"/>
        <v>0</v>
      </c>
      <c r="CD10" s="264">
        <f t="shared" si="1"/>
        <v>0</v>
      </c>
      <c r="CE10" s="264">
        <f t="shared" si="1"/>
        <v>0</v>
      </c>
      <c r="CF10" s="264">
        <f t="shared" si="1"/>
        <v>0</v>
      </c>
      <c r="CG10" s="264">
        <f t="shared" si="1"/>
        <v>0</v>
      </c>
      <c r="CH10" s="264">
        <f t="shared" si="1"/>
        <v>0</v>
      </c>
      <c r="CI10" s="264">
        <f t="shared" si="1"/>
        <v>0</v>
      </c>
      <c r="CJ10" s="138"/>
      <c r="CK10" s="264">
        <f t="shared" si="1"/>
        <v>0</v>
      </c>
      <c r="CL10" s="138"/>
      <c r="CM10" s="264">
        <f t="shared" si="1"/>
        <v>0</v>
      </c>
      <c r="CN10" s="55"/>
      <c r="CO10" s="55"/>
      <c r="CP10" s="55"/>
      <c r="CQ10" s="55"/>
      <c r="CR10" s="55"/>
      <c r="CS10" s="264">
        <f t="shared" ref="CS10:CT10" si="2">SUM(CS16:CS20)</f>
        <v>0</v>
      </c>
      <c r="CT10" s="264">
        <f t="shared" si="2"/>
        <v>0</v>
      </c>
      <c r="CU10" s="55"/>
      <c r="CV10" s="55"/>
      <c r="CW10" s="55"/>
      <c r="CX10" s="55"/>
      <c r="CY10" s="55"/>
      <c r="CZ10" s="55"/>
      <c r="DA10" s="55"/>
      <c r="DB10" s="55"/>
      <c r="DC10" s="55"/>
      <c r="DD10" s="55"/>
      <c r="DE10" s="55"/>
      <c r="DF10" s="55"/>
      <c r="DG10" s="55"/>
      <c r="DH10" s="55"/>
      <c r="DI10" s="55"/>
      <c r="DJ10" s="55"/>
      <c r="DK10" s="55"/>
      <c r="DL10" s="55"/>
      <c r="DM10" s="55"/>
    </row>
    <row r="11" spans="1:117" ht="13.5" thickTop="1">
      <c r="A11" s="201"/>
      <c r="B11" s="220"/>
      <c r="C11" s="220"/>
      <c r="D11" s="15"/>
      <c r="E11" s="15"/>
      <c r="F11" s="15"/>
      <c r="G11" s="15"/>
      <c r="H11" s="15"/>
      <c r="I11" s="15"/>
      <c r="J11" s="15"/>
      <c r="K11" s="15"/>
      <c r="L11" s="15"/>
      <c r="M11" s="15"/>
      <c r="N11" s="15"/>
      <c r="O11" s="15"/>
      <c r="P11" s="15"/>
      <c r="Q11" s="55"/>
      <c r="R11" s="55"/>
      <c r="S11" s="55"/>
      <c r="T11" s="55"/>
      <c r="U11" s="55"/>
      <c r="V11" s="55"/>
      <c r="W11" s="55"/>
      <c r="X11" s="55"/>
      <c r="Y11" s="15"/>
      <c r="Z11" s="15"/>
      <c r="AA11" s="15"/>
      <c r="AB11" s="15"/>
      <c r="AC11" s="15"/>
      <c r="AD11" s="55"/>
      <c r="AE11" s="55"/>
      <c r="AF11" s="55"/>
      <c r="AG11" s="55"/>
      <c r="AH11" s="55"/>
      <c r="AI11" s="55"/>
      <c r="AJ11" s="21"/>
      <c r="AK11" s="21"/>
      <c r="AL11" s="21"/>
      <c r="AQ11" s="15"/>
      <c r="AR11" s="55"/>
      <c r="AS11" s="55"/>
      <c r="AT11" s="55"/>
      <c r="AY11" s="55"/>
      <c r="BW11" s="138"/>
      <c r="BX11" s="15"/>
      <c r="BY11" s="15"/>
      <c r="BZ11" s="15"/>
      <c r="CA11" s="15"/>
      <c r="CB11" s="15"/>
      <c r="CC11" s="15"/>
      <c r="CD11" s="15"/>
      <c r="CE11" s="15"/>
      <c r="CF11" s="15"/>
      <c r="CG11" s="15"/>
      <c r="CH11" s="15"/>
      <c r="CI11" s="15"/>
      <c r="CJ11" s="138"/>
      <c r="CK11" s="138"/>
      <c r="CL11" s="138"/>
      <c r="CM11" s="138"/>
      <c r="CN11" s="55"/>
      <c r="CO11" s="55"/>
      <c r="CP11" s="55"/>
      <c r="CQ11" s="55"/>
      <c r="CR11" s="55"/>
      <c r="CS11" s="55"/>
      <c r="CT11" s="55"/>
      <c r="CU11" s="55"/>
      <c r="CV11" s="55"/>
      <c r="CW11" s="55"/>
      <c r="CX11" s="55"/>
      <c r="CY11" s="55"/>
      <c r="CZ11" s="55"/>
      <c r="DA11" s="55"/>
      <c r="DB11" s="55"/>
      <c r="DC11" s="55"/>
      <c r="DD11" s="55"/>
      <c r="DE11" s="55"/>
      <c r="DF11" s="55"/>
      <c r="DG11" s="55"/>
      <c r="DH11" s="55"/>
      <c r="DI11" s="55"/>
      <c r="DJ11" s="55"/>
      <c r="DK11" s="55"/>
      <c r="DL11" s="55"/>
      <c r="DM11" s="55"/>
    </row>
    <row r="12" spans="1:117">
      <c r="A12" s="246"/>
      <c r="B12" s="168"/>
      <c r="C12" s="168">
        <f>COUNTIF(C16:C101,"1")</f>
        <v>0</v>
      </c>
      <c r="D12" s="163"/>
      <c r="E12" s="163"/>
      <c r="F12" s="163"/>
      <c r="G12" s="15"/>
      <c r="H12" s="15"/>
      <c r="I12" s="15"/>
      <c r="J12" s="15"/>
      <c r="K12" s="15"/>
      <c r="L12" s="15"/>
      <c r="M12" s="15"/>
      <c r="N12" s="15"/>
      <c r="O12" s="15"/>
      <c r="P12" s="15"/>
      <c r="Q12" s="15"/>
      <c r="R12" s="15"/>
      <c r="S12" s="15"/>
      <c r="T12" s="15"/>
      <c r="U12" s="15"/>
      <c r="V12" s="15"/>
      <c r="W12" s="15"/>
      <c r="X12" s="15"/>
      <c r="Y12" s="15"/>
      <c r="Z12" s="15"/>
      <c r="AA12" s="15"/>
      <c r="AB12" s="15"/>
      <c r="AC12" s="15"/>
      <c r="AD12" s="248" t="s">
        <v>254</v>
      </c>
      <c r="AE12" s="15"/>
      <c r="AF12" s="15"/>
      <c r="AG12" s="15"/>
      <c r="AH12" s="15"/>
      <c r="AI12" s="15"/>
      <c r="AJ12" s="222"/>
      <c r="AK12" s="222"/>
      <c r="AL12" s="222"/>
      <c r="AM12" s="15"/>
      <c r="AN12" s="15"/>
      <c r="AO12" s="15"/>
      <c r="AP12" s="15"/>
      <c r="AQ12" s="222" t="s">
        <v>241</v>
      </c>
      <c r="AR12" s="15"/>
      <c r="AS12" s="15"/>
      <c r="AT12" s="15"/>
      <c r="AU12" s="15"/>
      <c r="AV12" s="15"/>
      <c r="AW12" s="15"/>
      <c r="AX12" s="15"/>
      <c r="AY12" s="15"/>
      <c r="AZ12" s="15"/>
      <c r="BA12" s="103"/>
      <c r="BB12" s="103"/>
      <c r="BC12" s="103"/>
      <c r="BD12" s="103"/>
      <c r="BE12" s="162"/>
      <c r="BF12" s="162"/>
      <c r="BG12" s="162"/>
      <c r="BH12" s="162"/>
      <c r="BI12" s="162"/>
      <c r="BJ12" s="162"/>
      <c r="BK12" s="103"/>
      <c r="BL12" s="103"/>
      <c r="BM12" s="103"/>
      <c r="BN12" s="103"/>
      <c r="BO12" s="103"/>
      <c r="BP12" s="103"/>
      <c r="BQ12" s="222" t="s">
        <v>435</v>
      </c>
      <c r="BR12" s="15"/>
      <c r="BS12" s="15"/>
      <c r="BT12" s="15"/>
      <c r="BU12" s="15"/>
      <c r="BV12" s="15"/>
      <c r="BW12" s="15"/>
      <c r="BX12" s="15"/>
      <c r="BY12" s="15"/>
      <c r="BZ12" s="15"/>
      <c r="CA12" s="15"/>
      <c r="CB12" s="15"/>
      <c r="CC12" s="15"/>
      <c r="CD12" s="15"/>
      <c r="CE12" s="15"/>
      <c r="CF12" s="15"/>
      <c r="CG12" s="15"/>
      <c r="CH12" s="15"/>
      <c r="CI12" s="15"/>
      <c r="CJ12" s="10"/>
      <c r="CK12" s="10"/>
      <c r="CL12" s="10"/>
      <c r="CM12" s="10"/>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row>
    <row r="13" spans="1:117" ht="77.25" thickBot="1">
      <c r="A13" s="197"/>
      <c r="B13" s="231"/>
      <c r="C13" s="231"/>
      <c r="D13" s="95"/>
      <c r="E13" s="95"/>
      <c r="F13" s="95" t="s">
        <v>145</v>
      </c>
      <c r="G13" s="95" t="s">
        <v>355</v>
      </c>
      <c r="H13" s="95" t="s">
        <v>79</v>
      </c>
      <c r="I13" s="95" t="s">
        <v>336</v>
      </c>
      <c r="J13" s="95" t="s">
        <v>345</v>
      </c>
      <c r="K13" s="95" t="s">
        <v>267</v>
      </c>
      <c r="L13" s="95" t="s">
        <v>225</v>
      </c>
      <c r="M13" s="95" t="s">
        <v>428</v>
      </c>
      <c r="N13" s="95" t="s">
        <v>262</v>
      </c>
      <c r="O13" s="95" t="s">
        <v>228</v>
      </c>
      <c r="P13" s="95" t="s">
        <v>3</v>
      </c>
      <c r="Q13" s="95" t="s">
        <v>533</v>
      </c>
      <c r="R13" s="95" t="s">
        <v>196</v>
      </c>
      <c r="S13" s="95" t="s">
        <v>469</v>
      </c>
      <c r="T13" s="95" t="s">
        <v>398</v>
      </c>
      <c r="U13" s="95" t="s">
        <v>281</v>
      </c>
      <c r="V13" s="95" t="s">
        <v>460</v>
      </c>
      <c r="W13" s="95" t="s">
        <v>498</v>
      </c>
      <c r="X13" s="95" t="s">
        <v>265</v>
      </c>
      <c r="Y13" s="95" t="s">
        <v>473</v>
      </c>
      <c r="Z13" s="95" t="s">
        <v>453</v>
      </c>
      <c r="AA13" s="95" t="s">
        <v>433</v>
      </c>
      <c r="AB13" s="95" t="s">
        <v>190</v>
      </c>
      <c r="AC13" s="95" t="s">
        <v>135</v>
      </c>
      <c r="AD13" s="95" t="s">
        <v>128</v>
      </c>
      <c r="AE13" s="95" t="s">
        <v>505</v>
      </c>
      <c r="AF13" s="95" t="s">
        <v>677</v>
      </c>
      <c r="AG13" s="95" t="s">
        <v>678</v>
      </c>
      <c r="AH13" s="95" t="s">
        <v>475</v>
      </c>
      <c r="AI13" s="95" t="s">
        <v>399</v>
      </c>
      <c r="AJ13" s="95" t="s">
        <v>310</v>
      </c>
      <c r="AK13" s="95" t="s">
        <v>774</v>
      </c>
      <c r="AL13" s="95" t="s">
        <v>681</v>
      </c>
      <c r="AM13" s="95" t="s">
        <v>134</v>
      </c>
      <c r="AN13" s="95" t="s">
        <v>319</v>
      </c>
      <c r="AO13" s="95" t="s">
        <v>411</v>
      </c>
      <c r="AP13" s="95" t="s">
        <v>1</v>
      </c>
      <c r="AQ13" s="95" t="s">
        <v>170</v>
      </c>
      <c r="AR13" s="95" t="s">
        <v>139</v>
      </c>
      <c r="AS13" s="95" t="s">
        <v>27</v>
      </c>
      <c r="AT13" s="95" t="s">
        <v>564</v>
      </c>
      <c r="AU13" s="95" t="s">
        <v>268</v>
      </c>
      <c r="AV13" s="95" t="s">
        <v>231</v>
      </c>
      <c r="AW13" s="95" t="s">
        <v>341</v>
      </c>
      <c r="AX13" s="95" t="s">
        <v>459</v>
      </c>
      <c r="AY13" s="95" t="s">
        <v>419</v>
      </c>
      <c r="AZ13" s="140" t="s">
        <v>680</v>
      </c>
      <c r="BA13" s="95" t="s">
        <v>74</v>
      </c>
      <c r="BB13" s="95" t="s">
        <v>238</v>
      </c>
      <c r="BC13" s="95" t="s">
        <v>754</v>
      </c>
      <c r="BD13" s="95" t="s">
        <v>755</v>
      </c>
      <c r="BE13" s="140" t="s">
        <v>347</v>
      </c>
      <c r="BF13" s="140" t="s">
        <v>568</v>
      </c>
      <c r="BG13" s="140" t="s">
        <v>260</v>
      </c>
      <c r="BH13" s="140" t="s">
        <v>214</v>
      </c>
      <c r="BI13" s="140" t="s">
        <v>691</v>
      </c>
      <c r="BJ13" s="140" t="s">
        <v>165</v>
      </c>
      <c r="BK13" s="95" t="s">
        <v>544</v>
      </c>
      <c r="BL13" s="95" t="s">
        <v>40</v>
      </c>
      <c r="BM13" s="95" t="s">
        <v>776</v>
      </c>
      <c r="BN13" s="95" t="s">
        <v>777</v>
      </c>
      <c r="BO13" s="95" t="s">
        <v>775</v>
      </c>
      <c r="BP13" s="95" t="s">
        <v>477</v>
      </c>
      <c r="BQ13" s="95" t="s">
        <v>47</v>
      </c>
      <c r="BR13" s="95" t="s">
        <v>194</v>
      </c>
      <c r="BS13" s="95" t="s">
        <v>692</v>
      </c>
      <c r="BT13" s="95" t="s">
        <v>316</v>
      </c>
      <c r="BU13" s="95" t="s">
        <v>448</v>
      </c>
      <c r="BV13" s="95" t="s">
        <v>5</v>
      </c>
      <c r="BW13" s="95" t="s">
        <v>220</v>
      </c>
      <c r="BX13" s="95" t="s">
        <v>326</v>
      </c>
      <c r="BY13" s="95" t="s">
        <v>706</v>
      </c>
      <c r="BZ13" s="95" t="s">
        <v>451</v>
      </c>
      <c r="CA13" s="95" t="s">
        <v>481</v>
      </c>
      <c r="CB13" s="95" t="s">
        <v>521</v>
      </c>
      <c r="CC13" s="95" t="s">
        <v>344</v>
      </c>
      <c r="CD13" s="95" t="s">
        <v>485</v>
      </c>
      <c r="CE13" s="95" t="s">
        <v>707</v>
      </c>
      <c r="CF13" s="95" t="s">
        <v>559</v>
      </c>
      <c r="CG13" s="95" t="s">
        <v>82</v>
      </c>
      <c r="CH13" s="95" t="s">
        <v>442</v>
      </c>
      <c r="CI13" s="95" t="s">
        <v>378</v>
      </c>
      <c r="CJ13" s="95" t="s">
        <v>596</v>
      </c>
      <c r="CK13" s="95" t="s">
        <v>250</v>
      </c>
      <c r="CL13" s="95"/>
      <c r="CM13" s="95"/>
      <c r="CN13" s="95" t="s">
        <v>204</v>
      </c>
      <c r="CO13" s="95" t="s">
        <v>277</v>
      </c>
      <c r="CP13" s="95"/>
      <c r="CQ13" s="95"/>
      <c r="CR13" s="95"/>
      <c r="CS13" s="95" t="s">
        <v>4</v>
      </c>
      <c r="CT13" s="95" t="s">
        <v>58</v>
      </c>
      <c r="CU13" s="95" t="s">
        <v>263</v>
      </c>
      <c r="CV13" s="95" t="s">
        <v>494</v>
      </c>
      <c r="CW13" s="95" t="s">
        <v>159</v>
      </c>
      <c r="CX13" s="95" t="s">
        <v>682</v>
      </c>
      <c r="CY13" s="95" t="s">
        <v>114</v>
      </c>
      <c r="CZ13" s="95" t="s">
        <v>597</v>
      </c>
      <c r="DA13" s="95" t="s">
        <v>318</v>
      </c>
      <c r="DB13" s="95" t="s">
        <v>597</v>
      </c>
      <c r="DC13" s="95" t="s">
        <v>318</v>
      </c>
      <c r="DD13" s="95" t="s">
        <v>597</v>
      </c>
      <c r="DE13" s="95" t="s">
        <v>114</v>
      </c>
      <c r="DF13" s="95" t="s">
        <v>431</v>
      </c>
      <c r="DG13" s="95" t="s">
        <v>381</v>
      </c>
      <c r="DH13" s="95" t="s">
        <v>600</v>
      </c>
      <c r="DI13" s="95" t="s">
        <v>606</v>
      </c>
      <c r="DJ13" s="95" t="s">
        <v>607</v>
      </c>
      <c r="DK13" s="95" t="s">
        <v>608</v>
      </c>
      <c r="DL13" s="95" t="s">
        <v>609</v>
      </c>
      <c r="DM13" s="95" t="s">
        <v>610</v>
      </c>
    </row>
    <row r="14" spans="1:117" ht="14.25" thickTop="1" thickBot="1">
      <c r="A14" s="70" t="s">
        <v>117</v>
      </c>
      <c r="B14" s="35" t="s">
        <v>269</v>
      </c>
      <c r="C14" s="35" t="s">
        <v>269</v>
      </c>
      <c r="D14" s="35" t="s">
        <v>269</v>
      </c>
      <c r="E14" s="35" t="s">
        <v>269</v>
      </c>
      <c r="F14" s="35" t="s">
        <v>269</v>
      </c>
      <c r="G14" s="35" t="s">
        <v>269</v>
      </c>
      <c r="H14" s="35" t="s">
        <v>269</v>
      </c>
      <c r="I14" s="35" t="s">
        <v>269</v>
      </c>
      <c r="J14" s="35" t="s">
        <v>269</v>
      </c>
      <c r="K14" s="35" t="s">
        <v>269</v>
      </c>
      <c r="L14" s="35" t="s">
        <v>269</v>
      </c>
      <c r="M14" s="35" t="s">
        <v>269</v>
      </c>
      <c r="N14" s="35" t="s">
        <v>269</v>
      </c>
      <c r="O14" s="35" t="s">
        <v>269</v>
      </c>
      <c r="P14" s="35" t="s">
        <v>269</v>
      </c>
      <c r="Q14" s="35" t="s">
        <v>269</v>
      </c>
      <c r="R14" s="35" t="s">
        <v>269</v>
      </c>
      <c r="S14" s="35" t="s">
        <v>269</v>
      </c>
      <c r="T14" s="35" t="s">
        <v>269</v>
      </c>
      <c r="U14" s="35" t="s">
        <v>269</v>
      </c>
      <c r="V14" s="35" t="s">
        <v>269</v>
      </c>
      <c r="W14" s="35" t="s">
        <v>269</v>
      </c>
      <c r="X14" s="35" t="s">
        <v>269</v>
      </c>
      <c r="Y14" s="35" t="s">
        <v>269</v>
      </c>
      <c r="Z14" s="35" t="s">
        <v>269</v>
      </c>
      <c r="AA14" s="35" t="s">
        <v>269</v>
      </c>
      <c r="AB14" s="35" t="s">
        <v>269</v>
      </c>
      <c r="AC14" s="35" t="s">
        <v>269</v>
      </c>
      <c r="AD14" s="35" t="s">
        <v>464</v>
      </c>
      <c r="AE14" s="35" t="s">
        <v>464</v>
      </c>
      <c r="AF14" s="35" t="s">
        <v>464</v>
      </c>
      <c r="AG14" s="35" t="s">
        <v>464</v>
      </c>
      <c r="AH14" s="35" t="s">
        <v>464</v>
      </c>
      <c r="AI14" s="35" t="s">
        <v>464</v>
      </c>
      <c r="AJ14" s="35" t="s">
        <v>269</v>
      </c>
      <c r="AK14" s="35" t="s">
        <v>269</v>
      </c>
      <c r="AL14" s="35" t="s">
        <v>464</v>
      </c>
      <c r="AM14" s="35" t="s">
        <v>269</v>
      </c>
      <c r="AN14" s="35" t="s">
        <v>269</v>
      </c>
      <c r="AO14" s="35" t="s">
        <v>269</v>
      </c>
      <c r="AP14" s="35" t="s">
        <v>464</v>
      </c>
      <c r="AQ14" s="35" t="s">
        <v>464</v>
      </c>
      <c r="AR14" s="35" t="s">
        <v>464</v>
      </c>
      <c r="AS14" s="35" t="s">
        <v>565</v>
      </c>
      <c r="AT14" s="35" t="s">
        <v>464</v>
      </c>
      <c r="AU14" s="35" t="s">
        <v>565</v>
      </c>
      <c r="AV14" s="35" t="s">
        <v>464</v>
      </c>
      <c r="AW14" s="35" t="s">
        <v>464</v>
      </c>
      <c r="AX14" s="35" t="s">
        <v>464</v>
      </c>
      <c r="AY14" s="35" t="s">
        <v>464</v>
      </c>
      <c r="AZ14" s="35" t="s">
        <v>269</v>
      </c>
      <c r="BA14" s="35" t="s">
        <v>464</v>
      </c>
      <c r="BB14" s="35" t="s">
        <v>464</v>
      </c>
      <c r="BC14" s="35" t="s">
        <v>464</v>
      </c>
      <c r="BD14" s="35" t="s">
        <v>464</v>
      </c>
      <c r="BE14" s="239" t="s">
        <v>464</v>
      </c>
      <c r="BF14" s="239" t="s">
        <v>464</v>
      </c>
      <c r="BG14" s="239" t="s">
        <v>464</v>
      </c>
      <c r="BH14" s="239" t="s">
        <v>464</v>
      </c>
      <c r="BI14" s="239" t="s">
        <v>464</v>
      </c>
      <c r="BJ14" s="239" t="s">
        <v>464</v>
      </c>
      <c r="BK14" s="35" t="s">
        <v>464</v>
      </c>
      <c r="BL14" s="35" t="s">
        <v>464</v>
      </c>
      <c r="BM14" s="35" t="s">
        <v>464</v>
      </c>
      <c r="BN14" s="35" t="s">
        <v>464</v>
      </c>
      <c r="BO14" s="35" t="s">
        <v>464</v>
      </c>
      <c r="BP14" s="35" t="s">
        <v>464</v>
      </c>
      <c r="BQ14" s="35" t="s">
        <v>464</v>
      </c>
      <c r="BR14" s="35" t="s">
        <v>464</v>
      </c>
      <c r="BS14" s="35" t="s">
        <v>464</v>
      </c>
      <c r="BT14" s="35" t="s">
        <v>464</v>
      </c>
      <c r="BU14" s="35" t="s">
        <v>464</v>
      </c>
      <c r="BV14" s="35" t="s">
        <v>464</v>
      </c>
      <c r="BW14" s="35" t="s">
        <v>464</v>
      </c>
      <c r="BX14" s="35" t="s">
        <v>464</v>
      </c>
      <c r="BY14" s="35" t="s">
        <v>464</v>
      </c>
      <c r="BZ14" s="35" t="s">
        <v>464</v>
      </c>
      <c r="CA14" s="35" t="s">
        <v>464</v>
      </c>
      <c r="CB14" s="35" t="s">
        <v>464</v>
      </c>
      <c r="CC14" s="35" t="s">
        <v>464</v>
      </c>
      <c r="CD14" s="35" t="s">
        <v>464</v>
      </c>
      <c r="CE14" s="35" t="s">
        <v>464</v>
      </c>
      <c r="CF14" s="35" t="s">
        <v>464</v>
      </c>
      <c r="CG14" s="35" t="s">
        <v>464</v>
      </c>
      <c r="CH14" s="35" t="s">
        <v>464</v>
      </c>
      <c r="CI14" s="35" t="s">
        <v>464</v>
      </c>
      <c r="CJ14" s="35" t="s">
        <v>464</v>
      </c>
      <c r="CK14" s="35" t="s">
        <v>464</v>
      </c>
      <c r="CL14" s="35" t="s">
        <v>464</v>
      </c>
      <c r="CM14" s="35" t="s">
        <v>464</v>
      </c>
      <c r="CN14" s="35" t="s">
        <v>464</v>
      </c>
      <c r="CO14" s="35" t="s">
        <v>464</v>
      </c>
      <c r="CP14" s="35" t="s">
        <v>464</v>
      </c>
      <c r="CQ14" s="35" t="s">
        <v>464</v>
      </c>
      <c r="CR14" s="35" t="s">
        <v>464</v>
      </c>
      <c r="CS14" s="35" t="s">
        <v>464</v>
      </c>
      <c r="CT14" s="35" t="s">
        <v>464</v>
      </c>
      <c r="CU14" s="35" t="s">
        <v>464</v>
      </c>
      <c r="CV14" s="35" t="s">
        <v>464</v>
      </c>
      <c r="CW14" s="35" t="s">
        <v>464</v>
      </c>
      <c r="CX14" s="35" t="s">
        <v>464</v>
      </c>
      <c r="CY14" s="35" t="s">
        <v>464</v>
      </c>
      <c r="CZ14" s="35" t="s">
        <v>464</v>
      </c>
      <c r="DA14" s="35" t="s">
        <v>464</v>
      </c>
      <c r="DB14" s="35" t="s">
        <v>464</v>
      </c>
      <c r="DC14" s="35" t="s">
        <v>464</v>
      </c>
      <c r="DD14" s="35" t="s">
        <v>464</v>
      </c>
      <c r="DE14" s="35" t="s">
        <v>464</v>
      </c>
      <c r="DF14" s="35" t="s">
        <v>464</v>
      </c>
      <c r="DG14" s="35" t="s">
        <v>464</v>
      </c>
      <c r="DH14" s="35" t="s">
        <v>464</v>
      </c>
      <c r="DI14" s="35" t="s">
        <v>464</v>
      </c>
      <c r="DJ14" s="35" t="s">
        <v>464</v>
      </c>
      <c r="DK14" s="35" t="s">
        <v>464</v>
      </c>
      <c r="DL14" s="35" t="s">
        <v>464</v>
      </c>
      <c r="DM14" s="35" t="s">
        <v>464</v>
      </c>
    </row>
    <row r="15" spans="1:117" ht="14.25" thickTop="1" thickBot="1">
      <c r="A15" s="14" t="s">
        <v>535</v>
      </c>
      <c r="B15" s="61" t="s">
        <v>663</v>
      </c>
      <c r="C15" s="61" t="s">
        <v>519</v>
      </c>
      <c r="D15" s="61" t="s">
        <v>306</v>
      </c>
      <c r="E15" s="83" t="s">
        <v>405</v>
      </c>
      <c r="F15" s="83" t="s">
        <v>168</v>
      </c>
      <c r="G15" s="57" t="s">
        <v>314</v>
      </c>
      <c r="H15" s="57" t="s">
        <v>87</v>
      </c>
      <c r="I15" s="57" t="s">
        <v>230</v>
      </c>
      <c r="J15" s="57" t="s">
        <v>144</v>
      </c>
      <c r="K15" s="57" t="s">
        <v>434</v>
      </c>
      <c r="L15" s="57" t="s">
        <v>183</v>
      </c>
      <c r="M15" s="57" t="s">
        <v>302</v>
      </c>
      <c r="N15" s="57" t="s">
        <v>580</v>
      </c>
      <c r="O15" s="57" t="s">
        <v>156</v>
      </c>
      <c r="P15" s="57" t="s">
        <v>303</v>
      </c>
      <c r="Q15" s="57" t="s">
        <v>164</v>
      </c>
      <c r="R15" s="57" t="s">
        <v>408</v>
      </c>
      <c r="S15" s="57" t="s">
        <v>372</v>
      </c>
      <c r="T15" s="57" t="s">
        <v>105</v>
      </c>
      <c r="U15" s="57" t="s">
        <v>529</v>
      </c>
      <c r="V15" s="57" t="s">
        <v>478</v>
      </c>
      <c r="W15" s="57" t="s">
        <v>439</v>
      </c>
      <c r="X15" s="57" t="s">
        <v>111</v>
      </c>
      <c r="Y15" s="57" t="s">
        <v>438</v>
      </c>
      <c r="Z15" s="57" t="s">
        <v>15</v>
      </c>
      <c r="AA15" s="57" t="s">
        <v>560</v>
      </c>
      <c r="AB15" s="57" t="s">
        <v>9</v>
      </c>
      <c r="AC15" s="57" t="s">
        <v>575</v>
      </c>
      <c r="AD15" s="57" t="s">
        <v>417</v>
      </c>
      <c r="AE15" s="57" t="s">
        <v>374</v>
      </c>
      <c r="AF15" s="57" t="s">
        <v>543</v>
      </c>
      <c r="AG15" s="57" t="s">
        <v>592</v>
      </c>
      <c r="AH15" s="57" t="s">
        <v>480</v>
      </c>
      <c r="AI15" s="57" t="s">
        <v>548</v>
      </c>
      <c r="AJ15" s="204" t="s">
        <v>574</v>
      </c>
      <c r="AK15" s="204" t="s">
        <v>359</v>
      </c>
      <c r="AL15" s="204" t="s">
        <v>531</v>
      </c>
      <c r="AM15" s="204" t="s">
        <v>133</v>
      </c>
      <c r="AN15" s="204" t="s">
        <v>234</v>
      </c>
      <c r="AO15" s="204" t="s">
        <v>56</v>
      </c>
      <c r="AP15" s="204" t="s">
        <v>162</v>
      </c>
      <c r="AQ15" s="204" t="s">
        <v>93</v>
      </c>
      <c r="AR15" s="204" t="s">
        <v>199</v>
      </c>
      <c r="AS15" s="204" t="s">
        <v>252</v>
      </c>
      <c r="AT15" s="204" t="s">
        <v>152</v>
      </c>
      <c r="AU15" s="204" t="s">
        <v>522</v>
      </c>
      <c r="AV15" s="204" t="s">
        <v>563</v>
      </c>
      <c r="AW15" s="204" t="s">
        <v>414</v>
      </c>
      <c r="AX15" s="204" t="s">
        <v>72</v>
      </c>
      <c r="AY15" s="204" t="s">
        <v>35</v>
      </c>
      <c r="AZ15" s="204" t="s">
        <v>679</v>
      </c>
      <c r="BA15" s="204" t="s">
        <v>324</v>
      </c>
      <c r="BB15" s="204" t="s">
        <v>518</v>
      </c>
      <c r="BC15" s="204" t="s">
        <v>187</v>
      </c>
      <c r="BD15" s="204" t="s">
        <v>526</v>
      </c>
      <c r="BE15" s="147" t="s">
        <v>295</v>
      </c>
      <c r="BF15" s="147" t="s">
        <v>358</v>
      </c>
      <c r="BG15" s="147" t="s">
        <v>371</v>
      </c>
      <c r="BH15" s="147" t="s">
        <v>687</v>
      </c>
      <c r="BI15" s="147" t="s">
        <v>688</v>
      </c>
      <c r="BJ15" s="147" t="s">
        <v>266</v>
      </c>
      <c r="BK15" s="204" t="s">
        <v>259</v>
      </c>
      <c r="BL15" s="204" t="s">
        <v>151</v>
      </c>
      <c r="BM15" s="204" t="s">
        <v>441</v>
      </c>
      <c r="BN15" s="204" t="s">
        <v>108</v>
      </c>
      <c r="BO15" s="204" t="s">
        <v>440</v>
      </c>
      <c r="BP15" s="204" t="s">
        <v>672</v>
      </c>
      <c r="BQ15" s="204" t="s">
        <v>21</v>
      </c>
      <c r="BR15" s="172" t="s">
        <v>572</v>
      </c>
      <c r="BS15" s="172" t="s">
        <v>363</v>
      </c>
      <c r="BT15" s="172" t="s">
        <v>323</v>
      </c>
      <c r="BU15" s="172" t="s">
        <v>208</v>
      </c>
      <c r="BV15" s="172" t="s">
        <v>567</v>
      </c>
      <c r="BW15" s="204" t="s">
        <v>150</v>
      </c>
      <c r="BX15" s="172" t="s">
        <v>245</v>
      </c>
      <c r="BY15" s="172" t="s">
        <v>513</v>
      </c>
      <c r="BZ15" s="172" t="s">
        <v>346</v>
      </c>
      <c r="CA15" s="172" t="s">
        <v>24</v>
      </c>
      <c r="CB15" s="172" t="s">
        <v>192</v>
      </c>
      <c r="CC15" s="172" t="s">
        <v>121</v>
      </c>
      <c r="CD15" s="172" t="s">
        <v>410</v>
      </c>
      <c r="CE15" s="172" t="s">
        <v>304</v>
      </c>
      <c r="CF15" s="172" t="s">
        <v>48</v>
      </c>
      <c r="CG15" s="172" t="s">
        <v>509</v>
      </c>
      <c r="CH15" s="172" t="s">
        <v>393</v>
      </c>
      <c r="CI15" s="172" t="s">
        <v>500</v>
      </c>
      <c r="CJ15" s="204" t="s">
        <v>492</v>
      </c>
      <c r="CK15" s="204" t="s">
        <v>540</v>
      </c>
      <c r="CL15" s="204" t="s">
        <v>202</v>
      </c>
      <c r="CM15" s="204" t="s">
        <v>330</v>
      </c>
      <c r="CN15" s="204" t="s">
        <v>273</v>
      </c>
      <c r="CO15" s="204" t="s">
        <v>418</v>
      </c>
      <c r="CP15" s="204" t="s">
        <v>169</v>
      </c>
      <c r="CQ15" s="204" t="s">
        <v>391</v>
      </c>
      <c r="CR15" s="204" t="s">
        <v>380</v>
      </c>
      <c r="CS15" s="204" t="s">
        <v>255</v>
      </c>
      <c r="CT15" s="204" t="s">
        <v>474</v>
      </c>
      <c r="CU15" s="204" t="s">
        <v>112</v>
      </c>
      <c r="CV15" s="204" t="s">
        <v>368</v>
      </c>
      <c r="CW15" s="204" t="s">
        <v>186</v>
      </c>
      <c r="CX15" s="204" t="s">
        <v>0</v>
      </c>
      <c r="CY15" s="204" t="s">
        <v>349</v>
      </c>
      <c r="CZ15" s="204" t="s">
        <v>400</v>
      </c>
      <c r="DA15" s="204" t="s">
        <v>508</v>
      </c>
      <c r="DB15" s="204" t="s">
        <v>532</v>
      </c>
      <c r="DC15" s="204" t="s">
        <v>549</v>
      </c>
      <c r="DD15" s="204" t="s">
        <v>562</v>
      </c>
      <c r="DE15" s="204" t="s">
        <v>443</v>
      </c>
      <c r="DF15" s="204" t="s">
        <v>426</v>
      </c>
      <c r="DG15" s="204" t="s">
        <v>96</v>
      </c>
      <c r="DH15" s="204" t="s">
        <v>599</v>
      </c>
      <c r="DI15" s="204" t="s">
        <v>601</v>
      </c>
      <c r="DJ15" s="204" t="s">
        <v>602</v>
      </c>
      <c r="DK15" s="204" t="s">
        <v>603</v>
      </c>
      <c r="DL15" s="204" t="s">
        <v>604</v>
      </c>
      <c r="DM15" s="204" t="s">
        <v>605</v>
      </c>
    </row>
    <row r="16" spans="1:117" ht="13.5" thickTop="1"/>
  </sheetData>
  <autoFilter ref="A15:DM43" xr:uid="{00000000-0009-0000-0000-000000000000}"/>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T16"/>
  <sheetViews>
    <sheetView topLeftCell="T1" zoomScale="90" zoomScaleNormal="90" workbookViewId="0">
      <selection activeCell="F2" sqref="F2:K2"/>
    </sheetView>
  </sheetViews>
  <sheetFormatPr defaultRowHeight="12.75"/>
  <cols>
    <col min="1" max="1" width="19.85546875" customWidth="1"/>
    <col min="2" max="3" width="19.42578125" customWidth="1"/>
    <col min="4" max="4" width="14" customWidth="1"/>
    <col min="5" max="5" width="8.85546875" customWidth="1"/>
    <col min="6" max="6" width="15.85546875" customWidth="1"/>
    <col min="7" max="14" width="14.42578125" customWidth="1"/>
    <col min="15" max="16" width="20.28515625" customWidth="1"/>
    <col min="17" max="17" width="12.5703125" customWidth="1"/>
    <col min="18" max="19" width="14.7109375" customWidth="1"/>
    <col min="20" max="20" width="10.85546875" customWidth="1"/>
    <col min="21" max="21" width="12" customWidth="1"/>
    <col min="22" max="23" width="13.85546875" customWidth="1"/>
    <col min="24" max="26" width="12.7109375" customWidth="1"/>
    <col min="27" max="27" width="13.85546875" bestFit="1" customWidth="1"/>
    <col min="28" max="28" width="12.7109375" customWidth="1"/>
    <col min="29" max="29" width="14.28515625" customWidth="1"/>
    <col min="30" max="33" width="12.5703125" customWidth="1"/>
    <col min="34" max="34" width="13.42578125" customWidth="1"/>
    <col min="35" max="35" width="13.140625" customWidth="1"/>
    <col min="36" max="36" width="14.28515625" customWidth="1"/>
    <col min="37" max="37" width="13.7109375" customWidth="1"/>
    <col min="38" max="38" width="12.7109375" customWidth="1"/>
    <col min="39" max="39" width="15.7109375" customWidth="1"/>
    <col min="40" max="40" width="18" customWidth="1"/>
    <col min="41" max="41" width="19.5703125" customWidth="1"/>
    <col min="42" max="42" width="19.140625" customWidth="1"/>
    <col min="43" max="43" width="18" customWidth="1"/>
    <col min="44" max="44" width="19" customWidth="1"/>
    <col min="45" max="45" width="15.7109375" customWidth="1"/>
    <col min="46" max="46" width="12.140625" customWidth="1"/>
    <col min="47" max="47" width="8.85546875" customWidth="1"/>
    <col min="48" max="48" width="13.85546875" customWidth="1"/>
    <col min="49" max="49" width="13.28515625" customWidth="1"/>
    <col min="50" max="50" width="14.42578125" customWidth="1"/>
    <col min="51" max="51" width="18" customWidth="1"/>
    <col min="52" max="52" width="14.7109375" customWidth="1"/>
    <col min="53" max="53" width="12.140625" customWidth="1"/>
    <col min="54" max="54" width="12.28515625" customWidth="1"/>
    <col min="55" max="55" width="11.7109375" customWidth="1"/>
    <col min="56" max="56" width="19.140625" customWidth="1"/>
    <col min="57" max="57" width="21.7109375" customWidth="1"/>
    <col min="58" max="58" width="25.140625" customWidth="1"/>
    <col min="59" max="59" width="22.140625" customWidth="1"/>
    <col min="60" max="60" width="28.28515625" customWidth="1"/>
    <col min="61" max="61" width="25.140625" customWidth="1"/>
    <col min="62" max="63" width="21.5703125" customWidth="1"/>
    <col min="64" max="64" width="16.140625" customWidth="1"/>
    <col min="65" max="65" width="30.28515625" customWidth="1"/>
    <col min="66" max="66" width="22.42578125" customWidth="1"/>
    <col min="67" max="67" width="32.42578125" customWidth="1"/>
    <col min="68" max="68" width="26.140625" customWidth="1"/>
    <col min="69" max="69" width="25.140625" customWidth="1"/>
    <col min="70" max="70" width="16.140625" customWidth="1"/>
    <col min="71" max="71" width="15.7109375" customWidth="1"/>
    <col min="72" max="72" width="17.5703125" customWidth="1"/>
    <col min="73" max="73" width="16.5703125" customWidth="1"/>
    <col min="74" max="74" width="14.7109375" customWidth="1"/>
    <col min="75" max="75" width="12.85546875" customWidth="1"/>
    <col min="76" max="76" width="14.28515625" customWidth="1"/>
    <col min="77" max="77" width="16.7109375" customWidth="1"/>
    <col min="78" max="78" width="17.140625" customWidth="1"/>
    <col min="79" max="79" width="18.42578125" customWidth="1"/>
    <col min="80" max="80" width="21.42578125" customWidth="1"/>
    <col min="81" max="81" width="16.7109375" customWidth="1"/>
    <col min="82" max="82" width="14.7109375" customWidth="1"/>
    <col min="83" max="83" width="21.7109375" customWidth="1"/>
    <col min="84" max="84" width="10.5703125" customWidth="1"/>
    <col min="85" max="85" width="11.5703125" customWidth="1"/>
    <col min="86" max="86" width="22.140625" customWidth="1"/>
    <col min="87" max="87" width="15.42578125" customWidth="1"/>
    <col min="88" max="89" width="15" customWidth="1"/>
    <col min="90" max="96" width="16.140625" customWidth="1"/>
    <col min="97" max="98" width="20.140625" customWidth="1"/>
  </cols>
  <sheetData>
    <row r="1" spans="1:98" ht="13.5" thickBot="1">
      <c r="A1" s="70" t="s">
        <v>468</v>
      </c>
      <c r="B1" s="61" t="s">
        <v>663</v>
      </c>
      <c r="C1" s="61" t="s">
        <v>519</v>
      </c>
      <c r="D1" s="61" t="s">
        <v>306</v>
      </c>
      <c r="E1" s="83" t="s">
        <v>405</v>
      </c>
      <c r="F1" s="83" t="s">
        <v>168</v>
      </c>
      <c r="G1" s="57" t="s">
        <v>314</v>
      </c>
      <c r="H1" s="57" t="s">
        <v>87</v>
      </c>
      <c r="I1" s="57" t="s">
        <v>230</v>
      </c>
      <c r="J1" s="57" t="s">
        <v>144</v>
      </c>
      <c r="K1" s="57" t="s">
        <v>434</v>
      </c>
      <c r="L1" s="57" t="s">
        <v>183</v>
      </c>
      <c r="M1" s="57" t="s">
        <v>302</v>
      </c>
      <c r="N1" s="57" t="s">
        <v>580</v>
      </c>
      <c r="O1" s="57" t="s">
        <v>156</v>
      </c>
      <c r="P1" s="57" t="s">
        <v>765</v>
      </c>
      <c r="Q1" s="57" t="s">
        <v>164</v>
      </c>
      <c r="R1" s="57" t="s">
        <v>408</v>
      </c>
      <c r="S1" s="57" t="s">
        <v>372</v>
      </c>
      <c r="T1" s="57" t="s">
        <v>105</v>
      </c>
      <c r="U1" s="57" t="s">
        <v>529</v>
      </c>
      <c r="V1" s="57" t="s">
        <v>478</v>
      </c>
      <c r="W1" s="57" t="s">
        <v>439</v>
      </c>
      <c r="X1" s="57" t="s">
        <v>111</v>
      </c>
      <c r="Y1" s="57" t="s">
        <v>293</v>
      </c>
      <c r="Z1" s="57" t="s">
        <v>312</v>
      </c>
      <c r="AA1" s="57" t="s">
        <v>416</v>
      </c>
      <c r="AB1" s="57" t="s">
        <v>430</v>
      </c>
      <c r="AC1" s="57" t="s">
        <v>438</v>
      </c>
      <c r="AD1" s="57" t="s">
        <v>15</v>
      </c>
      <c r="AE1" s="57" t="s">
        <v>560</v>
      </c>
      <c r="AF1" s="57" t="s">
        <v>9</v>
      </c>
      <c r="AG1" s="57" t="s">
        <v>575</v>
      </c>
      <c r="AH1" s="57" t="s">
        <v>417</v>
      </c>
      <c r="AI1" s="57" t="s">
        <v>374</v>
      </c>
      <c r="AJ1" s="57" t="s">
        <v>480</v>
      </c>
      <c r="AK1" s="57" t="s">
        <v>548</v>
      </c>
      <c r="AL1" s="204" t="s">
        <v>574</v>
      </c>
      <c r="AM1" s="204" t="s">
        <v>359</v>
      </c>
      <c r="AN1" s="204" t="s">
        <v>732</v>
      </c>
      <c r="AO1" s="204" t="s">
        <v>733</v>
      </c>
      <c r="AP1" s="204" t="s">
        <v>734</v>
      </c>
      <c r="AQ1" s="204" t="s">
        <v>133</v>
      </c>
      <c r="AR1" s="204" t="s">
        <v>234</v>
      </c>
      <c r="AS1" s="204" t="s">
        <v>56</v>
      </c>
      <c r="AT1" s="204" t="s">
        <v>162</v>
      </c>
      <c r="AU1" s="204" t="s">
        <v>93</v>
      </c>
      <c r="AV1" s="204" t="s">
        <v>199</v>
      </c>
      <c r="AW1" s="204" t="s">
        <v>252</v>
      </c>
      <c r="AX1" s="204" t="s">
        <v>152</v>
      </c>
      <c r="AY1" s="204" t="s">
        <v>522</v>
      </c>
      <c r="AZ1" s="204" t="s">
        <v>563</v>
      </c>
      <c r="BA1" s="204" t="s">
        <v>414</v>
      </c>
      <c r="BB1" s="204" t="s">
        <v>72</v>
      </c>
      <c r="BC1" s="204" t="s">
        <v>35</v>
      </c>
      <c r="BD1" s="204" t="s">
        <v>679</v>
      </c>
      <c r="BE1" s="147" t="s">
        <v>358</v>
      </c>
      <c r="BF1" s="147" t="s">
        <v>371</v>
      </c>
      <c r="BG1" s="147" t="s">
        <v>687</v>
      </c>
      <c r="BH1" s="147" t="s">
        <v>688</v>
      </c>
      <c r="BI1" s="147" t="s">
        <v>266</v>
      </c>
      <c r="BJ1" s="204" t="s">
        <v>259</v>
      </c>
      <c r="BK1" s="204" t="s">
        <v>151</v>
      </c>
      <c r="BL1" s="204" t="s">
        <v>21</v>
      </c>
      <c r="BM1" s="172" t="s">
        <v>572</v>
      </c>
      <c r="BN1" s="172" t="s">
        <v>363</v>
      </c>
      <c r="BO1" s="172" t="s">
        <v>323</v>
      </c>
      <c r="BP1" s="172" t="s">
        <v>208</v>
      </c>
      <c r="BQ1" s="172" t="s">
        <v>567</v>
      </c>
      <c r="BR1" s="204" t="s">
        <v>150</v>
      </c>
      <c r="BS1" s="172" t="s">
        <v>245</v>
      </c>
      <c r="BT1" s="172" t="s">
        <v>735</v>
      </c>
      <c r="BU1" s="172" t="s">
        <v>346</v>
      </c>
      <c r="BV1" s="172" t="s">
        <v>24</v>
      </c>
      <c r="BW1" s="172" t="s">
        <v>192</v>
      </c>
      <c r="BX1" s="172" t="s">
        <v>121</v>
      </c>
      <c r="BY1" s="172" t="s">
        <v>410</v>
      </c>
      <c r="BZ1" s="172" t="s">
        <v>736</v>
      </c>
      <c r="CA1" s="172" t="s">
        <v>48</v>
      </c>
      <c r="CB1" s="172" t="s">
        <v>509</v>
      </c>
      <c r="CC1" s="172" t="s">
        <v>393</v>
      </c>
      <c r="CD1" s="172" t="s">
        <v>500</v>
      </c>
      <c r="CE1" s="204" t="s">
        <v>492</v>
      </c>
      <c r="CF1" s="204" t="s">
        <v>540</v>
      </c>
      <c r="CG1" s="204" t="s">
        <v>273</v>
      </c>
      <c r="CH1" s="204" t="s">
        <v>418</v>
      </c>
      <c r="CI1" s="204" t="s">
        <v>255</v>
      </c>
      <c r="CJ1" s="204" t="s">
        <v>474</v>
      </c>
      <c r="CK1" s="204" t="s">
        <v>112</v>
      </c>
      <c r="CL1" s="204" t="s">
        <v>724</v>
      </c>
      <c r="CM1" s="204" t="s">
        <v>737</v>
      </c>
      <c r="CN1" s="204" t="s">
        <v>738</v>
      </c>
      <c r="CO1" s="204" t="s">
        <v>426</v>
      </c>
      <c r="CP1" s="204" t="s">
        <v>96</v>
      </c>
      <c r="CQ1" s="204" t="s">
        <v>0</v>
      </c>
      <c r="CR1" s="204" t="s">
        <v>349</v>
      </c>
      <c r="CS1" s="204" t="s">
        <v>400</v>
      </c>
      <c r="CT1" s="204" t="s">
        <v>508</v>
      </c>
    </row>
    <row r="2" spans="1:98" ht="13.5" thickTop="1">
      <c r="A2" s="70" t="s">
        <v>213</v>
      </c>
      <c r="B2" s="216">
        <v>22361100</v>
      </c>
      <c r="C2" s="182" t="s">
        <v>496</v>
      </c>
      <c r="D2" s="182"/>
      <c r="E2" s="182" t="s">
        <v>520</v>
      </c>
      <c r="F2" s="182"/>
      <c r="G2" s="206"/>
      <c r="H2" s="206"/>
      <c r="I2" s="182"/>
      <c r="J2" s="206"/>
      <c r="K2" s="206"/>
      <c r="L2" s="206"/>
      <c r="M2" s="206"/>
      <c r="N2" s="206"/>
      <c r="O2" s="206" t="s">
        <v>449</v>
      </c>
      <c r="P2" s="182" t="s">
        <v>392</v>
      </c>
      <c r="Q2" s="206" t="s">
        <v>424</v>
      </c>
      <c r="R2" s="31" t="s">
        <v>116</v>
      </c>
      <c r="S2" s="31"/>
      <c r="T2" s="31" t="s">
        <v>424</v>
      </c>
      <c r="U2" s="205">
        <v>16510</v>
      </c>
      <c r="V2" s="205">
        <v>17078</v>
      </c>
      <c r="W2" s="205"/>
      <c r="X2" s="205">
        <v>25430</v>
      </c>
      <c r="Y2" s="32">
        <f>DATE(YEAR(U2)+21,MONTH(U2),DAY(U2))</f>
        <v>24180</v>
      </c>
      <c r="Z2" s="32">
        <f>DATE(YEAR(X2)+1,MONTH(X2),DAY(X2))</f>
        <v>25795</v>
      </c>
      <c r="AA2" s="32">
        <f t="shared" ref="AA2" si="0">MAX(Y2,Z2)</f>
        <v>25795</v>
      </c>
      <c r="AB2" s="32">
        <f>[1]!NRD(AA2,0)</f>
        <v>25812</v>
      </c>
      <c r="AC2" s="32">
        <v>26390</v>
      </c>
      <c r="AD2" s="32">
        <v>38107</v>
      </c>
      <c r="AE2" s="32">
        <v>38107</v>
      </c>
      <c r="AF2" s="32"/>
      <c r="AG2" s="32"/>
      <c r="AH2" s="205">
        <f>MAX([1]!NRD(AB2,5),[1]!NRD(U2,65))</f>
        <v>40269</v>
      </c>
      <c r="AI2" s="31">
        <f>[1]!anb(U2,AH2)</f>
        <v>65</v>
      </c>
      <c r="AJ2" s="31">
        <f>[1]!anb(U2,DOPT)</f>
        <v>68</v>
      </c>
      <c r="AK2" s="31">
        <f>[1]!anb(IF(O2="Y",W2,V2),DOPT)</f>
        <v>67</v>
      </c>
      <c r="AL2" s="60">
        <v>38108</v>
      </c>
      <c r="AM2" s="60">
        <v>38108</v>
      </c>
      <c r="AN2" s="87" t="s">
        <v>218</v>
      </c>
      <c r="AO2" s="33">
        <v>0.5</v>
      </c>
      <c r="AP2" s="31">
        <v>0</v>
      </c>
      <c r="AQ2" s="87">
        <f>IF(AN2="9",2,4)</f>
        <v>2</v>
      </c>
      <c r="AR2" s="308">
        <f>0</f>
        <v>0</v>
      </c>
      <c r="AS2" s="87">
        <f>IF(AN2="5",AP2,0)</f>
        <v>0</v>
      </c>
      <c r="AT2" s="31">
        <f>IF(AS2&gt;0,AS2-[1]!COMPM(AL2,[1]!NRD(DOPT,0)),0)</f>
        <v>0</v>
      </c>
      <c r="AU2" s="45" t="s">
        <v>174</v>
      </c>
      <c r="AV2" s="31">
        <f>AJ2</f>
        <v>68</v>
      </c>
      <c r="AW2" s="60">
        <f>[1]!NRD(DOPT,0)</f>
        <v>41395</v>
      </c>
      <c r="AX2" s="77">
        <f>AK2</f>
        <v>67</v>
      </c>
      <c r="AY2" s="87">
        <f>AQ2</f>
        <v>2</v>
      </c>
      <c r="AZ2" s="308">
        <f>AR2</f>
        <v>0</v>
      </c>
      <c r="BA2" s="87">
        <f>AT2</f>
        <v>0</v>
      </c>
      <c r="BB2" s="31">
        <f>AX2</f>
        <v>67</v>
      </c>
      <c r="BC2" s="31">
        <v>999</v>
      </c>
      <c r="BD2" s="45">
        <v>1200</v>
      </c>
      <c r="BE2" s="7">
        <f>BD2</f>
        <v>1200</v>
      </c>
      <c r="BF2" s="7">
        <f>MIN(BD2,BE2)</f>
        <v>1200</v>
      </c>
      <c r="BG2" s="7">
        <f>BD2-BF2</f>
        <v>0</v>
      </c>
      <c r="BH2" s="238">
        <f>PC6_4022C_AR</f>
        <v>0.17230000000000001</v>
      </c>
      <c r="BI2" s="7">
        <f>ROUND(BG2*BH2,2)</f>
        <v>0</v>
      </c>
      <c r="BJ2" s="45">
        <f>BF2+BI2</f>
        <v>1200</v>
      </c>
      <c r="BK2" s="45">
        <f>BJ2</f>
        <v>1200</v>
      </c>
      <c r="BL2" s="115">
        <f>ROUND([1]!NPVF2("MP",IF(AY2=4,"CTN","SLA"),"N",DOPT,IF(O2="Y",S2,R2),AK2,AX2,0,AZ2,AT2,0,DOPT,DOPT,"P","","","0"),4)</f>
        <v>15.3741</v>
      </c>
      <c r="BM2" s="169">
        <f>ROUND(BF2*BL2*12,0)</f>
        <v>221387</v>
      </c>
      <c r="BN2" s="169">
        <f>ROUND(BG2*BL2*12,0)</f>
        <v>0</v>
      </c>
      <c r="BO2" s="169">
        <f>BM2+BN2</f>
        <v>221387</v>
      </c>
      <c r="BP2" s="169">
        <f>ROUND(BI2*BL2*12,0)</f>
        <v>0</v>
      </c>
      <c r="BQ2" s="169">
        <f>BM2+BP2</f>
        <v>221387</v>
      </c>
      <c r="BR2" s="17">
        <f>Load_Percent</f>
        <v>1.11E-2</v>
      </c>
      <c r="BS2" s="20">
        <f>ROUND(BM2*BR2,0)</f>
        <v>2457</v>
      </c>
      <c r="BT2" s="20">
        <f>ROUND(BN2*BR2,0)</f>
        <v>0</v>
      </c>
      <c r="BU2" s="49">
        <f>BT2</f>
        <v>0</v>
      </c>
      <c r="BV2" s="49">
        <f>BS2+BU2</f>
        <v>2457</v>
      </c>
      <c r="BW2" s="49">
        <f>ROUND(BP2*BR2,0)</f>
        <v>0</v>
      </c>
      <c r="BX2" s="49">
        <f>BS2+BW2</f>
        <v>2457</v>
      </c>
      <c r="BY2" s="49">
        <f>BM2+BS2</f>
        <v>223844</v>
      </c>
      <c r="BZ2" s="49">
        <f>BN2+BT2</f>
        <v>0</v>
      </c>
      <c r="CA2" s="49">
        <f>BZ2</f>
        <v>0</v>
      </c>
      <c r="CB2" s="49">
        <f>BY2+CA2</f>
        <v>223844</v>
      </c>
      <c r="CC2" s="49">
        <f>BP2+BW2</f>
        <v>0</v>
      </c>
      <c r="CD2" s="49">
        <f>BY2+CC2</f>
        <v>223844</v>
      </c>
      <c r="CE2" s="31">
        <f>ROUND([1]!NPVF2("MP","SLA","O",DOPT,IF(O2="Y",S2,R2),AK2,AX2,0,AZ2,AT2,0,DOPT,DOPT,"P","",""),4)</f>
        <v>12.8849</v>
      </c>
      <c r="CF2" s="186">
        <f>ROUND(12*CE2*BJ2,0)</f>
        <v>185543</v>
      </c>
      <c r="CG2" s="31" t="str">
        <f>IF(CF2&gt;5000,"N","Y")</f>
        <v>N</v>
      </c>
      <c r="CH2" s="31" t="str">
        <f>IF(CG2="Y","L","A")</f>
        <v>A</v>
      </c>
      <c r="CI2" s="186">
        <f>ROUND(BQ2*AK2,0)</f>
        <v>14832929</v>
      </c>
      <c r="CJ2" s="186">
        <f>ROUND(BQ2*AX2,0)</f>
        <v>14832929</v>
      </c>
      <c r="CK2" s="186" t="s">
        <v>739</v>
      </c>
      <c r="CL2" s="45">
        <f>BJ2</f>
        <v>1200</v>
      </c>
      <c r="CM2" s="45" t="str">
        <f>IF(AND(BD2&gt;=BJ2,BD2-BJ2&lt;5),"N","Y")</f>
        <v>N</v>
      </c>
      <c r="CN2" s="45" t="s">
        <v>449</v>
      </c>
      <c r="CO2" s="3" t="s">
        <v>140</v>
      </c>
      <c r="CP2" s="3" t="s">
        <v>140</v>
      </c>
      <c r="CQ2" s="45" t="str">
        <f>IF(AND(BD2&gt;BJ2,BD2-BJ2&gt;=5),"D",IF(AND(BD2&gt;BJ2,BD2-BJ2&lt;5),"N",IF(BD2=BJ2,"M","I")))</f>
        <v>M</v>
      </c>
      <c r="CR2" s="45" t="str">
        <f>IF(CQ2="D","Your current monthly benefit of $"&amp;TEXT(AY2,"0000.00")&amp;" will decrease to $"&amp;TEXT(BJ2,"0000.00")&amp;" because of the limitations placed on the monthly benefit payable at DOPT.  See the Benefit Calculation section for further details.","NULL")</f>
        <v>NULL</v>
      </c>
      <c r="CS2" s="45" t="str">
        <f>IF(CQ2="D","The benefits PBGC guarantees are limited by federal pension law to PBGC's maximum monthly amount that was in effect on the date of plan termination.  This amount is adjusted to reflect the participant's age and form of annuity.","NULL")</f>
        <v>NULL</v>
      </c>
      <c r="CT2" s="45" t="str">
        <f>IF(AND(CQ2="D",BI2&gt;0),"Under Section 4022(c) of ERISA, PBGC has allocated additional funds to non-guaranteed benefits based on PBGC's experience in recovering on claims against plan sponsors. PBGC has, therefore, increased your monthly benefit, as shown below.","NULL")</f>
        <v>NULL</v>
      </c>
    </row>
    <row r="3" spans="1:98" ht="13.5" thickBot="1">
      <c r="A3" s="14"/>
      <c r="B3" s="139"/>
      <c r="C3" s="139"/>
      <c r="D3" s="139"/>
      <c r="E3" s="139"/>
      <c r="F3" s="139"/>
      <c r="G3" s="158"/>
      <c r="H3" s="158"/>
      <c r="I3" s="158"/>
      <c r="J3" s="158"/>
      <c r="K3" s="158"/>
      <c r="L3" s="158"/>
      <c r="M3" s="158"/>
      <c r="N3" s="158"/>
      <c r="O3" s="158"/>
      <c r="P3" s="158"/>
      <c r="Q3" s="158"/>
      <c r="R3" s="58"/>
      <c r="S3" s="58"/>
      <c r="T3" s="58"/>
      <c r="U3" s="44"/>
      <c r="V3" s="44"/>
      <c r="W3" s="44"/>
      <c r="X3" s="44"/>
      <c r="Y3" s="44"/>
      <c r="Z3" s="44"/>
      <c r="AA3" s="44"/>
      <c r="AB3" s="44"/>
      <c r="AC3" s="235"/>
      <c r="AD3" s="235"/>
      <c r="AE3" s="235"/>
      <c r="AF3" s="235"/>
      <c r="AG3" s="235"/>
      <c r="AH3" s="44"/>
      <c r="AI3" s="58"/>
      <c r="AJ3" s="58"/>
      <c r="AK3" s="58"/>
      <c r="AL3" s="4"/>
      <c r="AM3" s="4"/>
      <c r="AN3" s="58"/>
      <c r="AO3" s="120"/>
      <c r="AP3" s="58"/>
      <c r="AQ3" s="58"/>
      <c r="AR3" s="120"/>
      <c r="AS3" s="58"/>
      <c r="AT3" s="58"/>
      <c r="AU3" s="241"/>
      <c r="AV3" s="58"/>
      <c r="AW3" s="4"/>
      <c r="AX3" s="23"/>
      <c r="AY3" s="58"/>
      <c r="AZ3" s="120"/>
      <c r="BA3" s="58"/>
      <c r="BB3" s="58"/>
      <c r="BC3" s="58"/>
      <c r="BD3" s="241"/>
      <c r="BE3" s="215"/>
      <c r="BF3" s="215"/>
      <c r="BG3" s="215"/>
      <c r="BH3" s="215"/>
      <c r="BI3" s="215"/>
      <c r="BJ3" s="241"/>
      <c r="BK3" s="241"/>
      <c r="BL3" s="81"/>
      <c r="BM3" s="117"/>
      <c r="BN3" s="117"/>
      <c r="BO3" s="117"/>
      <c r="BP3" s="117"/>
      <c r="BQ3" s="117"/>
      <c r="BR3" s="108"/>
      <c r="BS3" s="227"/>
      <c r="BT3" s="56"/>
      <c r="BU3" s="243"/>
      <c r="BV3" s="243"/>
      <c r="BW3" s="243"/>
      <c r="BX3" s="243"/>
      <c r="BY3" s="243"/>
      <c r="BZ3" s="56"/>
      <c r="CA3" s="243"/>
      <c r="CB3" s="243"/>
      <c r="CC3" s="243"/>
      <c r="CD3" s="243"/>
      <c r="CE3" s="58"/>
      <c r="CF3" s="146"/>
      <c r="CG3" s="58"/>
      <c r="CH3" s="58"/>
      <c r="CI3" s="146"/>
      <c r="CJ3" s="146"/>
      <c r="CK3" s="146"/>
      <c r="CL3" s="241"/>
      <c r="CM3" s="241"/>
      <c r="CN3" s="241"/>
      <c r="CO3" s="241"/>
      <c r="CP3" s="241"/>
      <c r="CQ3" s="241"/>
      <c r="CR3" s="241"/>
      <c r="CS3" s="241"/>
      <c r="CT3" s="241"/>
    </row>
    <row r="4" spans="1:98" ht="13.5" thickTop="1">
      <c r="A4" s="286"/>
      <c r="B4" s="13"/>
      <c r="C4" s="13"/>
      <c r="D4" s="287"/>
      <c r="E4" s="287"/>
      <c r="F4" s="287"/>
      <c r="G4" s="287"/>
      <c r="H4" s="287"/>
      <c r="I4" s="287"/>
      <c r="J4" s="287"/>
      <c r="K4" s="287"/>
      <c r="L4" s="287"/>
      <c r="M4" s="287"/>
      <c r="N4" s="287"/>
      <c r="O4" s="287"/>
      <c r="P4" s="287"/>
      <c r="Q4" s="287"/>
      <c r="R4" s="287"/>
      <c r="S4" s="287"/>
      <c r="T4" s="287"/>
      <c r="U4" s="287"/>
      <c r="V4" s="287"/>
      <c r="W4" s="287"/>
      <c r="X4" s="287"/>
      <c r="Y4" s="287"/>
      <c r="Z4" s="287"/>
      <c r="AA4" s="287"/>
      <c r="AB4" s="287"/>
      <c r="AC4" s="287"/>
      <c r="AD4" s="287"/>
      <c r="AE4" s="287"/>
      <c r="AF4" s="287"/>
      <c r="AG4" s="287"/>
      <c r="AH4" s="287"/>
      <c r="AI4" s="287"/>
      <c r="AJ4" s="287"/>
      <c r="AK4" s="287"/>
      <c r="AL4" s="287"/>
      <c r="AM4" s="287"/>
      <c r="AN4" s="287"/>
      <c r="AO4" s="287"/>
      <c r="AP4" s="287"/>
      <c r="AQ4" s="287"/>
      <c r="AR4" s="287"/>
      <c r="AS4" s="287"/>
      <c r="AT4" s="287"/>
      <c r="AU4" s="287"/>
      <c r="AV4" s="287"/>
      <c r="AW4" s="287"/>
      <c r="AX4" s="287"/>
      <c r="AY4" s="287"/>
      <c r="AZ4" s="287"/>
      <c r="BA4" s="287"/>
      <c r="BB4" s="287"/>
      <c r="BC4" s="287"/>
      <c r="BD4" s="287"/>
      <c r="BE4" s="288"/>
      <c r="BF4" s="288"/>
      <c r="BG4" s="288"/>
      <c r="BH4" s="288"/>
      <c r="BI4" s="288"/>
      <c r="BJ4" s="287"/>
      <c r="BK4" s="287"/>
      <c r="BL4" s="287"/>
      <c r="BM4" s="287"/>
      <c r="BN4" s="287"/>
      <c r="BO4" s="287"/>
      <c r="BP4" s="287"/>
      <c r="BQ4" s="287"/>
      <c r="BR4" s="287"/>
      <c r="BS4" s="287"/>
      <c r="BT4" s="287"/>
      <c r="BU4" s="287"/>
      <c r="BV4" s="287"/>
      <c r="BW4" s="287"/>
      <c r="BX4" s="287"/>
      <c r="BY4" s="287"/>
      <c r="BZ4" s="287"/>
      <c r="CA4" s="287"/>
      <c r="CB4" s="287"/>
      <c r="CC4" s="15"/>
      <c r="CD4" s="287"/>
      <c r="CE4" s="287"/>
      <c r="CF4" s="287"/>
      <c r="CG4" s="287"/>
      <c r="CH4" s="287"/>
      <c r="CI4" s="287"/>
      <c r="CJ4" s="287"/>
      <c r="CK4" s="287"/>
      <c r="CL4" s="287"/>
      <c r="CM4" s="287"/>
      <c r="CN4" s="287"/>
      <c r="CO4" s="287"/>
      <c r="CP4" s="287"/>
      <c r="CQ4" s="287"/>
      <c r="CR4" s="287"/>
      <c r="CS4" s="287"/>
      <c r="CT4" s="287"/>
    </row>
    <row r="5" spans="1:98">
      <c r="A5" s="201"/>
      <c r="B5" s="216"/>
      <c r="C5" s="216"/>
      <c r="D5" s="287"/>
      <c r="E5" s="287"/>
      <c r="F5" s="287"/>
      <c r="G5" s="287"/>
      <c r="H5" s="287"/>
      <c r="I5" s="287"/>
      <c r="J5" s="287"/>
      <c r="K5" s="287"/>
      <c r="L5" s="287"/>
      <c r="M5" s="287"/>
      <c r="N5" s="287"/>
      <c r="O5" s="287"/>
      <c r="P5" s="287"/>
      <c r="Q5" s="289"/>
      <c r="R5" s="289"/>
      <c r="S5" s="289"/>
      <c r="T5" s="289"/>
      <c r="U5" s="289"/>
      <c r="V5" s="289"/>
      <c r="W5" s="289"/>
      <c r="X5" s="289"/>
      <c r="Y5" s="289"/>
      <c r="Z5" s="289"/>
      <c r="AA5" s="289"/>
      <c r="AB5" s="289"/>
      <c r="AC5" s="287"/>
      <c r="AD5" s="287"/>
      <c r="AE5" s="287"/>
      <c r="AF5" s="287"/>
      <c r="AG5" s="287"/>
      <c r="AH5" s="289"/>
      <c r="AI5" s="289"/>
      <c r="AJ5" s="289"/>
      <c r="AK5" s="289"/>
      <c r="AL5" s="290"/>
      <c r="AM5" s="290"/>
      <c r="AN5" s="289"/>
      <c r="AO5" s="289"/>
      <c r="AP5" s="289"/>
      <c r="AQ5" s="289"/>
      <c r="AR5" s="289"/>
      <c r="AS5" s="289"/>
      <c r="AT5" s="289"/>
      <c r="AU5" s="287"/>
      <c r="AV5" s="289"/>
      <c r="AW5" s="289"/>
      <c r="AX5" s="289"/>
      <c r="AY5" s="289"/>
      <c r="AZ5" s="289"/>
      <c r="BA5" s="289"/>
      <c r="BB5" s="289"/>
      <c r="BC5" s="289"/>
      <c r="BD5" s="289"/>
      <c r="BE5" s="288"/>
      <c r="BF5" s="288"/>
      <c r="BG5" s="288"/>
      <c r="BH5" s="288"/>
      <c r="BI5" s="288"/>
      <c r="BJ5" s="290"/>
      <c r="BK5" s="290"/>
      <c r="BL5" s="289"/>
      <c r="BM5" s="287"/>
      <c r="BN5" s="287"/>
      <c r="BO5" s="287"/>
      <c r="BP5" s="287"/>
      <c r="BQ5" s="287"/>
      <c r="BR5" s="289"/>
      <c r="BS5" s="287"/>
      <c r="BT5" s="287"/>
      <c r="BU5" s="287"/>
      <c r="BV5" s="287"/>
      <c r="BW5" s="287"/>
      <c r="BX5" s="287"/>
      <c r="BY5" s="287"/>
      <c r="BZ5" s="287"/>
      <c r="CA5" s="287"/>
      <c r="CB5" s="287"/>
      <c r="CC5" s="15"/>
      <c r="CD5" s="287"/>
      <c r="CE5" s="289"/>
      <c r="CF5" s="289"/>
      <c r="CG5" s="289"/>
      <c r="CH5" s="289"/>
      <c r="CI5" s="289"/>
      <c r="CJ5" s="289"/>
      <c r="CK5" s="289"/>
      <c r="CL5" s="289"/>
      <c r="CM5" s="289"/>
      <c r="CN5" s="289"/>
      <c r="CO5" s="289"/>
      <c r="CP5" s="289"/>
      <c r="CQ5" s="289"/>
      <c r="CR5" s="289"/>
      <c r="CS5" s="289"/>
      <c r="CT5" s="289"/>
    </row>
    <row r="6" spans="1:98">
      <c r="A6" s="201"/>
      <c r="B6" s="168"/>
      <c r="C6" s="291"/>
      <c r="D6" s="287"/>
      <c r="E6" s="287"/>
      <c r="F6" s="287"/>
      <c r="G6" s="287"/>
      <c r="H6" s="287"/>
      <c r="I6" s="287"/>
      <c r="J6" s="287"/>
      <c r="K6" s="287"/>
      <c r="L6" s="287"/>
      <c r="M6" s="287"/>
      <c r="N6" s="287"/>
      <c r="O6" s="287"/>
      <c r="P6" s="287"/>
      <c r="Q6" s="287"/>
      <c r="R6" s="287"/>
      <c r="S6" s="287"/>
      <c r="T6" s="287"/>
      <c r="U6" s="287"/>
      <c r="V6" s="287"/>
      <c r="W6" s="287"/>
      <c r="X6" s="287"/>
      <c r="Y6" s="287"/>
      <c r="Z6" s="287"/>
      <c r="AA6" s="287"/>
      <c r="AB6" s="287"/>
      <c r="AC6" s="292"/>
      <c r="AD6" s="287"/>
      <c r="AE6" s="287"/>
      <c r="AF6" s="287"/>
      <c r="AG6" s="287"/>
      <c r="AH6" s="205"/>
      <c r="AI6" s="287"/>
      <c r="AJ6" s="287"/>
      <c r="AK6" s="287"/>
      <c r="AL6" s="293"/>
      <c r="AM6" s="293"/>
      <c r="AN6" s="287"/>
      <c r="AO6" s="287"/>
      <c r="AP6" s="287"/>
      <c r="AQ6" s="287"/>
      <c r="AR6" s="287"/>
      <c r="AS6" s="287"/>
      <c r="AT6" s="287"/>
      <c r="AU6" s="287"/>
      <c r="AV6" s="287"/>
      <c r="AW6" s="287"/>
      <c r="AX6" s="287"/>
      <c r="AY6" s="287"/>
      <c r="AZ6" s="287"/>
      <c r="BA6" s="287"/>
      <c r="BB6" s="287"/>
      <c r="BC6" s="287"/>
      <c r="BD6" s="10"/>
      <c r="BE6" s="288"/>
      <c r="BF6" s="288"/>
      <c r="BG6" s="288"/>
      <c r="BH6" s="288"/>
      <c r="BI6" s="288"/>
      <c r="BJ6" s="293"/>
      <c r="BK6" s="293"/>
      <c r="BL6" s="10"/>
      <c r="BM6" s="287"/>
      <c r="BN6" s="287"/>
      <c r="BO6" s="287"/>
      <c r="BP6" s="287"/>
      <c r="BQ6" s="287"/>
      <c r="BR6" s="10"/>
      <c r="BS6" s="287"/>
      <c r="BT6" s="287"/>
      <c r="BU6" s="287"/>
      <c r="BV6" s="287"/>
      <c r="BW6" s="287"/>
      <c r="BX6" s="287"/>
      <c r="BY6" s="287"/>
      <c r="BZ6" s="287"/>
      <c r="CA6" s="287"/>
      <c r="CB6" s="287"/>
      <c r="CC6" s="15"/>
      <c r="CD6" s="287"/>
      <c r="CE6" s="10"/>
      <c r="CF6" s="10"/>
      <c r="CG6" s="287"/>
      <c r="CH6" s="287"/>
      <c r="CI6" s="287"/>
      <c r="CJ6" s="287"/>
      <c r="CK6" s="287"/>
      <c r="CL6" s="287"/>
      <c r="CM6" s="287"/>
      <c r="CN6" s="287"/>
      <c r="CO6" s="287"/>
      <c r="CP6" s="287"/>
      <c r="CQ6" s="287"/>
      <c r="CR6" s="287"/>
      <c r="CS6" s="287"/>
      <c r="CT6" s="287"/>
    </row>
    <row r="7" spans="1:98">
      <c r="A7" s="201"/>
      <c r="B7" s="206"/>
      <c r="C7" s="206"/>
      <c r="D7" s="287"/>
      <c r="E7" s="287"/>
      <c r="F7" s="287"/>
      <c r="G7" s="287"/>
      <c r="H7" s="287"/>
      <c r="I7" s="287"/>
      <c r="J7" s="287"/>
      <c r="K7" s="287"/>
      <c r="L7" s="287"/>
      <c r="M7" s="287"/>
      <c r="N7" s="287"/>
      <c r="O7" s="287"/>
      <c r="P7" s="287"/>
      <c r="Q7" s="287"/>
      <c r="R7" s="287"/>
      <c r="S7" s="287"/>
      <c r="T7" s="287"/>
      <c r="U7" s="287"/>
      <c r="V7" s="287"/>
      <c r="W7" s="287"/>
      <c r="X7" s="287"/>
      <c r="Y7" s="287"/>
      <c r="Z7" s="287"/>
      <c r="AA7" s="287"/>
      <c r="AB7" s="287"/>
      <c r="AC7" s="287"/>
      <c r="AD7" s="287"/>
      <c r="AE7" s="287"/>
      <c r="AF7" s="287"/>
      <c r="AG7" s="287"/>
      <c r="AH7" s="287"/>
      <c r="AI7" s="287"/>
      <c r="AJ7" s="287"/>
      <c r="AK7" s="287"/>
      <c r="AL7" s="293"/>
      <c r="AM7" s="293"/>
      <c r="AN7" s="287"/>
      <c r="AO7" s="287"/>
      <c r="AP7" s="287"/>
      <c r="AQ7" s="287"/>
      <c r="AR7" s="287"/>
      <c r="AS7" s="287"/>
      <c r="AT7" s="287"/>
      <c r="AU7" s="287"/>
      <c r="AV7" s="287"/>
      <c r="AW7" s="287"/>
      <c r="AX7" s="287"/>
      <c r="AY7" s="287"/>
      <c r="AZ7" s="287"/>
      <c r="BA7" s="287"/>
      <c r="BB7" s="287"/>
      <c r="BC7" s="287"/>
      <c r="BD7" s="10"/>
      <c r="BE7" s="288"/>
      <c r="BF7" s="288"/>
      <c r="BG7" s="288"/>
      <c r="BH7" s="288"/>
      <c r="BI7" s="288"/>
      <c r="BJ7" s="293"/>
      <c r="BK7" s="293"/>
      <c r="BL7" s="10"/>
      <c r="BM7" s="287"/>
      <c r="BN7" s="287"/>
      <c r="BO7" s="287"/>
      <c r="BP7" s="287"/>
      <c r="BQ7" s="287"/>
      <c r="BR7" s="10"/>
      <c r="BS7" s="287"/>
      <c r="BT7" s="287"/>
      <c r="BU7" s="287"/>
      <c r="BV7" s="287"/>
      <c r="BW7" s="287"/>
      <c r="BX7" s="287"/>
      <c r="BY7" s="287"/>
      <c r="BZ7" s="287"/>
      <c r="CA7" s="287"/>
      <c r="CB7" s="287"/>
      <c r="CC7" s="15"/>
      <c r="CD7" s="287"/>
      <c r="CE7" s="10"/>
      <c r="CF7" s="10"/>
      <c r="CG7" s="287"/>
      <c r="CH7" s="287"/>
      <c r="CI7" s="287"/>
      <c r="CJ7" s="287"/>
      <c r="CK7" s="287"/>
      <c r="CL7" s="287"/>
      <c r="CM7" s="287"/>
      <c r="CN7" s="287"/>
      <c r="CO7" s="287"/>
      <c r="CP7" s="287"/>
      <c r="CQ7" s="287"/>
      <c r="CR7" s="287"/>
      <c r="CS7" s="287"/>
      <c r="CT7" s="287"/>
    </row>
    <row r="8" spans="1:98">
      <c r="A8" s="201"/>
      <c r="B8" s="220"/>
      <c r="C8" s="220"/>
      <c r="D8" s="287"/>
      <c r="E8" s="287"/>
      <c r="F8" s="287"/>
      <c r="G8" s="287"/>
      <c r="H8" s="287"/>
      <c r="I8" s="287"/>
      <c r="J8" s="287"/>
      <c r="K8" s="287"/>
      <c r="L8" s="287"/>
      <c r="M8" s="287"/>
      <c r="N8" s="287"/>
      <c r="O8" s="287"/>
      <c r="P8" s="287"/>
      <c r="Q8" s="289"/>
      <c r="R8" s="289"/>
      <c r="S8" s="289"/>
      <c r="T8" s="289"/>
      <c r="U8" s="289"/>
      <c r="V8" s="289"/>
      <c r="W8" s="289"/>
      <c r="X8" s="289"/>
      <c r="Y8" s="289"/>
      <c r="Z8" s="289"/>
      <c r="AA8" s="289"/>
      <c r="AB8" s="289"/>
      <c r="AC8" s="287"/>
      <c r="AD8" s="287"/>
      <c r="AE8" s="287"/>
      <c r="AF8" s="287"/>
      <c r="AG8" s="287"/>
      <c r="AH8" s="289"/>
      <c r="AI8" s="289"/>
      <c r="AJ8" s="289"/>
      <c r="AK8" s="289"/>
      <c r="AL8" s="290"/>
      <c r="AM8" s="290"/>
      <c r="AN8" s="289"/>
      <c r="AO8" s="289"/>
      <c r="AP8" s="289"/>
      <c r="AQ8" s="289"/>
      <c r="AR8" s="289"/>
      <c r="AS8" s="289"/>
      <c r="AT8" s="289"/>
      <c r="AU8" s="287"/>
      <c r="AV8" s="289"/>
      <c r="AW8" s="289"/>
      <c r="AX8" s="289"/>
      <c r="AY8" s="289"/>
      <c r="AZ8" s="289"/>
      <c r="BA8" s="289"/>
      <c r="BB8" s="289"/>
      <c r="BC8" s="289"/>
      <c r="BD8" s="138"/>
      <c r="BE8" s="293"/>
      <c r="BF8" s="293"/>
      <c r="BG8" s="293"/>
      <c r="BH8" s="293"/>
      <c r="BI8" s="293"/>
      <c r="BJ8" s="290"/>
      <c r="BK8" s="290"/>
      <c r="BL8" s="138"/>
      <c r="BM8" s="287"/>
      <c r="BN8" s="287"/>
      <c r="BO8" s="287"/>
      <c r="BP8" s="287"/>
      <c r="BQ8" s="287"/>
      <c r="BR8" s="138"/>
      <c r="BS8" s="287"/>
      <c r="BT8" s="287"/>
      <c r="BU8" s="287"/>
      <c r="BV8" s="287"/>
      <c r="BW8" s="287"/>
      <c r="BX8" s="287"/>
      <c r="BY8" s="287"/>
      <c r="BZ8" s="287"/>
      <c r="CA8" s="287"/>
      <c r="CB8" s="287"/>
      <c r="CC8" s="15"/>
      <c r="CD8" s="287"/>
      <c r="CE8" s="138"/>
      <c r="CF8" s="138"/>
      <c r="CG8" s="289"/>
      <c r="CH8" s="289"/>
      <c r="CI8" s="289"/>
      <c r="CJ8" s="289"/>
      <c r="CK8" s="289"/>
      <c r="CL8" s="289"/>
      <c r="CM8" s="289"/>
      <c r="CN8" s="289"/>
      <c r="CO8" s="289"/>
      <c r="CP8" s="289"/>
      <c r="CQ8" s="289"/>
      <c r="CR8" s="289"/>
      <c r="CS8" s="289"/>
      <c r="CT8" s="289"/>
    </row>
    <row r="9" spans="1:98">
      <c r="A9" s="201"/>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5"/>
      <c r="CT9" s="15"/>
    </row>
    <row r="10" spans="1:98">
      <c r="A10" s="201"/>
      <c r="B10" s="168"/>
      <c r="C10" s="220"/>
      <c r="D10" s="287"/>
      <c r="E10" s="287"/>
      <c r="F10" s="287"/>
      <c r="G10" s="287"/>
      <c r="H10" s="287"/>
      <c r="I10" s="287"/>
      <c r="J10" s="287"/>
      <c r="K10" s="287"/>
      <c r="L10" s="287"/>
      <c r="M10" s="287"/>
      <c r="N10" s="287"/>
      <c r="O10" s="287"/>
      <c r="P10" s="287"/>
      <c r="Q10" s="289"/>
      <c r="R10" s="289"/>
      <c r="S10" s="289"/>
      <c r="T10" s="289"/>
      <c r="U10" s="289"/>
      <c r="V10" s="289"/>
      <c r="W10" s="289"/>
      <c r="X10" s="289"/>
      <c r="Y10" s="289"/>
      <c r="Z10" s="289"/>
      <c r="AA10" s="289"/>
      <c r="AB10" s="289"/>
      <c r="AC10" s="287"/>
      <c r="AD10" s="287"/>
      <c r="AE10" s="287"/>
      <c r="AF10" s="287"/>
      <c r="AG10" s="287"/>
      <c r="AH10" s="289"/>
      <c r="AI10" s="289"/>
      <c r="AJ10" s="289"/>
      <c r="AK10" s="289"/>
      <c r="AL10" s="290"/>
      <c r="AM10" s="290"/>
      <c r="AU10" s="287"/>
      <c r="AV10" s="289"/>
      <c r="AW10" s="289"/>
      <c r="AX10" s="289"/>
      <c r="BC10" s="289"/>
      <c r="BD10" s="15"/>
      <c r="BE10" s="15"/>
      <c r="BF10" s="15"/>
      <c r="BG10" s="15"/>
      <c r="BH10" s="15"/>
      <c r="BI10" s="15"/>
      <c r="BJ10" s="15"/>
      <c r="BK10" s="15"/>
      <c r="BR10" s="138"/>
      <c r="BS10" s="287"/>
      <c r="BT10" s="287"/>
      <c r="BU10" s="287"/>
      <c r="BV10" s="287"/>
      <c r="BW10" s="287"/>
      <c r="BX10" s="287"/>
      <c r="BY10" s="287"/>
      <c r="BZ10" s="287"/>
      <c r="CA10" s="287"/>
      <c r="CB10" s="287"/>
      <c r="CC10" s="15"/>
      <c r="CD10" s="287"/>
      <c r="CE10" s="138"/>
      <c r="CF10" s="138"/>
      <c r="CG10" s="289"/>
      <c r="CH10" s="289"/>
      <c r="CI10" s="289"/>
      <c r="CJ10" s="289"/>
      <c r="CK10" s="289"/>
      <c r="CL10" s="289"/>
      <c r="CM10" s="289"/>
      <c r="CN10" s="289"/>
      <c r="CO10" s="289"/>
      <c r="CP10" s="289"/>
      <c r="CQ10" s="289"/>
      <c r="CR10" s="289"/>
      <c r="CS10" s="289"/>
      <c r="CT10" s="289"/>
    </row>
    <row r="11" spans="1:98">
      <c r="A11" s="201"/>
      <c r="B11" s="220"/>
      <c r="C11" s="220"/>
      <c r="D11" s="287"/>
      <c r="E11" s="287"/>
      <c r="F11" s="287"/>
      <c r="G11" s="287"/>
      <c r="H11" s="287"/>
      <c r="I11" s="287"/>
      <c r="J11" s="287"/>
      <c r="K11" s="287"/>
      <c r="L11" s="287"/>
      <c r="M11" s="287"/>
      <c r="N11" s="287"/>
      <c r="O11" s="287"/>
      <c r="P11" s="287"/>
      <c r="Q11" s="289"/>
      <c r="R11" s="289"/>
      <c r="S11" s="289"/>
      <c r="T11" s="289"/>
      <c r="U11" s="289"/>
      <c r="V11" s="289"/>
      <c r="W11" s="289"/>
      <c r="X11" s="289"/>
      <c r="Y11" s="289"/>
      <c r="Z11" s="289"/>
      <c r="AA11" s="289"/>
      <c r="AB11" s="289"/>
      <c r="AC11" s="287"/>
      <c r="AD11" s="287"/>
      <c r="AE11" s="287"/>
      <c r="AF11" s="287"/>
      <c r="AG11" s="287"/>
      <c r="AH11" s="289"/>
      <c r="AI11" s="289"/>
      <c r="AJ11" s="289"/>
      <c r="AK11" s="289"/>
      <c r="AL11" s="290"/>
      <c r="AM11" s="290"/>
      <c r="AU11" s="287"/>
      <c r="AV11" s="289"/>
      <c r="AW11" s="289"/>
      <c r="AX11" s="289"/>
      <c r="BC11" s="289"/>
      <c r="BR11" s="138"/>
      <c r="BS11" s="287"/>
      <c r="BT11" s="287"/>
      <c r="BU11" s="287"/>
      <c r="BV11" s="287"/>
      <c r="BW11" s="287"/>
      <c r="BX11" s="287"/>
      <c r="BY11" s="287"/>
      <c r="BZ11" s="287"/>
      <c r="CA11" s="287"/>
      <c r="CB11" s="287"/>
      <c r="CC11" s="15"/>
      <c r="CD11" s="287"/>
      <c r="CE11" s="138"/>
      <c r="CF11" s="138"/>
      <c r="CG11" s="289"/>
      <c r="CH11" s="289"/>
      <c r="CI11" s="289"/>
      <c r="CJ11" s="289"/>
      <c r="CK11" s="289"/>
      <c r="CL11" s="289"/>
      <c r="CM11" s="289"/>
      <c r="CN11" s="289"/>
      <c r="CO11" s="289"/>
      <c r="CP11" s="289"/>
      <c r="CQ11" s="289"/>
      <c r="CR11" s="289"/>
      <c r="CS11" s="289"/>
      <c r="CT11" s="289"/>
    </row>
    <row r="12" spans="1:98">
      <c r="A12" s="294"/>
      <c r="B12" s="168"/>
      <c r="C12" s="168">
        <f>COUNTIF(C16:C101,"1")</f>
        <v>0</v>
      </c>
      <c r="E12" s="295"/>
      <c r="F12" s="295"/>
      <c r="G12" s="287"/>
      <c r="H12" s="287"/>
      <c r="I12" s="287"/>
      <c r="J12" s="287"/>
      <c r="K12" s="287"/>
      <c r="L12" s="287"/>
      <c r="M12" s="287"/>
      <c r="N12" s="287"/>
      <c r="O12" s="287"/>
      <c r="P12" s="287"/>
      <c r="Q12" s="287"/>
      <c r="R12" s="287"/>
      <c r="S12" s="287"/>
      <c r="T12" s="287"/>
      <c r="U12" s="287"/>
      <c r="V12" s="287"/>
      <c r="W12" s="287"/>
      <c r="X12" s="287"/>
      <c r="Y12" s="287"/>
      <c r="Z12" s="287"/>
      <c r="AA12" s="287"/>
      <c r="AB12" s="287"/>
      <c r="AC12" s="287"/>
      <c r="AD12" s="287"/>
      <c r="AE12" s="287"/>
      <c r="AF12" s="287"/>
      <c r="AG12" s="287"/>
      <c r="AH12" s="248" t="s">
        <v>254</v>
      </c>
      <c r="AI12" s="287"/>
      <c r="AJ12" s="15"/>
      <c r="AK12" s="287"/>
      <c r="AL12" s="222"/>
      <c r="AM12" s="222"/>
      <c r="AN12" s="287"/>
      <c r="AO12" s="287"/>
      <c r="AP12" s="287"/>
      <c r="AQ12" s="287"/>
      <c r="AR12" s="287"/>
      <c r="AS12" s="287"/>
      <c r="AT12" s="287"/>
      <c r="AU12" s="222" t="s">
        <v>241</v>
      </c>
      <c r="AV12" s="287"/>
      <c r="AW12" s="287"/>
      <c r="AX12" s="287"/>
      <c r="AY12" s="287"/>
      <c r="AZ12" s="287"/>
      <c r="BA12" s="287"/>
      <c r="BB12" s="287"/>
      <c r="BC12" s="287"/>
      <c r="BD12" s="287"/>
      <c r="BE12" s="288"/>
      <c r="BF12" s="288"/>
      <c r="BG12" s="288"/>
      <c r="BH12" s="288"/>
      <c r="BI12" s="288"/>
      <c r="BJ12" s="293"/>
      <c r="BK12" s="293"/>
      <c r="BL12" s="222" t="s">
        <v>435</v>
      </c>
      <c r="BM12" s="287"/>
      <c r="BN12" s="287"/>
      <c r="BO12" s="287"/>
      <c r="BP12" s="287"/>
      <c r="BQ12" s="287"/>
      <c r="BR12" s="287"/>
      <c r="BS12" s="287"/>
      <c r="BT12" s="287"/>
      <c r="BU12" s="287"/>
      <c r="BV12" s="287"/>
      <c r="BW12" s="287"/>
      <c r="BX12" s="287"/>
      <c r="BY12" s="287"/>
      <c r="BZ12" s="287"/>
      <c r="CA12" s="287"/>
      <c r="CB12" s="287"/>
      <c r="CC12" s="15"/>
      <c r="CD12" s="287"/>
      <c r="CE12" s="10"/>
      <c r="CF12" s="10"/>
      <c r="CG12" s="287"/>
      <c r="CH12" s="287"/>
      <c r="CI12" s="287"/>
      <c r="CJ12" s="287"/>
      <c r="CK12" s="287"/>
      <c r="CL12" s="287"/>
      <c r="CM12" s="287"/>
      <c r="CN12" s="287"/>
      <c r="CO12" s="287"/>
      <c r="CP12" s="287"/>
      <c r="CQ12" s="287"/>
      <c r="CR12" s="287"/>
      <c r="CS12" s="287"/>
      <c r="CT12" s="287"/>
    </row>
    <row r="13" spans="1:98" ht="64.5" thickBot="1">
      <c r="A13" s="197"/>
      <c r="B13" s="231"/>
      <c r="C13" s="231"/>
      <c r="D13" s="95"/>
      <c r="E13" s="95"/>
      <c r="F13" s="95" t="s">
        <v>145</v>
      </c>
      <c r="G13" s="95" t="s">
        <v>355</v>
      </c>
      <c r="H13" s="95" t="s">
        <v>79</v>
      </c>
      <c r="I13" s="95" t="s">
        <v>336</v>
      </c>
      <c r="J13" s="95" t="s">
        <v>345</v>
      </c>
      <c r="K13" s="95" t="s">
        <v>267</v>
      </c>
      <c r="L13" s="95" t="s">
        <v>225</v>
      </c>
      <c r="M13" s="95" t="s">
        <v>428</v>
      </c>
      <c r="N13" s="95" t="s">
        <v>262</v>
      </c>
      <c r="O13" s="95" t="s">
        <v>228</v>
      </c>
      <c r="P13" s="95" t="s">
        <v>766</v>
      </c>
      <c r="Q13" s="95" t="s">
        <v>533</v>
      </c>
      <c r="R13" s="95" t="s">
        <v>196</v>
      </c>
      <c r="S13" s="95" t="s">
        <v>469</v>
      </c>
      <c r="T13" s="95" t="s">
        <v>398</v>
      </c>
      <c r="U13" s="95" t="s">
        <v>281</v>
      </c>
      <c r="V13" s="95" t="s">
        <v>460</v>
      </c>
      <c r="W13" s="95" t="s">
        <v>498</v>
      </c>
      <c r="X13" s="95" t="s">
        <v>265</v>
      </c>
      <c r="Y13" s="95" t="s">
        <v>683</v>
      </c>
      <c r="Z13" s="95" t="s">
        <v>684</v>
      </c>
      <c r="AA13" s="95" t="s">
        <v>115</v>
      </c>
      <c r="AB13" s="95" t="s">
        <v>369</v>
      </c>
      <c r="AC13" s="95" t="s">
        <v>473</v>
      </c>
      <c r="AD13" s="95" t="s">
        <v>453</v>
      </c>
      <c r="AE13" s="95" t="s">
        <v>433</v>
      </c>
      <c r="AF13" s="95" t="s">
        <v>190</v>
      </c>
      <c r="AG13" s="95" t="s">
        <v>135</v>
      </c>
      <c r="AH13" s="95" t="s">
        <v>128</v>
      </c>
      <c r="AI13" s="95" t="s">
        <v>505</v>
      </c>
      <c r="AJ13" s="95" t="s">
        <v>475</v>
      </c>
      <c r="AK13" s="95" t="s">
        <v>399</v>
      </c>
      <c r="AL13" s="95" t="s">
        <v>310</v>
      </c>
      <c r="AM13" s="95" t="s">
        <v>740</v>
      </c>
      <c r="AN13" s="95" t="s">
        <v>741</v>
      </c>
      <c r="AO13" s="95" t="s">
        <v>742</v>
      </c>
      <c r="AP13" s="95" t="s">
        <v>743</v>
      </c>
      <c r="AQ13" s="95" t="s">
        <v>744</v>
      </c>
      <c r="AR13" s="95" t="s">
        <v>745</v>
      </c>
      <c r="AS13" s="95" t="s">
        <v>746</v>
      </c>
      <c r="AT13" s="95" t="s">
        <v>1</v>
      </c>
      <c r="AU13" s="95" t="s">
        <v>170</v>
      </c>
      <c r="AV13" s="95" t="s">
        <v>139</v>
      </c>
      <c r="AW13" s="95" t="s">
        <v>27</v>
      </c>
      <c r="AX13" s="95" t="s">
        <v>564</v>
      </c>
      <c r="AY13" s="95" t="s">
        <v>268</v>
      </c>
      <c r="AZ13" s="95" t="s">
        <v>231</v>
      </c>
      <c r="BA13" s="95" t="s">
        <v>341</v>
      </c>
      <c r="BB13" s="95" t="s">
        <v>459</v>
      </c>
      <c r="BC13" s="95" t="s">
        <v>419</v>
      </c>
      <c r="BD13" s="140" t="s">
        <v>747</v>
      </c>
      <c r="BE13" s="140" t="s">
        <v>568</v>
      </c>
      <c r="BF13" s="140" t="s">
        <v>260</v>
      </c>
      <c r="BG13" s="140" t="s">
        <v>214</v>
      </c>
      <c r="BH13" s="140" t="s">
        <v>691</v>
      </c>
      <c r="BI13" s="140" t="s">
        <v>165</v>
      </c>
      <c r="BJ13" s="95" t="s">
        <v>544</v>
      </c>
      <c r="BK13" s="95" t="s">
        <v>40</v>
      </c>
      <c r="BL13" s="95" t="s">
        <v>47</v>
      </c>
      <c r="BM13" s="95" t="s">
        <v>194</v>
      </c>
      <c r="BN13" s="95" t="s">
        <v>748</v>
      </c>
      <c r="BO13" s="95" t="s">
        <v>316</v>
      </c>
      <c r="BP13" s="95" t="s">
        <v>448</v>
      </c>
      <c r="BQ13" s="95" t="s">
        <v>5</v>
      </c>
      <c r="BR13" s="95" t="s">
        <v>220</v>
      </c>
      <c r="BS13" s="95" t="s">
        <v>326</v>
      </c>
      <c r="BT13" s="95" t="s">
        <v>749</v>
      </c>
      <c r="BU13" s="95" t="s">
        <v>451</v>
      </c>
      <c r="BV13" s="95" t="s">
        <v>481</v>
      </c>
      <c r="BW13" s="95" t="s">
        <v>521</v>
      </c>
      <c r="BX13" s="95" t="s">
        <v>344</v>
      </c>
      <c r="BY13" s="95" t="s">
        <v>485</v>
      </c>
      <c r="BZ13" s="95" t="s">
        <v>750</v>
      </c>
      <c r="CA13" s="95" t="s">
        <v>559</v>
      </c>
      <c r="CB13" s="95" t="s">
        <v>82</v>
      </c>
      <c r="CC13" s="95" t="s">
        <v>442</v>
      </c>
      <c r="CD13" s="95" t="s">
        <v>378</v>
      </c>
      <c r="CE13" s="95" t="s">
        <v>596</v>
      </c>
      <c r="CF13" s="95" t="s">
        <v>250</v>
      </c>
      <c r="CG13" s="95" t="s">
        <v>204</v>
      </c>
      <c r="CH13" s="95" t="s">
        <v>277</v>
      </c>
      <c r="CI13" s="95" t="s">
        <v>4</v>
      </c>
      <c r="CJ13" s="95" t="s">
        <v>58</v>
      </c>
      <c r="CK13" s="95" t="s">
        <v>263</v>
      </c>
      <c r="CL13" s="95" t="s">
        <v>751</v>
      </c>
      <c r="CM13" s="95" t="s">
        <v>494</v>
      </c>
      <c r="CN13" s="95" t="s">
        <v>159</v>
      </c>
      <c r="CO13" s="95" t="s">
        <v>431</v>
      </c>
      <c r="CP13" s="95" t="s">
        <v>381</v>
      </c>
      <c r="CQ13" s="95" t="s">
        <v>593</v>
      </c>
      <c r="CR13" s="95" t="s">
        <v>114</v>
      </c>
      <c r="CS13" s="95" t="s">
        <v>597</v>
      </c>
      <c r="CT13" s="95" t="s">
        <v>318</v>
      </c>
    </row>
    <row r="14" spans="1:98" ht="14.25" thickTop="1" thickBot="1">
      <c r="A14" s="70" t="s">
        <v>117</v>
      </c>
      <c r="B14" s="35" t="s">
        <v>269</v>
      </c>
      <c r="C14" s="35" t="s">
        <v>269</v>
      </c>
      <c r="D14" s="35" t="s">
        <v>269</v>
      </c>
      <c r="E14" s="35" t="s">
        <v>269</v>
      </c>
      <c r="F14" s="35" t="s">
        <v>269</v>
      </c>
      <c r="G14" s="35" t="s">
        <v>269</v>
      </c>
      <c r="H14" s="35" t="s">
        <v>269</v>
      </c>
      <c r="I14" s="35" t="s">
        <v>269</v>
      </c>
      <c r="J14" s="35" t="s">
        <v>269</v>
      </c>
      <c r="K14" s="35" t="s">
        <v>269</v>
      </c>
      <c r="L14" s="35" t="s">
        <v>269</v>
      </c>
      <c r="M14" s="35" t="s">
        <v>269</v>
      </c>
      <c r="N14" s="35" t="s">
        <v>269</v>
      </c>
      <c r="O14" s="35" t="s">
        <v>269</v>
      </c>
      <c r="P14" s="35" t="s">
        <v>269</v>
      </c>
      <c r="Q14" s="35" t="s">
        <v>269</v>
      </c>
      <c r="R14" s="35" t="s">
        <v>269</v>
      </c>
      <c r="S14" s="35" t="s">
        <v>269</v>
      </c>
      <c r="T14" s="35" t="s">
        <v>269</v>
      </c>
      <c r="U14" s="35" t="s">
        <v>269</v>
      </c>
      <c r="V14" s="35" t="s">
        <v>269</v>
      </c>
      <c r="W14" s="35" t="s">
        <v>269</v>
      </c>
      <c r="X14" s="35" t="s">
        <v>269</v>
      </c>
      <c r="Y14" s="35" t="s">
        <v>464</v>
      </c>
      <c r="Z14" s="35" t="s">
        <v>464</v>
      </c>
      <c r="AA14" s="35" t="s">
        <v>464</v>
      </c>
      <c r="AB14" s="35" t="s">
        <v>464</v>
      </c>
      <c r="AC14" s="35" t="s">
        <v>269</v>
      </c>
      <c r="AD14" s="35" t="s">
        <v>269</v>
      </c>
      <c r="AE14" s="35" t="s">
        <v>269</v>
      </c>
      <c r="AF14" s="35" t="s">
        <v>269</v>
      </c>
      <c r="AG14" s="35" t="s">
        <v>269</v>
      </c>
      <c r="AH14" s="35" t="s">
        <v>464</v>
      </c>
      <c r="AI14" s="35" t="s">
        <v>464</v>
      </c>
      <c r="AJ14" s="35" t="s">
        <v>464</v>
      </c>
      <c r="AK14" s="35" t="s">
        <v>464</v>
      </c>
      <c r="AL14" s="35" t="s">
        <v>269</v>
      </c>
      <c r="AM14" s="35" t="s">
        <v>269</v>
      </c>
      <c r="AN14" s="35" t="s">
        <v>269</v>
      </c>
      <c r="AO14" s="35" t="s">
        <v>269</v>
      </c>
      <c r="AP14" s="35" t="s">
        <v>269</v>
      </c>
      <c r="AQ14" s="35" t="s">
        <v>464</v>
      </c>
      <c r="AR14" s="35" t="s">
        <v>464</v>
      </c>
      <c r="AS14" s="35" t="s">
        <v>464</v>
      </c>
      <c r="AT14" s="35" t="s">
        <v>464</v>
      </c>
      <c r="AU14" s="35" t="s">
        <v>464</v>
      </c>
      <c r="AV14" s="35" t="s">
        <v>464</v>
      </c>
      <c r="AW14" s="35" t="s">
        <v>565</v>
      </c>
      <c r="AX14" s="35" t="s">
        <v>464</v>
      </c>
      <c r="AY14" s="35" t="s">
        <v>565</v>
      </c>
      <c r="AZ14" s="35" t="s">
        <v>464</v>
      </c>
      <c r="BA14" s="35" t="s">
        <v>464</v>
      </c>
      <c r="BB14" s="35" t="s">
        <v>464</v>
      </c>
      <c r="BC14" s="35" t="s">
        <v>464</v>
      </c>
      <c r="BD14" s="35" t="s">
        <v>269</v>
      </c>
      <c r="BE14" s="239" t="s">
        <v>464</v>
      </c>
      <c r="BF14" s="239" t="s">
        <v>464</v>
      </c>
      <c r="BG14" s="239" t="s">
        <v>464</v>
      </c>
      <c r="BH14" s="239" t="s">
        <v>464</v>
      </c>
      <c r="BI14" s="239" t="s">
        <v>464</v>
      </c>
      <c r="BJ14" s="35" t="s">
        <v>464</v>
      </c>
      <c r="BK14" s="35" t="s">
        <v>464</v>
      </c>
      <c r="BL14" s="35" t="s">
        <v>464</v>
      </c>
      <c r="BM14" s="35" t="s">
        <v>464</v>
      </c>
      <c r="BN14" s="35" t="s">
        <v>464</v>
      </c>
      <c r="BO14" s="35" t="s">
        <v>464</v>
      </c>
      <c r="BP14" s="35" t="s">
        <v>464</v>
      </c>
      <c r="BQ14" s="35" t="s">
        <v>464</v>
      </c>
      <c r="BR14" s="35" t="s">
        <v>464</v>
      </c>
      <c r="BS14" s="35" t="s">
        <v>464</v>
      </c>
      <c r="BT14" s="35" t="s">
        <v>464</v>
      </c>
      <c r="BU14" s="35" t="s">
        <v>464</v>
      </c>
      <c r="BV14" s="35" t="s">
        <v>464</v>
      </c>
      <c r="BW14" s="35" t="s">
        <v>464</v>
      </c>
      <c r="BX14" s="35" t="s">
        <v>464</v>
      </c>
      <c r="BY14" s="35" t="s">
        <v>464</v>
      </c>
      <c r="BZ14" s="35" t="s">
        <v>464</v>
      </c>
      <c r="CA14" s="35" t="s">
        <v>464</v>
      </c>
      <c r="CB14" s="35" t="s">
        <v>464</v>
      </c>
      <c r="CC14" s="35" t="s">
        <v>464</v>
      </c>
      <c r="CD14" s="35" t="s">
        <v>464</v>
      </c>
      <c r="CE14" s="35" t="s">
        <v>464</v>
      </c>
      <c r="CF14" s="35" t="s">
        <v>464</v>
      </c>
      <c r="CG14" s="35" t="s">
        <v>464</v>
      </c>
      <c r="CH14" s="35" t="s">
        <v>464</v>
      </c>
      <c r="CI14" s="35" t="s">
        <v>464</v>
      </c>
      <c r="CJ14" s="35" t="s">
        <v>464</v>
      </c>
      <c r="CK14" s="35" t="s">
        <v>464</v>
      </c>
      <c r="CL14" s="35" t="s">
        <v>464</v>
      </c>
      <c r="CM14" s="35" t="s">
        <v>464</v>
      </c>
      <c r="CN14" s="35" t="s">
        <v>464</v>
      </c>
      <c r="CO14" s="35" t="s">
        <v>464</v>
      </c>
      <c r="CP14" s="35" t="s">
        <v>464</v>
      </c>
      <c r="CQ14" s="35" t="s">
        <v>464</v>
      </c>
      <c r="CR14" s="35" t="s">
        <v>464</v>
      </c>
      <c r="CS14" s="35" t="s">
        <v>464</v>
      </c>
      <c r="CT14" s="35" t="s">
        <v>464</v>
      </c>
    </row>
    <row r="15" spans="1:98" ht="14.25" thickTop="1" thickBot="1">
      <c r="A15" s="14" t="s">
        <v>535</v>
      </c>
      <c r="B15" s="61" t="s">
        <v>663</v>
      </c>
      <c r="C15" s="61" t="s">
        <v>519</v>
      </c>
      <c r="D15" s="61" t="s">
        <v>306</v>
      </c>
      <c r="E15" s="83" t="s">
        <v>405</v>
      </c>
      <c r="F15" s="83" t="s">
        <v>168</v>
      </c>
      <c r="G15" s="57" t="s">
        <v>314</v>
      </c>
      <c r="H15" s="57" t="s">
        <v>87</v>
      </c>
      <c r="I15" s="57" t="s">
        <v>230</v>
      </c>
      <c r="J15" s="57" t="s">
        <v>144</v>
      </c>
      <c r="K15" s="57" t="s">
        <v>434</v>
      </c>
      <c r="L15" s="57" t="s">
        <v>183</v>
      </c>
      <c r="M15" s="57" t="s">
        <v>302</v>
      </c>
      <c r="N15" s="57" t="s">
        <v>580</v>
      </c>
      <c r="O15" s="57" t="s">
        <v>156</v>
      </c>
      <c r="P15" s="57" t="s">
        <v>765</v>
      </c>
      <c r="Q15" s="57" t="s">
        <v>164</v>
      </c>
      <c r="R15" s="57" t="s">
        <v>408</v>
      </c>
      <c r="S15" s="57" t="s">
        <v>372</v>
      </c>
      <c r="T15" s="57" t="s">
        <v>105</v>
      </c>
      <c r="U15" s="57" t="s">
        <v>529</v>
      </c>
      <c r="V15" s="57" t="s">
        <v>478</v>
      </c>
      <c r="W15" s="57" t="s">
        <v>439</v>
      </c>
      <c r="X15" s="57" t="s">
        <v>111</v>
      </c>
      <c r="Y15" s="57" t="s">
        <v>293</v>
      </c>
      <c r="Z15" s="57" t="s">
        <v>312</v>
      </c>
      <c r="AA15" s="57" t="s">
        <v>416</v>
      </c>
      <c r="AB15" s="57" t="s">
        <v>430</v>
      </c>
      <c r="AC15" s="57" t="s">
        <v>438</v>
      </c>
      <c r="AD15" s="57" t="s">
        <v>15</v>
      </c>
      <c r="AE15" s="57" t="s">
        <v>560</v>
      </c>
      <c r="AF15" s="57" t="s">
        <v>9</v>
      </c>
      <c r="AG15" s="57" t="s">
        <v>575</v>
      </c>
      <c r="AH15" s="57" t="s">
        <v>417</v>
      </c>
      <c r="AI15" s="57" t="s">
        <v>374</v>
      </c>
      <c r="AJ15" s="57" t="s">
        <v>480</v>
      </c>
      <c r="AK15" s="57" t="s">
        <v>548</v>
      </c>
      <c r="AL15" s="204" t="s">
        <v>574</v>
      </c>
      <c r="AM15" s="204" t="s">
        <v>359</v>
      </c>
      <c r="AN15" s="204" t="s">
        <v>732</v>
      </c>
      <c r="AO15" s="204" t="s">
        <v>733</v>
      </c>
      <c r="AP15" s="204" t="s">
        <v>734</v>
      </c>
      <c r="AQ15" s="204" t="s">
        <v>133</v>
      </c>
      <c r="AR15" s="204" t="s">
        <v>234</v>
      </c>
      <c r="AS15" s="204" t="s">
        <v>56</v>
      </c>
      <c r="AT15" s="204" t="s">
        <v>162</v>
      </c>
      <c r="AU15" s="204" t="s">
        <v>93</v>
      </c>
      <c r="AV15" s="204" t="s">
        <v>199</v>
      </c>
      <c r="AW15" s="204" t="s">
        <v>252</v>
      </c>
      <c r="AX15" s="204" t="s">
        <v>152</v>
      </c>
      <c r="AY15" s="204" t="s">
        <v>522</v>
      </c>
      <c r="AZ15" s="204" t="s">
        <v>563</v>
      </c>
      <c r="BA15" s="204" t="s">
        <v>414</v>
      </c>
      <c r="BB15" s="204" t="s">
        <v>72</v>
      </c>
      <c r="BC15" s="204" t="s">
        <v>35</v>
      </c>
      <c r="BD15" s="204" t="s">
        <v>679</v>
      </c>
      <c r="BE15" s="147" t="s">
        <v>358</v>
      </c>
      <c r="BF15" s="147" t="s">
        <v>371</v>
      </c>
      <c r="BG15" s="147" t="s">
        <v>687</v>
      </c>
      <c r="BH15" s="147" t="s">
        <v>688</v>
      </c>
      <c r="BI15" s="147" t="s">
        <v>266</v>
      </c>
      <c r="BJ15" s="204" t="s">
        <v>259</v>
      </c>
      <c r="BK15" s="204" t="s">
        <v>151</v>
      </c>
      <c r="BL15" s="204" t="s">
        <v>21</v>
      </c>
      <c r="BM15" s="172" t="s">
        <v>572</v>
      </c>
      <c r="BN15" s="172" t="s">
        <v>363</v>
      </c>
      <c r="BO15" s="172" t="s">
        <v>323</v>
      </c>
      <c r="BP15" s="172" t="s">
        <v>208</v>
      </c>
      <c r="BQ15" s="172" t="s">
        <v>567</v>
      </c>
      <c r="BR15" s="204" t="s">
        <v>150</v>
      </c>
      <c r="BS15" s="172" t="s">
        <v>245</v>
      </c>
      <c r="BT15" s="172" t="s">
        <v>735</v>
      </c>
      <c r="BU15" s="172" t="s">
        <v>346</v>
      </c>
      <c r="BV15" s="172" t="s">
        <v>24</v>
      </c>
      <c r="BW15" s="172" t="s">
        <v>192</v>
      </c>
      <c r="BX15" s="172" t="s">
        <v>121</v>
      </c>
      <c r="BY15" s="172" t="s">
        <v>410</v>
      </c>
      <c r="BZ15" s="172" t="s">
        <v>736</v>
      </c>
      <c r="CA15" s="172" t="s">
        <v>48</v>
      </c>
      <c r="CB15" s="172" t="s">
        <v>509</v>
      </c>
      <c r="CC15" s="172" t="s">
        <v>393</v>
      </c>
      <c r="CD15" s="172" t="s">
        <v>500</v>
      </c>
      <c r="CE15" s="204" t="s">
        <v>492</v>
      </c>
      <c r="CF15" s="204" t="s">
        <v>540</v>
      </c>
      <c r="CG15" s="204" t="s">
        <v>273</v>
      </c>
      <c r="CH15" s="204" t="s">
        <v>418</v>
      </c>
      <c r="CI15" s="204" t="s">
        <v>255</v>
      </c>
      <c r="CJ15" s="204" t="s">
        <v>474</v>
      </c>
      <c r="CK15" s="204" t="s">
        <v>112</v>
      </c>
      <c r="CL15" s="204" t="s">
        <v>724</v>
      </c>
      <c r="CM15" s="204" t="s">
        <v>737</v>
      </c>
      <c r="CN15" s="204" t="s">
        <v>738</v>
      </c>
      <c r="CO15" s="204" t="s">
        <v>426</v>
      </c>
      <c r="CP15" s="204" t="s">
        <v>96</v>
      </c>
      <c r="CQ15" s="204" t="s">
        <v>0</v>
      </c>
      <c r="CR15" s="204" t="s">
        <v>349</v>
      </c>
      <c r="CS15" s="204" t="s">
        <v>400</v>
      </c>
      <c r="CT15" s="204" t="s">
        <v>508</v>
      </c>
    </row>
    <row r="16" spans="1:98" ht="13.5" thickTop="1"/>
  </sheetData>
  <autoFilter ref="A15:CT22" xr:uid="{00000000-0009-0000-0000-000001000000}"/>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Q34"/>
  <sheetViews>
    <sheetView tabSelected="1" topLeftCell="FY1" zoomScale="80" zoomScaleNormal="80" workbookViewId="0">
      <selection activeCell="BF37" sqref="BF37"/>
    </sheetView>
  </sheetViews>
  <sheetFormatPr defaultColWidth="16.140625" defaultRowHeight="12.75"/>
  <cols>
    <col min="1" max="1" width="26.28515625" customWidth="1"/>
    <col min="2" max="2" width="16.140625" customWidth="1"/>
    <col min="3" max="3" width="19.42578125" customWidth="1"/>
    <col min="4" max="4" width="8.85546875" customWidth="1"/>
    <col min="5" max="5" width="14" customWidth="1"/>
    <col min="6" max="6" width="15.28515625" customWidth="1"/>
    <col min="7" max="7" width="17.7109375" customWidth="1"/>
    <col min="8" max="8" width="15.85546875" customWidth="1"/>
    <col min="9" max="16" width="14.42578125" customWidth="1"/>
    <col min="17" max="18" width="20.28515625" customWidth="1"/>
    <col min="19" max="19" width="12.5703125" customWidth="1"/>
    <col min="20" max="21" width="14.7109375" customWidth="1"/>
    <col min="22" max="22" width="10.85546875" customWidth="1"/>
    <col min="23" max="23" width="12" customWidth="1"/>
    <col min="24" max="25" width="13.85546875" customWidth="1"/>
    <col min="26" max="27" width="15.85546875" customWidth="1"/>
    <col min="28" max="28" width="12.7109375" customWidth="1"/>
    <col min="29" max="29" width="14.28515625" customWidth="1"/>
    <col min="30" max="30" width="15.85546875" customWidth="1"/>
    <col min="31" max="32" width="17.85546875" customWidth="1"/>
    <col min="33" max="33" width="15.140625" customWidth="1"/>
    <col min="34" max="34" width="14.28515625" customWidth="1"/>
    <col min="35" max="35" width="13.5703125" customWidth="1"/>
    <col min="36" max="36" width="14.28515625" customWidth="1"/>
    <col min="37" max="37" width="12.5703125" customWidth="1"/>
    <col min="38" max="38" width="14.28515625" customWidth="1"/>
    <col min="39" max="39" width="13.42578125" customWidth="1"/>
    <col min="40" max="40" width="13.140625" customWidth="1"/>
    <col min="41" max="41" width="13" customWidth="1"/>
    <col min="42" max="42" width="15.7109375" customWidth="1"/>
    <col min="43" max="43" width="13.5703125" customWidth="1"/>
    <col min="44" max="44" width="16.5703125" customWidth="1"/>
    <col min="45" max="46" width="14.28515625" customWidth="1"/>
    <col min="47" max="47" width="17" customWidth="1"/>
    <col min="48" max="48" width="19.140625" customWidth="1"/>
    <col min="49" max="49" width="17.42578125" customWidth="1"/>
    <col min="50" max="50" width="14.28515625" customWidth="1"/>
    <col min="51" max="51" width="13.7109375" customWidth="1"/>
    <col min="52" max="52" width="16.85546875" customWidth="1"/>
    <col min="53" max="54" width="15.5703125" customWidth="1"/>
    <col min="55" max="55" width="19.5703125" customWidth="1"/>
    <col min="56" max="56" width="18.85546875" customWidth="1"/>
    <col min="57" max="58" width="14.42578125" customWidth="1"/>
    <col min="59" max="59" width="17.85546875" customWidth="1"/>
    <col min="60" max="61" width="19.42578125" customWidth="1"/>
    <col min="62" max="62" width="12.7109375" customWidth="1"/>
    <col min="63" max="63" width="18.28515625" customWidth="1"/>
    <col min="64" max="64" width="8.85546875" customWidth="1"/>
    <col min="65" max="65" width="13.85546875" customWidth="1"/>
    <col min="66" max="66" width="13.28515625" customWidth="1"/>
    <col min="67" max="67" width="14.42578125" customWidth="1"/>
    <col min="68" max="68" width="17.7109375" customWidth="1"/>
    <col min="69" max="69" width="18" customWidth="1"/>
    <col min="70" max="70" width="16" customWidth="1"/>
    <col min="71" max="71" width="15.7109375" customWidth="1"/>
    <col min="72" max="72" width="15" customWidth="1"/>
    <col min="73" max="73" width="16.5703125" customWidth="1"/>
    <col min="74" max="76" width="17.7109375" customWidth="1"/>
    <col min="77" max="77" width="20.140625" customWidth="1"/>
    <col min="78" max="78" width="19.42578125" customWidth="1"/>
    <col min="79" max="79" width="25.140625" customWidth="1"/>
    <col min="80" max="80" width="20.5703125" customWidth="1"/>
    <col min="81" max="81" width="22.28515625" customWidth="1"/>
    <col min="82" max="82" width="22.42578125" customWidth="1"/>
    <col min="83" max="83" width="16.5703125" customWidth="1"/>
    <col min="84" max="84" width="18.85546875" customWidth="1"/>
    <col min="85" max="85" width="18" customWidth="1"/>
    <col min="86" max="86" width="21.5703125" customWidth="1"/>
    <col min="87" max="87" width="24.5703125" customWidth="1"/>
    <col min="88" max="88" width="17.7109375" customWidth="1"/>
    <col min="89" max="89" width="19.140625" customWidth="1"/>
    <col min="90" max="90" width="12.28515625" customWidth="1"/>
    <col min="91" max="91" width="11.7109375" customWidth="1"/>
    <col min="92" max="92" width="10.140625" customWidth="1"/>
    <col min="93" max="95" width="14.140625" customWidth="1"/>
    <col min="96" max="99" width="13.7109375" customWidth="1"/>
    <col min="100" max="101" width="19.140625" customWidth="1"/>
    <col min="102" max="102" width="18.5703125" customWidth="1"/>
    <col min="103" max="105" width="20.140625" customWidth="1"/>
    <col min="106" max="107" width="21.7109375" customWidth="1"/>
    <col min="108" max="108" width="25.140625" customWidth="1"/>
    <col min="109" max="109" width="19" customWidth="1"/>
    <col min="110" max="110" width="16.140625" customWidth="1"/>
    <col min="111" max="111" width="17.140625" customWidth="1"/>
    <col min="112" max="112" width="23.7109375" bestFit="1" customWidth="1"/>
    <col min="113" max="113" width="17.140625" customWidth="1"/>
    <col min="114" max="114" width="22.140625" customWidth="1"/>
    <col min="115" max="115" width="28.28515625" customWidth="1"/>
    <col min="116" max="116" width="25.140625" customWidth="1"/>
    <col min="117" max="117" width="21.5703125" customWidth="1"/>
    <col min="118" max="118" width="25.7109375" customWidth="1"/>
    <col min="119" max="120" width="20.140625" customWidth="1"/>
    <col min="121" max="122" width="25.5703125" customWidth="1"/>
    <col min="123" max="126" width="21.5703125" customWidth="1"/>
    <col min="127" max="127" width="25.140625" customWidth="1"/>
    <col min="128" max="134" width="21.5703125" customWidth="1"/>
    <col min="135" max="135" width="24.140625" customWidth="1"/>
    <col min="136" max="137" width="24.28515625" customWidth="1"/>
    <col min="138" max="138" width="20.140625" customWidth="1"/>
    <col min="139" max="139" width="19.7109375" customWidth="1"/>
    <col min="140" max="140" width="25.7109375" customWidth="1"/>
    <col min="141" max="141" width="30.28515625" customWidth="1"/>
    <col min="142" max="142" width="22.42578125" customWidth="1"/>
    <col min="143" max="143" width="18.42578125" customWidth="1"/>
    <col min="144" max="144" width="32.42578125" customWidth="1"/>
    <col min="145" max="145" width="26.140625" customWidth="1"/>
    <col min="146" max="146" width="25.140625" customWidth="1"/>
    <col min="147" max="147" width="24.28515625" customWidth="1"/>
    <col min="148" max="148" width="26.28515625" customWidth="1"/>
    <col min="149" max="149" width="20.5703125" customWidth="1"/>
    <col min="150" max="150" width="20" customWidth="1"/>
    <col min="151" max="151" width="32.42578125" bestFit="1" customWidth="1"/>
    <col min="152" max="152" width="26.28515625" customWidth="1"/>
    <col min="153" max="153" width="29.7109375" customWidth="1"/>
    <col min="154" max="154" width="24" customWidth="1"/>
    <col min="155" max="155" width="23.85546875" customWidth="1"/>
    <col min="156" max="156" width="16.140625" customWidth="1"/>
    <col min="157" max="157" width="15.7109375" customWidth="1"/>
    <col min="158" max="158" width="18.5703125" customWidth="1"/>
    <col min="159" max="159" width="16.5703125" customWidth="1"/>
    <col min="160" max="160" width="14.7109375" customWidth="1"/>
    <col min="161" max="161" width="12.85546875" customWidth="1"/>
    <col min="162" max="162" width="14.28515625" customWidth="1"/>
    <col min="163" max="163" width="16.7109375" customWidth="1"/>
    <col min="164" max="164" width="21.140625" customWidth="1"/>
    <col min="165" max="165" width="18.42578125" customWidth="1"/>
    <col min="166" max="166" width="21.42578125" customWidth="1"/>
    <col min="167" max="167" width="16.7109375" customWidth="1"/>
    <col min="168" max="168" width="14.7109375" customWidth="1"/>
    <col min="169" max="170" width="19.85546875" customWidth="1"/>
    <col min="171" max="171" width="17.28515625" customWidth="1"/>
    <col min="172" max="172" width="21.7109375" customWidth="1"/>
    <col min="173" max="173" width="10.5703125" customWidth="1"/>
    <col min="174" max="175" width="16.140625" customWidth="1"/>
    <col min="176" max="176" width="11.42578125" customWidth="1"/>
    <col min="177" max="177" width="12" customWidth="1"/>
    <col min="178" max="178" width="19.140625" bestFit="1" customWidth="1"/>
    <col min="179" max="179" width="11.5703125" customWidth="1"/>
    <col min="180" max="180" width="22.140625" customWidth="1"/>
    <col min="181" max="181" width="15.42578125" customWidth="1"/>
    <col min="182" max="182" width="15" customWidth="1"/>
    <col min="183" max="183" width="15.7109375" customWidth="1"/>
    <col min="184" max="184" width="19.42578125" customWidth="1"/>
    <col min="185" max="185" width="17.85546875" customWidth="1"/>
    <col min="186" max="186" width="18.85546875" customWidth="1"/>
    <col min="187" max="187" width="15" customWidth="1"/>
    <col min="188" max="190" width="16.140625" customWidth="1"/>
    <col min="191" max="191" width="17.85546875" customWidth="1"/>
    <col min="192" max="193" width="16.140625" customWidth="1"/>
    <col min="194" max="194" width="17.28515625" customWidth="1"/>
    <col min="195" max="195" width="17.5703125" customWidth="1"/>
    <col min="196" max="196" width="17.140625" customWidth="1"/>
    <col min="197" max="197" width="17.85546875" customWidth="1"/>
    <col min="198" max="198" width="17.7109375" customWidth="1"/>
    <col min="199" max="199" width="18" customWidth="1"/>
  </cols>
  <sheetData>
    <row r="1" spans="1:199" ht="13.5" thickBot="1">
      <c r="A1" s="70" t="s">
        <v>468</v>
      </c>
      <c r="B1" s="61" t="s">
        <v>663</v>
      </c>
      <c r="C1" s="61" t="s">
        <v>519</v>
      </c>
      <c r="D1" s="83" t="s">
        <v>405</v>
      </c>
      <c r="E1" s="61" t="s">
        <v>306</v>
      </c>
      <c r="F1" s="133" t="s">
        <v>28</v>
      </c>
      <c r="G1" s="133" t="s">
        <v>67</v>
      </c>
      <c r="H1" s="83" t="s">
        <v>168</v>
      </c>
      <c r="I1" s="57" t="s">
        <v>314</v>
      </c>
      <c r="J1" s="57" t="s">
        <v>87</v>
      </c>
      <c r="K1" s="57" t="s">
        <v>230</v>
      </c>
      <c r="L1" s="57" t="s">
        <v>144</v>
      </c>
      <c r="M1" s="57" t="s">
        <v>434</v>
      </c>
      <c r="N1" s="57" t="s">
        <v>183</v>
      </c>
      <c r="O1" s="57" t="s">
        <v>302</v>
      </c>
      <c r="P1" s="57" t="s">
        <v>580</v>
      </c>
      <c r="Q1" s="57" t="s">
        <v>156</v>
      </c>
      <c r="R1" s="57" t="s">
        <v>303</v>
      </c>
      <c r="S1" s="57" t="s">
        <v>164</v>
      </c>
      <c r="T1" s="57" t="s">
        <v>408</v>
      </c>
      <c r="U1" s="57" t="s">
        <v>372</v>
      </c>
      <c r="V1" s="57" t="s">
        <v>105</v>
      </c>
      <c r="W1" s="57" t="s">
        <v>529</v>
      </c>
      <c r="X1" s="57" t="s">
        <v>478</v>
      </c>
      <c r="Y1" s="57" t="s">
        <v>439</v>
      </c>
      <c r="Z1" s="57" t="s">
        <v>75</v>
      </c>
      <c r="AA1" s="57" t="s">
        <v>675</v>
      </c>
      <c r="AB1" s="57" t="s">
        <v>111</v>
      </c>
      <c r="AC1" s="57" t="s">
        <v>293</v>
      </c>
      <c r="AD1" s="57" t="s">
        <v>312</v>
      </c>
      <c r="AE1" s="57" t="s">
        <v>416</v>
      </c>
      <c r="AF1" s="57" t="s">
        <v>430</v>
      </c>
      <c r="AG1" s="57" t="s">
        <v>438</v>
      </c>
      <c r="AH1" s="57" t="s">
        <v>705</v>
      </c>
      <c r="AI1" s="57" t="s">
        <v>15</v>
      </c>
      <c r="AJ1" s="57" t="s">
        <v>560</v>
      </c>
      <c r="AK1" s="57" t="s">
        <v>9</v>
      </c>
      <c r="AL1" s="57" t="s">
        <v>575</v>
      </c>
      <c r="AM1" s="57" t="s">
        <v>417</v>
      </c>
      <c r="AN1" s="57" t="s">
        <v>374</v>
      </c>
      <c r="AO1" s="57" t="s">
        <v>353</v>
      </c>
      <c r="AP1" s="57" t="s">
        <v>247</v>
      </c>
      <c r="AQ1" s="57" t="s">
        <v>497</v>
      </c>
      <c r="AR1" s="57" t="s">
        <v>402</v>
      </c>
      <c r="AS1" s="57" t="s">
        <v>447</v>
      </c>
      <c r="AT1" s="57" t="s">
        <v>452</v>
      </c>
      <c r="AU1" s="204" t="s">
        <v>119</v>
      </c>
      <c r="AV1" s="204" t="s">
        <v>589</v>
      </c>
      <c r="AW1" s="204" t="s">
        <v>64</v>
      </c>
      <c r="AX1" s="57" t="s">
        <v>480</v>
      </c>
      <c r="AY1" s="57" t="s">
        <v>548</v>
      </c>
      <c r="AZ1" s="204" t="s">
        <v>322</v>
      </c>
      <c r="BA1" s="204" t="s">
        <v>261</v>
      </c>
      <c r="BB1" s="204" t="s">
        <v>770</v>
      </c>
      <c r="BC1" s="204" t="s">
        <v>55</v>
      </c>
      <c r="BD1" s="57" t="s">
        <v>531</v>
      </c>
      <c r="BE1" s="204" t="s">
        <v>375</v>
      </c>
      <c r="BF1" s="204" t="s">
        <v>771</v>
      </c>
      <c r="BG1" s="204" t="s">
        <v>594</v>
      </c>
      <c r="BH1" s="301" t="s">
        <v>612</v>
      </c>
      <c r="BI1" s="301" t="s">
        <v>613</v>
      </c>
      <c r="BJ1" s="204" t="s">
        <v>574</v>
      </c>
      <c r="BK1" s="204" t="s">
        <v>359</v>
      </c>
      <c r="BL1" s="204" t="s">
        <v>93</v>
      </c>
      <c r="BM1" s="204" t="s">
        <v>199</v>
      </c>
      <c r="BN1" s="204" t="s">
        <v>252</v>
      </c>
      <c r="BO1" s="204" t="s">
        <v>152</v>
      </c>
      <c r="BP1" s="204" t="s">
        <v>556</v>
      </c>
      <c r="BQ1" s="204" t="s">
        <v>499</v>
      </c>
      <c r="BR1" s="204" t="s">
        <v>210</v>
      </c>
      <c r="BS1" s="204" t="s">
        <v>163</v>
      </c>
      <c r="BT1" s="204" t="s">
        <v>201</v>
      </c>
      <c r="BU1" s="204" t="s">
        <v>54</v>
      </c>
      <c r="BV1" s="204" t="s">
        <v>133</v>
      </c>
      <c r="BW1" s="204" t="s">
        <v>234</v>
      </c>
      <c r="BX1" s="204" t="s">
        <v>56</v>
      </c>
      <c r="BY1" s="204" t="s">
        <v>441</v>
      </c>
      <c r="BZ1" s="204" t="s">
        <v>108</v>
      </c>
      <c r="CA1" s="309" t="s">
        <v>666</v>
      </c>
      <c r="CB1" s="204" t="s">
        <v>668</v>
      </c>
      <c r="CC1" s="204" t="s">
        <v>670</v>
      </c>
      <c r="CD1" s="204" t="s">
        <v>657</v>
      </c>
      <c r="CE1" s="204" t="s">
        <v>658</v>
      </c>
      <c r="CF1" s="204" t="s">
        <v>659</v>
      </c>
      <c r="CG1" s="204" t="s">
        <v>332</v>
      </c>
      <c r="CH1" s="204" t="s">
        <v>361</v>
      </c>
      <c r="CI1" s="204" t="s">
        <v>522</v>
      </c>
      <c r="CJ1" s="204" t="s">
        <v>563</v>
      </c>
      <c r="CK1" s="204" t="s">
        <v>414</v>
      </c>
      <c r="CL1" s="204" t="s">
        <v>72</v>
      </c>
      <c r="CM1" s="204" t="s">
        <v>35</v>
      </c>
      <c r="CN1" s="204" t="s">
        <v>118</v>
      </c>
      <c r="CO1" s="204" t="s">
        <v>258</v>
      </c>
      <c r="CP1" s="204" t="s">
        <v>401</v>
      </c>
      <c r="CQ1" s="204" t="s">
        <v>283</v>
      </c>
      <c r="CR1" s="204" t="s">
        <v>66</v>
      </c>
      <c r="CS1" s="204" t="s">
        <v>577</v>
      </c>
      <c r="CT1" s="204" t="s">
        <v>725</v>
      </c>
      <c r="CU1" s="204" t="s">
        <v>376</v>
      </c>
      <c r="CV1" s="204" t="s">
        <v>506</v>
      </c>
      <c r="CW1" s="204" t="s">
        <v>708</v>
      </c>
      <c r="CX1" s="204" t="s">
        <v>324</v>
      </c>
      <c r="CY1" s="204" t="s">
        <v>518</v>
      </c>
      <c r="CZ1" s="204" t="s">
        <v>187</v>
      </c>
      <c r="DA1" s="204" t="s">
        <v>526</v>
      </c>
      <c r="DB1" s="147" t="s">
        <v>295</v>
      </c>
      <c r="DC1" s="147" t="s">
        <v>358</v>
      </c>
      <c r="DD1" s="147" t="s">
        <v>371</v>
      </c>
      <c r="DE1" s="172" t="s">
        <v>510</v>
      </c>
      <c r="DF1" s="204" t="s">
        <v>21</v>
      </c>
      <c r="DG1" s="172" t="s">
        <v>328</v>
      </c>
      <c r="DH1" s="172" t="s">
        <v>454</v>
      </c>
      <c r="DI1" s="172" t="s">
        <v>758</v>
      </c>
      <c r="DJ1" s="147" t="s">
        <v>687</v>
      </c>
      <c r="DK1" s="147" t="s">
        <v>688</v>
      </c>
      <c r="DL1" s="147" t="s">
        <v>266</v>
      </c>
      <c r="DM1" s="204" t="s">
        <v>259</v>
      </c>
      <c r="DN1" s="204" t="s">
        <v>550</v>
      </c>
      <c r="DO1" s="204" t="s">
        <v>400</v>
      </c>
      <c r="DP1" s="204" t="s">
        <v>508</v>
      </c>
      <c r="DQ1" s="2" t="s">
        <v>65</v>
      </c>
      <c r="DR1" s="2" t="s">
        <v>271</v>
      </c>
      <c r="DS1" s="2" t="s">
        <v>13</v>
      </c>
      <c r="DT1" s="2" t="s">
        <v>472</v>
      </c>
      <c r="DU1" s="2" t="s">
        <v>11</v>
      </c>
      <c r="DV1" s="2" t="s">
        <v>586</v>
      </c>
      <c r="DW1" s="2" t="s">
        <v>113</v>
      </c>
      <c r="DX1" s="2" t="s">
        <v>298</v>
      </c>
      <c r="DY1" s="2" t="s">
        <v>131</v>
      </c>
      <c r="DZ1" s="2" t="s">
        <v>458</v>
      </c>
      <c r="EA1" s="2" t="s">
        <v>444</v>
      </c>
      <c r="EB1" s="2" t="s">
        <v>14</v>
      </c>
      <c r="EC1" s="2" t="s">
        <v>172</v>
      </c>
      <c r="ED1" s="204" t="s">
        <v>679</v>
      </c>
      <c r="EE1" s="204" t="s">
        <v>253</v>
      </c>
      <c r="EF1" s="204" t="s">
        <v>672</v>
      </c>
      <c r="EG1" s="204" t="s">
        <v>724</v>
      </c>
      <c r="EH1" s="204" t="s">
        <v>716</v>
      </c>
      <c r="EI1" s="204" t="s">
        <v>0</v>
      </c>
      <c r="EJ1" s="204" t="s">
        <v>349</v>
      </c>
      <c r="EK1" s="172" t="s">
        <v>173</v>
      </c>
      <c r="EL1" s="172" t="s">
        <v>689</v>
      </c>
      <c r="EM1" s="172" t="s">
        <v>690</v>
      </c>
      <c r="EN1" s="172" t="s">
        <v>488</v>
      </c>
      <c r="EO1" s="172" t="s">
        <v>290</v>
      </c>
      <c r="EP1" s="172" t="s">
        <v>127</v>
      </c>
      <c r="EQ1" s="172" t="s">
        <v>561</v>
      </c>
      <c r="ER1" s="172" t="s">
        <v>195</v>
      </c>
      <c r="ES1" s="172" t="s">
        <v>19</v>
      </c>
      <c r="ET1" s="172" t="s">
        <v>413</v>
      </c>
      <c r="EU1" s="172" t="s">
        <v>572</v>
      </c>
      <c r="EV1" s="172" t="s">
        <v>363</v>
      </c>
      <c r="EW1" s="172" t="s">
        <v>323</v>
      </c>
      <c r="EX1" s="172" t="s">
        <v>208</v>
      </c>
      <c r="EY1" s="172" t="s">
        <v>567</v>
      </c>
      <c r="EZ1" s="204" t="s">
        <v>150</v>
      </c>
      <c r="FA1" s="172" t="s">
        <v>245</v>
      </c>
      <c r="FB1" s="172" t="s">
        <v>513</v>
      </c>
      <c r="FC1" s="172" t="s">
        <v>346</v>
      </c>
      <c r="FD1" s="172" t="s">
        <v>24</v>
      </c>
      <c r="FE1" s="172" t="s">
        <v>192</v>
      </c>
      <c r="FF1" s="172" t="s">
        <v>121</v>
      </c>
      <c r="FG1" s="172" t="s">
        <v>410</v>
      </c>
      <c r="FH1" s="172" t="s">
        <v>304</v>
      </c>
      <c r="FI1" s="172" t="s">
        <v>48</v>
      </c>
      <c r="FJ1" s="172" t="s">
        <v>509</v>
      </c>
      <c r="FK1" s="172" t="s">
        <v>393</v>
      </c>
      <c r="FL1" s="172" t="s">
        <v>500</v>
      </c>
      <c r="FM1" s="204" t="s">
        <v>576</v>
      </c>
      <c r="FN1" s="204" t="s">
        <v>126</v>
      </c>
      <c r="FO1" s="172" t="s">
        <v>537</v>
      </c>
      <c r="FP1" s="204" t="s">
        <v>492</v>
      </c>
      <c r="FQ1" s="204" t="s">
        <v>540</v>
      </c>
      <c r="FR1" s="204" t="s">
        <v>202</v>
      </c>
      <c r="FS1" s="204" t="s">
        <v>330</v>
      </c>
      <c r="FT1" s="204" t="s">
        <v>720</v>
      </c>
      <c r="FU1" s="204" t="s">
        <v>721</v>
      </c>
      <c r="FV1" s="204" t="s">
        <v>723</v>
      </c>
      <c r="FW1" s="204" t="s">
        <v>273</v>
      </c>
      <c r="FX1" s="204" t="s">
        <v>418</v>
      </c>
      <c r="FY1" s="204" t="s">
        <v>255</v>
      </c>
      <c r="FZ1" s="204" t="s">
        <v>474</v>
      </c>
      <c r="GA1" s="204" t="s">
        <v>51</v>
      </c>
      <c r="GB1" s="57" t="s">
        <v>287</v>
      </c>
      <c r="GC1" s="204" t="s">
        <v>551</v>
      </c>
      <c r="GD1" s="57" t="s">
        <v>585</v>
      </c>
      <c r="GE1" s="204" t="s">
        <v>112</v>
      </c>
      <c r="GF1" s="204" t="s">
        <v>368</v>
      </c>
      <c r="GG1" s="204" t="s">
        <v>186</v>
      </c>
      <c r="GH1" s="204" t="s">
        <v>350</v>
      </c>
      <c r="GI1" s="204" t="s">
        <v>181</v>
      </c>
      <c r="GJ1" s="204" t="s">
        <v>426</v>
      </c>
      <c r="GK1" s="204" t="s">
        <v>96</v>
      </c>
      <c r="GL1" s="204" t="s">
        <v>599</v>
      </c>
      <c r="GM1" s="204" t="s">
        <v>601</v>
      </c>
      <c r="GN1" s="204" t="s">
        <v>602</v>
      </c>
      <c r="GO1" s="204" t="s">
        <v>603</v>
      </c>
      <c r="GP1" s="204" t="s">
        <v>604</v>
      </c>
      <c r="GQ1" s="204" t="s">
        <v>605</v>
      </c>
    </row>
    <row r="2" spans="1:199" s="15" customFormat="1" ht="13.5" thickTop="1">
      <c r="A2" s="70" t="s">
        <v>213</v>
      </c>
      <c r="B2" s="216">
        <v>22361100</v>
      </c>
      <c r="C2" s="182" t="s">
        <v>520</v>
      </c>
      <c r="D2" s="182" t="s">
        <v>496</v>
      </c>
      <c r="E2" s="182"/>
      <c r="F2" s="85" t="s">
        <v>252</v>
      </c>
      <c r="G2" s="85" t="s">
        <v>160</v>
      </c>
      <c r="H2" s="182"/>
      <c r="I2" s="206"/>
      <c r="J2" s="206"/>
      <c r="K2" s="182"/>
      <c r="L2" s="206"/>
      <c r="M2" s="206"/>
      <c r="N2" s="206"/>
      <c r="O2" s="206"/>
      <c r="P2" s="206"/>
      <c r="Q2" s="206" t="s">
        <v>449</v>
      </c>
      <c r="R2" s="182" t="s">
        <v>392</v>
      </c>
      <c r="S2" s="206" t="s">
        <v>424</v>
      </c>
      <c r="T2" s="31" t="s">
        <v>116</v>
      </c>
      <c r="U2" s="31"/>
      <c r="V2" s="31" t="s">
        <v>424</v>
      </c>
      <c r="W2" s="205">
        <v>15049</v>
      </c>
      <c r="X2" s="205">
        <v>15890</v>
      </c>
      <c r="Y2" s="205"/>
      <c r="Z2" s="205">
        <f>IF(AND(G2="V",OR(F2="XRD",F2="QPSA")),IF(AND(F2="XRD",OR(V2="S",V2="D",V2="W")),"NULL",IF(NOT(ISBLANK(X2)),X2,DATE(YEAR(W2)+IF(S2="M",4,-4),MONTH(W2),DAY(W2)))),IF(Q2="Y",Y2,IF(ISBLANK(X2),"NULL",X2)))</f>
        <v>15890</v>
      </c>
      <c r="AA2" s="205">
        <f>IF(Z2="null",DATE(YEAR(W2)+IF(S2="M",4,-4),MONTH(W2),DAY(W2)),Z2)</f>
        <v>15890</v>
      </c>
      <c r="AB2" s="205">
        <v>25430</v>
      </c>
      <c r="AC2" s="32">
        <f>DATE(YEAR(W2)+21,MONTH(W2),DAY(W2))</f>
        <v>22719</v>
      </c>
      <c r="AD2" s="32">
        <f>DATE(YEAR(AB2)+1,MONTH(AB2),DAY(AB2))</f>
        <v>25795</v>
      </c>
      <c r="AE2" s="32">
        <f t="shared" ref="AE2" si="0">MAX(AC2,AD2)</f>
        <v>25795</v>
      </c>
      <c r="AF2" s="32">
        <f>[1]!NRD(MIN(DATE(2008,12,31),AE2),0)</f>
        <v>25812</v>
      </c>
      <c r="AG2" s="32">
        <v>26390</v>
      </c>
      <c r="AH2" s="32">
        <v>39813</v>
      </c>
      <c r="AI2" s="32">
        <v>39721</v>
      </c>
      <c r="AJ2" s="32"/>
      <c r="AK2" s="32"/>
      <c r="AL2" s="32"/>
      <c r="AM2" s="261">
        <f>MAX([1]!NRD(W2,65),[1]!NRD(AF2,5))</f>
        <v>38808</v>
      </c>
      <c r="AN2" s="307">
        <f>[1]!ATT(W2,AM2)</f>
        <v>65</v>
      </c>
      <c r="AO2" s="262">
        <f>[1]!SERVYCA(AF2,MIN(AI2,AH2),1000)</f>
        <v>38</v>
      </c>
      <c r="AP2" s="263">
        <v>33</v>
      </c>
      <c r="AQ2" s="263">
        <f>[1]!SERVYCA(AB2,MIN(AI2,AH2,DATE(2010,4,13)),1000)</f>
        <v>39</v>
      </c>
      <c r="AR2" s="236">
        <v>3596.18</v>
      </c>
      <c r="AS2" s="236">
        <f>AR2</f>
        <v>3596.18</v>
      </c>
      <c r="AT2" s="32">
        <f>DATE(YEAR(W2)+18,MONTH(W2),DAY(W2))</f>
        <v>21623</v>
      </c>
      <c r="AU2" s="113">
        <f>[1]!SERVYCA(AB2,MIN(AI2,DOPT),1000)</f>
        <v>39</v>
      </c>
      <c r="AV2" s="33">
        <f>IF(AU2&gt;=5,1,0)</f>
        <v>1</v>
      </c>
      <c r="AW2" s="45">
        <f>ROUND(AS2*AV2,2)</f>
        <v>3596.18</v>
      </c>
      <c r="AX2" s="31">
        <f>[1]!anb(W2,DOPT)</f>
        <v>72</v>
      </c>
      <c r="AY2" s="31">
        <f>IF(Z2="NULL","NULL",IF(Z2&gt;DOPT,0,[1]!anb(Z2,DOPT)))</f>
        <v>70</v>
      </c>
      <c r="AZ2" s="173">
        <v>4789.7700000000004</v>
      </c>
      <c r="BA2" s="60">
        <f>MAX(AM2,[1]!NRD(DOPT,0))</f>
        <v>41395</v>
      </c>
      <c r="BB2" s="60">
        <f>MAX(BA2,[1]!NRD(DOPT,0))</f>
        <v>41395</v>
      </c>
      <c r="BC2" s="92">
        <f>IF(AM2&lt;DOPT,AX2,AN2)</f>
        <v>72</v>
      </c>
      <c r="BD2" s="205">
        <f>[1]!RBD(C2,DOPT,"P",W2,AI2,AJ2,"N",Q2)</f>
        <v>41000</v>
      </c>
      <c r="BE2" s="60">
        <f>IF(AU2&gt;=10,[1]!NRD(W2,60),AM2)</f>
        <v>36982</v>
      </c>
      <c r="BF2" s="60">
        <f>MAX(BE2,[1]!NRD(DOPT,0))</f>
        <v>41395</v>
      </c>
      <c r="BG2" s="77">
        <f>IF([1]!NRD(W2,60)&lt;DOPT,AX2,[1]!anb(W2,BE2))</f>
        <v>72</v>
      </c>
      <c r="BH2" s="302"/>
      <c r="BI2" s="302" t="str">
        <f>IF(BH2="Y",BE2,"NULL")</f>
        <v>NULL</v>
      </c>
      <c r="BJ2" s="60">
        <v>38473</v>
      </c>
      <c r="BK2" s="60">
        <v>39234</v>
      </c>
      <c r="BL2" s="45" t="str">
        <f>[1]!BL(DOPT,AB2,AI2,"N","Y","Y",C2,BC2,AW2)</f>
        <v>HIGH</v>
      </c>
      <c r="BM2" s="87">
        <f>[1]!XRA2(BL2,MIN(AN2,BG2),AN2,DOPT,W2,IF(Z2="NULL",0,Z2),C2,D2,0,"")</f>
        <v>72</v>
      </c>
      <c r="BN2" s="60">
        <f>IF(OR(F2="DORNSF",F2="DOR"),BJ2,[1]!NRD(W2,BM2))</f>
        <v>41365</v>
      </c>
      <c r="BO2" s="77">
        <f>IF(Z2="NULL","NULL",[1]!anb(Z2,BN2))</f>
        <v>70</v>
      </c>
      <c r="BP2" s="195" t="s">
        <v>520</v>
      </c>
      <c r="BQ2" s="195" t="s">
        <v>218</v>
      </c>
      <c r="BR2" s="31">
        <f t="shared" ref="BR2" si="1">0</f>
        <v>0</v>
      </c>
      <c r="BS2" s="33">
        <v>0.5</v>
      </c>
      <c r="BT2" s="31">
        <v>0</v>
      </c>
      <c r="BU2" s="31">
        <v>0</v>
      </c>
      <c r="BV2" s="131" t="s">
        <v>59</v>
      </c>
      <c r="BW2" s="131" t="s">
        <v>392</v>
      </c>
      <c r="BX2" s="131" t="s">
        <v>109</v>
      </c>
      <c r="BY2" s="87" t="str">
        <f>IF(AND(BV2="5",[1]!COMPM(BJ2,BK2)&lt;BX2),BV2,IF(AND(AJ2&gt;0,BV2="9"),2,"NULL"))</f>
        <v>5</v>
      </c>
      <c r="BZ2" s="87">
        <f>IF(AND(BV2="5",[1]!COMPM(BJ2,BK2)&lt;BX2),[1]!COMPM(BK2,DATE(YEAR(BJ2)+(BX2/12),MONTH(BJ2)-1,1)),"NULL")</f>
        <v>94</v>
      </c>
      <c r="CA2" s="310" t="str">
        <f>IF(AND(OR(V2="U",V2="M"),OR(CI2="9",CI2="0")),"9",IF(CI2="5","5","2"))</f>
        <v>9</v>
      </c>
      <c r="CB2" s="308">
        <f>IF(OR(CA2="9",CA2="0"),0.5,0)</f>
        <v>0.5</v>
      </c>
      <c r="CC2" s="31" t="str">
        <f>IF(CA2="5",BX2-BZ2,"0")</f>
        <v>0</v>
      </c>
      <c r="CD2" s="87" t="s">
        <v>520</v>
      </c>
      <c r="CE2" s="31" t="str">
        <f>CC2</f>
        <v>0</v>
      </c>
      <c r="CF2" s="31">
        <f>IF(BZ2="NULL","0",BZ2)</f>
        <v>94</v>
      </c>
      <c r="CG2" s="31">
        <v>1</v>
      </c>
      <c r="CH2" s="87">
        <v>3</v>
      </c>
      <c r="CI2" s="31" t="str">
        <f>IF(OR(AND(OR(AND(F2="XRD",G2="V"),F2="RBD"),OR(V2="M",V2="U")),AND(F2="DOR",OR(CH2="3",CH2="1"),OR(BV2="9",BV2="0"))),BQ2,IF(OR(F2="QPSA",AND(OR(F2="ERD",F2="EURD",F2="NRD",F2="RETRO"),V2="M",IF(OR(F2="ERD",F2="EURD",F2="NRD",F2="RETRO"),FX2="A",1),NOT(ISBLANK(AJ2)),OR(ISBLANK(AK2),AK2&gt;AJ2)),AND(OR(F2="DOR",F2="DORNSF"),CG2="Y")),CA2,IF(AND(F2="DOR",BV2="5"),BV2,BP2)))</f>
        <v>9</v>
      </c>
      <c r="CJ2" s="33">
        <f>IF(OR(AND(OR(AND(F2="XRD",G2="V"),F2="RBD"),OR(V2="M",V2="U")),AND(F2="DOR",OR(CH2="1",CH2="3"),OR(BV2="9",BV2="0"))),BS2,IF(OR(F2="QPSA",AND(OR(F2="ERD",F2="EURD",F2="NRD",F2="RETRO"),V2="M",IF(OR(F2="ERD",F2="EURD",F2="NRD",F2="RETRO"),FX2="A",1),NOT(ISBLANK(AJ2)),OR(ISBLANK(AK2),AK2&gt;AJ2)),AND(OR(F2="DORNSF",F2="DOR"),CG2="Y")),CB2,IF(AND(F2="DOR",BV2="5"),BW2,BR2)))</f>
        <v>0.5</v>
      </c>
      <c r="CK2" s="31">
        <f>IF(OR(AND(OR(AND(F2="XRD",G2="V"),F2="RBD"),OR(V2="M",V2="U")),AND(F2="DOR",CH2="3",OR(BV2="9",BV2="0"))),BU2,IF(OR(F2="QPSA",AND(OR(F2="ERD",F2="EURD",F2="NRD",F2="RETRO"),V2="M",IF(OR(F2="ERD",F2="EURD",F2="NRD",F2="RETRO"),FX2="A",1),NOT(ISBLANK(AJ2)),OR(ISBLANK(AK2),AK2&gt;AJ2)),AND(OR(F2="DORNSF",F2="DOR"),CG2="Y")),CC2,IF(AND(F2="DOR",BV2="5"),IF(AJ2&gt;0,BZ2,BX2),BT2)))</f>
        <v>0</v>
      </c>
      <c r="CL2" s="31">
        <f>BM2</f>
        <v>72</v>
      </c>
      <c r="CM2" s="31">
        <v>999</v>
      </c>
      <c r="CN2" s="31">
        <f>IF(BN2&lt;AM2,[1]!COMPM(BN2,AM2),0)</f>
        <v>0</v>
      </c>
      <c r="CO2" s="324">
        <f>VLOOKUP(CN2,ERF_Table,2,FALSE)</f>
        <v>1</v>
      </c>
      <c r="CP2" s="77">
        <f>[1]!anb(W2,BN2)</f>
        <v>72</v>
      </c>
      <c r="CQ2" s="77">
        <f>IF(OR(Z2="NULL",ISBLANK(Z2)),"NULL",[1]!anb(Z2,BN2))</f>
        <v>70</v>
      </c>
      <c r="CR2" s="100">
        <f>IF(CI2="2",1,ROUND([1]!BFCFAEQ("SLA",BR2,BT2,0,IF(OR(CI2="9",CI2="0"),"JSC","SLA"),CJ2,CK2,0,CP2,IF(CQ2="NULL",0,CQ2),S2,IF(AND(ISBLANK(T2),S2="M"),"F","M"),0.065,"GM71","GM71","MP","","","",""),4))</f>
        <v>0.86599999999999999</v>
      </c>
      <c r="CS2" s="113">
        <f>[1]!COMPM(AM2,MAX(AM2,BN2))</f>
        <v>84</v>
      </c>
      <c r="CT2" s="100">
        <f>IF(AI2&gt;AM2,ROUND([1]!LRFAEQ(0.065,S2,AN2,[1]!COMPM(AM2,AI2),BT2,"GM71","GM71","MP","Y",,,AN2),4),"NULL")</f>
        <v>1.3405</v>
      </c>
      <c r="CU2" s="100">
        <f>IF(AI2&gt;AM2,ROUND([1]!LRFAEQ(0.065,S2,AN2,CS2,BT2,"GM71","GM71","MP","Y",,,AN2)/CT2,4),ROUND([1]!LRFAEQ(0.065,S2,AN2,CS2,BT2,"GM71","GM71","MP","N",,,AN2),4))</f>
        <v>1.7914000000000001</v>
      </c>
      <c r="CV2" s="266">
        <f>ROUND(AW2*CO2*CR2*CU2,2)</f>
        <v>5578.94</v>
      </c>
      <c r="CW2" s="266">
        <f>ROUND(AW2*CO2*CU2,2)</f>
        <v>6442.2</v>
      </c>
      <c r="CX2" s="31">
        <f>IF(DATE(YEAR($W2)+65,MONTH($W2),DAY($W2))&lt;BN2,0,[1]!COMPM(BN2,DATE(YEAR($W2)+65,MONTH($W2),DAY($W2))))</f>
        <v>0</v>
      </c>
      <c r="CY2" s="115">
        <f>[1]!PBGCERF(CX2)</f>
        <v>1</v>
      </c>
      <c r="CZ2" s="31">
        <f>IF(DATE(YEAR($W2)+65,MONTH($W2),DAY($W2))&gt;=BN2,0,[1]!COMPM(DATE(YEAR($W2)+65,MONTH($W2),DAY($W2)),BN2))</f>
        <v>84</v>
      </c>
      <c r="DA2" s="115">
        <f>[1]!PBGCLRF(65+CZ2/12)</f>
        <v>2.2120000000000002</v>
      </c>
      <c r="DB2" s="144">
        <f>ROUND([1]!PBGCBFCF2("SLA",0,0,IF(OR(CI2="0",CI2="9"),"JSC","SLA"),CJ2,CK2,CP2,IF(CQ2="NULL",0,CQ2)),4)</f>
        <v>0.88200000000000001</v>
      </c>
      <c r="DC2" s="7">
        <f t="shared" ref="DC2" si="2">ROUND(PBGC_MAX*CY2*DA2*DB2,2)</f>
        <v>9344.76</v>
      </c>
      <c r="DD2" s="7">
        <f>MIN(CV2,DC2)</f>
        <v>5578.94</v>
      </c>
      <c r="DE2" s="100">
        <f>IF(OR(AJ2&gt;DOPT,AND(Z2&gt;DOPT,CG2="N")),0,[1]!QPSAPVF("MP","SLA",DOPT,R2,S2,IF(S2="M","F","M"),AX2,CP2,IF(AY2="NULL",AX2+IF(S2="M",-4,4),AY2),IF(BO2="NULL",CP2+IF(S2="M",-4,4),CQ2),CE2,CF2,0))</f>
        <v>0</v>
      </c>
      <c r="DF2" s="115">
        <f>ROUND([1]!NPVF2("MP",IF(CI2="9","JSC","SLA"),"N",Annuity_Rates,S2,AX2,BM2,IF(BO2="NULL",0,BO2),CJ2,CK2,0,DOPT,DOPT,"P","","",R2),4)</f>
        <v>13.777200000000001</v>
      </c>
      <c r="DG2" s="100">
        <f>IF(AX2&gt;=BM2,0,ROUND(1-[1]!lx(IF(S2="M","2M13","2F13"),S2,BM2)/[1]!lx(IF(S2="M","2M13","2F13"),S2,AX2),4))</f>
        <v>0</v>
      </c>
      <c r="DH2" s="317">
        <f>IF(AND(G2="V",V2="S"),ROUND(DD2*DF2*12*DG2,0),0)</f>
        <v>0</v>
      </c>
      <c r="DI2" s="267">
        <f>IF(V2="S",ROUND(DH2/(DF2*12),2),0)</f>
        <v>0</v>
      </c>
      <c r="DJ2" s="267">
        <f>0</f>
        <v>0</v>
      </c>
      <c r="DK2" s="238">
        <f>PC6_4022C_AR</f>
        <v>0.17230000000000001</v>
      </c>
      <c r="DL2" s="7">
        <f>IF(V2="S",ROUND((DH2*DK2)/(DF2*12),2),0)</f>
        <v>0</v>
      </c>
      <c r="DM2" s="45">
        <f>DD2+DL2</f>
        <v>5578.94</v>
      </c>
      <c r="DN2" s="45">
        <f>IF(OR(CI2="9",CI2="0"),ROUND(DM2*CJ2,2),0)</f>
        <v>2789.47</v>
      </c>
      <c r="DO2" s="45" t="str">
        <f>IF(OR(AND(F2="XRD",G2="V"),CV2&lt;=DC2),"NULL","The benefits PBGC guarantees are limited by federal pension law to PBGC's maximum monthly amount that was in effect on the date of plan termination.  This amount is adjusted to reflect the participant's age and form of annuity.")</f>
        <v>NULL</v>
      </c>
      <c r="DP2" s="45" t="str">
        <f>IF(OR(AND(F2="XRD",G2="V"),DL2=0),"NULL","Under Section 4022(c) of ERISA, PBGC has allocated additional funds to non-guaranteed benefits based on PBGC's experience in recovering on claims against plan sponsors. PBGC has, therefore, increased your monthly benefit, as shown below.")</f>
        <v>NULL</v>
      </c>
      <c r="DQ2" s="152" t="str">
        <f>IF(OR(AND(F2="XRD",G2="V"),CH2="0",CH2="1",CH2="2",AND(NOT(ISBLANK(AJ2)),AJ2&lt;BN2,D2="1",DN2="NULL"),AND(V2="S",Q2="N"),D2&lt;&gt;"1"),"NULL",DM2/CR2)</f>
        <v>NULL</v>
      </c>
      <c r="DR2" s="152" t="str">
        <f>IF(OR(AND(F2="XRD",G2="V"),CH2="0",CH2="1",CH2="2",AND(NOT(ISBLANK(AJ2)),AJ2&lt;BN2,D2="1",DN2="NULL")),"NULL",IF(OR(D2="4",AND(NOT(ISBLANK(AJ2)),AJ2&lt;=BN2)),[1]!PBGCOFA(DOPT,Z2,0,0,"N",BN2,"MP","SLA",0,0,0,IF(D2="1",DN2,DM2),0,0,"VALUE",0,0,0,0,0,0,0),[1]!PBGCOFA(DOPT,W2,0,0,"N",BN2,"MP","SLA",0,IF(F2="DORNSF",CK2,BT2),0,DM2/CR2,0,0,"VALUE",0,0,0,0,0,0,0)))</f>
        <v>NULL</v>
      </c>
      <c r="DS2" s="152" t="str">
        <f>IF(OR(AND(F2="XRD",G2="V"),CH2="0",CH2="1",CH2="2",AND(NOT(ISBLANK(AJ2)),AJ2&lt;BN2,D2="1",DN2="NULL")),"NULL",IF(OR(D2="4",AND(NOT(ISBLANK(AJ2)),AJ2&lt;=BN2)),[1]!PBGCOFA(DOPT,Z2,0,0,"N",BN2,"MP","SLA",0,0,0,IF(D2="1",DN2,DM2),0,0,"SLA",0,0,0,0,0,0,0),[1]!PBGCOFA(DOPT,W2,0,0,"N",BN2,"MP","SLA",0,IF(F2="DORNSF",CK2,BT2),0,DM2/CR2,0,0,"SLA",0,0,0,0,0,0,0)))</f>
        <v>NULL</v>
      </c>
      <c r="DT2" s="170" t="str">
        <f>IF(OR(AND(F2="XRD",G2="V"),CH2="0",CH2="1",CH2="2",AND(NOT(ISBLANK(AJ2)),AJ2&lt;BN2,D2="1",DN2="NULL")),"NULL",IF(OR(D2="4",AND(NOT(ISBLANK(AJ2)),AJ2&lt;=BN2)),[1]!PBGCOFA(DOPT,Z2,0,0,"N",BN2,"MP","SLA",0,0,0,IF(D2="1",DN2,DM2),0,0,"5CC",0,0,0,0,0,0,0),[1]!PBGCOFA(DOPT,W2,0,0,"N",BN2,"MP","SLA",0,IF(F2="DORNSF",CK2,BT2),0,DS2,0,0,"5CC",0,0,0,0,0,0,0)))</f>
        <v>NULL</v>
      </c>
      <c r="DU2" s="170" t="str">
        <f>IF(OR(AND(F2="XRD",G2="V"),CH2="0",CH2="1",CH2="2",AND(NOT(ISBLANK(AJ2)),AJ2&lt;BN2,D2="1",DN2="NULL")),"NULL",IF(OR(D2="4",AND(NOT(ISBLANK(AJ2)),AJ2&lt;=BN2)),[1]!PBGCOFA(DOPT,Z2,0,0,"N",BN2,"MP","SLA",0,0,0,IF(D2="1",DN2,DM2),0,0,"10CC",0,0,0,0,0,0,0),[1]!PBGCOFA(DOPT,W2,0,0,"N",BN2,"MP","SLA",0,IF(F2="DORNSF",CK2,BT2),0,DS2,0,0,"10CC",0,0,0,0,0,0,0)))</f>
        <v>NULL</v>
      </c>
      <c r="DV2" s="170" t="str">
        <f>IF(OR(AND(F2="XRD",G2="V"),CH2="0",CH2="1",CH2="2",AND(NOT(ISBLANK(AJ2)),AJ2&lt;BN2,D2="1",DN2="NULL")),"NULL",IF(OR(D2="4",AND(NOT(ISBLANK(AJ2)),AJ2&lt;=BN2)),[1]!PBGCOFA(DOPT,Z2,0,0,"N",BN2,"MP","SLA",0,0,0,IF(D2="1",DN2,DM2),0,0,"15CC",0,0,0,0,0,0,0),[1]!PBGCOFA(DOPT,W2,0,0,"N",BN2,"MP","SLA",0,IF(F2="DORNSF",CK2,BT2),0,DS2,0,0,"15CC",0,0,0,0,0,0,0)))</f>
        <v>NULL</v>
      </c>
      <c r="DW2" s="170" t="str">
        <f>IF(OR(AND(F2="XRD",G2="V"),CH2="0",CH2="1",CH2="2"),"NULL",IF(AND(OR(BV2="9",BV2="0"),D2="1",OR(ISBLANK(AJ2),AJ2&gt;BN2)),[1]!PBGCOFA(DOPT,W2,IF(RIGHT(F2,5)="NMFSP",Z2,X2),Y2,Q2,BN2,"MP","JSC",BS2,BU2,0,DM2,0,DS2,"VALUE",0,0,0,0,0,0,0),"NULL"))</f>
        <v>NULL</v>
      </c>
      <c r="DX2" s="152" t="str">
        <f>IF(OR(AND(F2="XRD",G2="V"),CH2="0",CH2="1",CH2="2"),"NULL",IF(AND(OR(BV2="9",BV2="0"),D2="1",OR(ISBLANK(AJ2),AJ2&gt;BN2)),[1]!PBGCOFA(DOPT,W2,IF(RIGHT(F2,5)="NMFSP",Z2,X2),Y2,Q2,BN2,"MP","JSC",BS2,BU2,0,DM2,0,DS2,"JS50",0,0,0,0,0,0,0),"NULL"))</f>
        <v>NULL</v>
      </c>
      <c r="DY2" s="170" t="str">
        <f t="shared" ref="DY2" si="3">IF(DX2="NULL","NULL",ROUND(DX2*0.5,2))</f>
        <v>NULL</v>
      </c>
      <c r="DZ2" s="152" t="str">
        <f>IF(OR(AND(F2="XRD",G2="V"),CH2="0",CH2="1",CH2="2"),"NULL",IF(AND(OR(BV2="9",BV2="0"),D2="1",OR(ISBLANK(AJ2),AJ2&gt;BN2)),[1]!PBGCOFA(DOPT,W2,IF(RIGHT(F2,5)="NMFSP",Z2,X2),Y2,Q2,BN2,"MP","JSC",BS2,BU2,0,DM2,0,DS2,"JS75",0,0,0,0,0,0,0),"NULL"))</f>
        <v>NULL</v>
      </c>
      <c r="EA2" s="170" t="str">
        <f t="shared" ref="EA2" si="4">IF(DZ2="NULL","NULL",ROUND(DZ2*0.75,2))</f>
        <v>NULL</v>
      </c>
      <c r="EB2" s="170" t="str">
        <f>IF(OR(AND(F2="XRD",G2="V"),CH2="0",CH2="1",CH2="2"),"NULL",IF(AND(OR(BV2="9",BV2="0"),D2="1",OR(ISBLANK(AJ2),AJ2&gt;BN2)),[1]!PBGCOFA(DOPT,W2,IF(RIGHT(F2,5)="NMFSP",Z2,X2),Y2,Q2,BN2,"MP","JSC",BS2,BU2,0,DM2,0,DS2,"JS100",0,0,0,0,0,0,0),"NULL"))</f>
        <v>NULL</v>
      </c>
      <c r="EC2" s="170" t="str">
        <f>IF(OR(AND(F2="XRD",G2="V"),CH2="0",CH2="1",CH2="2"),"NULL",IF(AND(OR(BV2="9",BV2="0"),D2="1",OR(ISBLANK(AJ2),AJ2&gt;BN2),DS2&lt;&gt;"NULL"),[1]!PBGCOFA(DOPT,W2,IF(RIGHT(F2,5)="NMFSP",Z2,X2),Y2,Q2,BN2,"MP","JSC",BS2,BU2,0,DM2,0,DS2,"JSPOP",0,0,0,0,0,0,0),"NULL"))</f>
        <v>NULL</v>
      </c>
      <c r="ED2" s="45"/>
      <c r="EE2" s="45"/>
      <c r="EF2" s="266" t="str">
        <f>IF(AND(F2="DOR",G2="V",OR(AND(CH2="1",BV2="9"),AND(CH2="0",BV2="2"))),DM2,IF(OR(AND(F2="XRD",G2="V"),ISBLANK(CH2),CH2&lt;&gt;"3"),"NULL",IF(CG2="Y",IF(BY2="2",DS2,IF(BZ2=60,DT2,IF(BZ2=120,DU2,DV2))),IF(BV2="2",DS2,IF(BV2="0",EC2,IF(BW2=0.5,DX2,IF(BW2=0.75,DZ2,IF(BW2=1,EB2,IF(BX2=60,DT2,IF(BX2=120,DU2,DV2))))))))))</f>
        <v>NULL</v>
      </c>
      <c r="EG2" s="266" t="str">
        <f>IF(BV2="0",CW2,"NULL")</f>
        <v>NULL</v>
      </c>
      <c r="EH2" s="266" t="str">
        <f>IF(AND(F2="XRD",G2="V"),"NULL",IF(CG2="Y",IF(BY2=2,"Straight Life Annuity",TEXT(BZ2/12,"0")&amp;"-Year Certain-and-Continuous Annuity"),IF(BV2="2","Straight Life Annuity",IF(BV2="5",TEXT(BX2/12,"0")&amp;"-Year Certain-and-Continuous Annuity",IF(BV2="0","Joint-and-50% Survivor Popup Annuity","Joint-and-"&amp;TEXT(BW2*100,"00")&amp;"% Survivor Annuity")))))</f>
        <v>NULL</v>
      </c>
      <c r="EI2" s="45" t="str">
        <f>IF(OR(AND(F2="XRD",G2="V"),ISBLANK(ED2)),"NULL",IF(AND(IF(ISBLANK(EE2),ED2,EE2)&gt;IF(OR(NOT(ISBLANK(EE2)),EF2="NULL"),IF(DN2="NULL",DM2,DN2),EF2),IF(ISBLANK(EE2),ED2,EE2)-IF(OR(NOT(ISBLANK(EE2)),EF2="NULL"),IF(DN2="NULL",DM2,DN2),EF2)&gt;=5),"D",IF(AND(IF(ISBLANK(EE2),ED2,EE2)&gt;IF(OR(NOT(ISBLANK(EE2)),EF2="NULL"),IF(DN2="NULL",DM2,DN2),EF2),IF(ISBLANK(EE2),ED2,EE2)-IF(OR(NOT(ISBLANK(EE2)),EF2="NULL"),IF(DN2="NULL",DM2,DN2),EF2)&lt;5),"N",IF(IF(ISBLANK(EE2),ED2,EE2)=IF(OR(NOT(ISBLANK(EE2)),EF2="NULL"),IF(DN2="NULL",DM2,DN2),EF2),"M","I"))))</f>
        <v>NULL</v>
      </c>
      <c r="EJ2" s="45" t="str">
        <f>IF(OR(AND(F2="XRD",G2="V"),ISBLANK(ED2)),"NULL",IF(EI2="D","Your current monthly benefit of $"&amp;TEXT(IF(ISBLANK(EE2),ED2,EE2),"0.00")&amp;" will decrease to $"&amp;TEXT(IF(OR(NOT(ISBLANK(EE2)),EF2="NULL"),IF(DN2="NULL",DM2,DN2),EF2),"0.00")&amp;" because of the limitations placed on the monthly benefit payable at DOPT.  See the Benefit Calculation section for further details.",IF(EI2="N","Your current monthly benefit of $"&amp;TEXT(IF(ISBLANK(EE2),ED2,EE2),"0.00")&amp;" will not change. Although the amount of the PBGC monthly benefit shown above is slightly less than the amount you are currently receiving, we will not change the amount of your current monthly benefit",IF(EI2="I","Your current monthly benefit of $"&amp;TEXT(IF(ISBLANK(EE2),ED2,EE2),"0.00")&amp;" will increase to $"&amp;TEXT(IF(OR(NOT(ISBLANK(EE2)),EF2="NULL"),IF(DN2="NULL",DM2,DN2),EF2),"0.00")&amp;".","Your current monthly benefit of $"&amp;TEXT(IF(ISBLANK(EE2),ED2,EE2),"0.00")&amp;" will not change."))))</f>
        <v>NULL</v>
      </c>
      <c r="EK2" s="169">
        <f>ROUND(DD2*DF2*12,0)</f>
        <v>922346</v>
      </c>
      <c r="EL2" s="169">
        <f>0</f>
        <v>0</v>
      </c>
      <c r="EM2" s="169">
        <f>0</f>
        <v>0</v>
      </c>
      <c r="EN2" s="169">
        <f t="shared" ref="EN2" si="5">EK2+EL2</f>
        <v>922346</v>
      </c>
      <c r="EO2" s="169">
        <f>ROUND(DL2*DF2*12,0)</f>
        <v>0</v>
      </c>
      <c r="EP2" s="169">
        <f t="shared" ref="EP2" si="6">EK2+EO2</f>
        <v>922346</v>
      </c>
      <c r="EQ2" s="169">
        <f t="shared" ref="EQ2" si="7">IF(CI2="9",ROUND(DD2*CB2*DE2*12,0),0)</f>
        <v>0</v>
      </c>
      <c r="ER2" s="169">
        <f>EQ2+EM2</f>
        <v>0</v>
      </c>
      <c r="ES2" s="169">
        <f>0</f>
        <v>0</v>
      </c>
      <c r="ET2" s="169">
        <f>EQ2+ES2</f>
        <v>0</v>
      </c>
      <c r="EU2" s="20">
        <f>EK2+EQ2</f>
        <v>922346</v>
      </c>
      <c r="EV2" s="20">
        <f>DH2</f>
        <v>0</v>
      </c>
      <c r="EW2" s="49">
        <f>EU2+EV2</f>
        <v>922346</v>
      </c>
      <c r="EX2" s="49">
        <f>EO2+ES2</f>
        <v>0</v>
      </c>
      <c r="EY2" s="49">
        <f>EU2+EX2</f>
        <v>922346</v>
      </c>
      <c r="EZ2" s="17">
        <f t="shared" ref="EZ2" si="8">Load_Percent</f>
        <v>1.11E-2</v>
      </c>
      <c r="FA2" s="20">
        <f t="shared" ref="FA2" si="9">ROUND(EU2*EZ2,0)</f>
        <v>10238</v>
      </c>
      <c r="FB2" s="20">
        <f>ROUND(EV2*EZ2,0)</f>
        <v>0</v>
      </c>
      <c r="FC2" s="49">
        <f>FB2</f>
        <v>0</v>
      </c>
      <c r="FD2" s="49">
        <f t="shared" ref="FD2" si="10">FA2+FC2</f>
        <v>10238</v>
      </c>
      <c r="FE2" s="49">
        <f>ROUND(EX2*EZ2,0)</f>
        <v>0</v>
      </c>
      <c r="FF2" s="49">
        <f>FA2+FE2</f>
        <v>10238</v>
      </c>
      <c r="FG2" s="49">
        <f>EU2+FA2</f>
        <v>932584</v>
      </c>
      <c r="FH2" s="49">
        <f>DH2+FB2</f>
        <v>0</v>
      </c>
      <c r="FI2" s="49">
        <f>EV2+FC2</f>
        <v>0</v>
      </c>
      <c r="FJ2" s="49">
        <f>FG2+FI2</f>
        <v>932584</v>
      </c>
      <c r="FK2" s="49">
        <f t="shared" ref="FK2" si="11">EX2+FE2</f>
        <v>0</v>
      </c>
      <c r="FL2" s="49">
        <f>FG2+FK2</f>
        <v>932584</v>
      </c>
      <c r="FM2" s="100">
        <f>IF(CI2="2",1,ROUND([1]!BFCFAEQ("SLA",BR2,BT2,0,IF(OR(CI2="9",CI2="0"),"JSC","SLA"),CJ2,CK2,0,CP2,CP2,S2,IF(S2="M","F","M"),0.065,"GM71","GM71","MP","","","",""),4))</f>
        <v>0.88049999999999995</v>
      </c>
      <c r="FN2" s="115">
        <f>IF(OR(CI2="2",NOT(ISBLANK(X2))),1,ROUND(FM2/CR2,4))</f>
        <v>1</v>
      </c>
      <c r="FO2" s="45">
        <f>ROUND(DM2*FN2,2)</f>
        <v>5578.94</v>
      </c>
      <c r="FP2" s="31">
        <f>ROUND([1]!NPVF2("MP",IF(CI2="9","JSC","SLA"),"O",LS_Rates,S2,AX2,BM2,IF(ISBLANK(X2),BM2,IF(BO2="NULL",0,BO2)),CJ2,CK2,0,DOPT,DOPT,"P","",""),4)</f>
        <v>12.368</v>
      </c>
      <c r="FQ2" s="186">
        <f>ROUND(12*FP2*FO2,0)</f>
        <v>828004</v>
      </c>
      <c r="FR2" s="250" t="str">
        <f>IF(CG2="Y",ROUND([1]!NPVF2("MP","SLA","O",LS_Rates,IF(S2="M","F","M"),AY2,BO2,0,0,0,0,DOPT,DOPT,"P","",""),4),"NULL")</f>
        <v>NULL</v>
      </c>
      <c r="FS2" s="40" t="str">
        <f>IF(CG2="Y",ROUND(DN2*FR2*12,0),"NULL")</f>
        <v>NULL</v>
      </c>
      <c r="FT2" s="186"/>
      <c r="FU2" s="186">
        <v>733000</v>
      </c>
      <c r="FV2" s="186">
        <f>IF(FU2&gt;0,MAX(FQ2-FU2,0),"NULL")</f>
        <v>95004</v>
      </c>
      <c r="FW2" s="31" t="str">
        <f>IF(FQ2&lt;=5000,"Y","N")</f>
        <v>N</v>
      </c>
      <c r="FX2" s="31" t="str">
        <f t="shared" ref="FX2" si="12">IF(FQ2&gt;5000,"A","L")</f>
        <v>A</v>
      </c>
      <c r="FY2" s="186">
        <f>ROUND(EY2*AX2,0)</f>
        <v>66408912</v>
      </c>
      <c r="FZ2" s="186">
        <f>ROUND(EY2*BM2,0)</f>
        <v>66408912</v>
      </c>
      <c r="GA2" s="60" t="e">
        <f ca="1">MIN(MAX([1]!NRD(TODAY(),0),BE2),BD2)</f>
        <v>#NAME?</v>
      </c>
      <c r="GB2" s="205">
        <v>73020</v>
      </c>
      <c r="GC2" s="60" t="e">
        <f ca="1">MIN(MAX([1]!NRD(TODAY(),0),BA2),BD2)</f>
        <v>#NAME?</v>
      </c>
      <c r="GD2" s="205">
        <v>73020</v>
      </c>
      <c r="GE2" s="186" t="str">
        <f>IF(D2="2","SB",IF(BN2&lt;AM2,"ER","NR"))</f>
        <v>NR</v>
      </c>
      <c r="GF2" s="45" t="str">
        <f>"Y"</f>
        <v>Y</v>
      </c>
      <c r="GG2" s="45" t="str">
        <f>IF(OR(G2="R",ISBLANK(BJ2)),"Y","N")</f>
        <v>N</v>
      </c>
      <c r="GH2" s="45" t="str">
        <f>IF(GF2="N","N",IF(OR(G2="R",ISBLANK(BJ2)),"Y","N"))</f>
        <v>N</v>
      </c>
      <c r="GI2" s="87">
        <v>0</v>
      </c>
      <c r="GJ2" s="3" t="s">
        <v>140</v>
      </c>
      <c r="GK2" s="3" t="s">
        <v>140</v>
      </c>
      <c r="GL2" s="3" t="s">
        <v>449</v>
      </c>
      <c r="GM2" s="3" t="s">
        <v>449</v>
      </c>
      <c r="GN2" s="3" t="s">
        <v>449</v>
      </c>
      <c r="GO2" s="3" t="s">
        <v>449</v>
      </c>
      <c r="GP2" s="3" t="s">
        <v>449</v>
      </c>
      <c r="GQ2" s="3" t="s">
        <v>449</v>
      </c>
    </row>
    <row r="3" spans="1:199" ht="13.5" thickBot="1">
      <c r="A3" s="14"/>
      <c r="B3" s="139"/>
      <c r="C3" s="139"/>
      <c r="D3" s="139"/>
      <c r="E3" s="139"/>
      <c r="F3" s="139"/>
      <c r="G3" s="158"/>
      <c r="H3" s="158"/>
      <c r="I3" s="158"/>
      <c r="J3" s="158"/>
      <c r="K3" s="158"/>
      <c r="L3" s="158"/>
      <c r="M3" s="158"/>
      <c r="N3" s="158"/>
      <c r="O3" s="158"/>
      <c r="P3" s="158"/>
      <c r="Q3" s="158"/>
      <c r="R3" s="58"/>
      <c r="S3" s="58"/>
      <c r="T3" s="58"/>
      <c r="U3" s="44"/>
      <c r="V3" s="44"/>
      <c r="W3" s="44"/>
      <c r="X3" s="44"/>
      <c r="Y3" s="235"/>
      <c r="Z3" s="235"/>
      <c r="AA3" s="235"/>
      <c r="AB3" s="235"/>
      <c r="AC3" s="235"/>
      <c r="AD3" s="44"/>
      <c r="AE3" s="58"/>
      <c r="AF3" s="58"/>
      <c r="AG3" s="58"/>
      <c r="AH3" s="58"/>
      <c r="AI3" s="58"/>
      <c r="AJ3" s="58"/>
      <c r="AK3" s="4"/>
      <c r="AL3" s="4"/>
      <c r="AM3" s="58"/>
      <c r="AN3" s="120"/>
      <c r="AO3" s="58"/>
      <c r="AP3" s="58"/>
      <c r="AQ3" s="241"/>
      <c r="AR3" s="56"/>
      <c r="AS3" s="243"/>
      <c r="AT3" s="243"/>
      <c r="AU3" s="243"/>
      <c r="AV3" s="56"/>
      <c r="AW3" s="243"/>
      <c r="AX3" s="243"/>
      <c r="AY3" s="58"/>
      <c r="AZ3" s="146"/>
      <c r="BA3" s="58"/>
      <c r="BB3" s="58"/>
      <c r="BC3" s="58"/>
      <c r="BD3" s="241"/>
      <c r="BE3" s="241"/>
      <c r="BF3" s="241"/>
      <c r="BG3" s="241"/>
      <c r="BH3" s="303"/>
      <c r="BI3" s="303"/>
      <c r="BJ3" s="241"/>
      <c r="BK3" s="241"/>
      <c r="BL3" s="241"/>
      <c r="BM3" s="241"/>
      <c r="BN3" s="241"/>
      <c r="BO3" s="241"/>
      <c r="BP3" s="241"/>
      <c r="BQ3" s="241"/>
      <c r="BR3" s="241"/>
      <c r="BS3" s="241"/>
      <c r="BT3" s="241"/>
      <c r="BU3" s="241"/>
      <c r="BV3" s="241"/>
      <c r="BW3" s="241"/>
      <c r="BX3" s="241"/>
      <c r="BY3" s="241"/>
      <c r="BZ3" s="241"/>
      <c r="CA3" s="311"/>
      <c r="CB3" s="241"/>
      <c r="CC3" s="241"/>
      <c r="CD3" s="241"/>
      <c r="CE3" s="241"/>
      <c r="CF3" s="241"/>
      <c r="CG3" s="241"/>
      <c r="CH3" s="241"/>
      <c r="CI3" s="241"/>
      <c r="CJ3" s="241"/>
      <c r="CK3" s="241"/>
      <c r="CL3" s="241"/>
      <c r="CM3" s="241"/>
      <c r="CN3" s="241"/>
      <c r="CO3" s="241"/>
      <c r="CP3" s="241"/>
      <c r="CQ3" s="241"/>
      <c r="CR3" s="241"/>
      <c r="CS3" s="241"/>
      <c r="CT3" s="241"/>
      <c r="CU3" s="241"/>
      <c r="CV3" s="241"/>
      <c r="CW3" s="241"/>
      <c r="CX3" s="241"/>
      <c r="CY3" s="241"/>
      <c r="CZ3" s="241"/>
      <c r="DA3" s="241"/>
      <c r="DB3" s="241"/>
      <c r="DC3" s="241"/>
      <c r="DD3" s="241"/>
      <c r="DE3" s="241"/>
      <c r="DF3" s="241"/>
      <c r="DG3" s="241"/>
      <c r="DH3" s="241"/>
      <c r="DI3" s="241"/>
      <c r="DJ3" s="241"/>
      <c r="DK3" s="241"/>
      <c r="DL3" s="241"/>
      <c r="DM3" s="241"/>
      <c r="DN3" s="241"/>
      <c r="DO3" s="241"/>
      <c r="DP3" s="241"/>
      <c r="DQ3" s="241"/>
      <c r="DR3" s="241"/>
      <c r="DS3" s="241"/>
      <c r="DT3" s="241"/>
      <c r="DU3" s="241"/>
      <c r="DV3" s="241"/>
      <c r="DW3" s="241"/>
      <c r="DX3" s="241"/>
      <c r="DY3" s="241"/>
      <c r="DZ3" s="241"/>
      <c r="EA3" s="241"/>
      <c r="EB3" s="241"/>
      <c r="EC3" s="241"/>
      <c r="ED3" s="241"/>
      <c r="EE3" s="241"/>
      <c r="EF3" s="241"/>
      <c r="EG3" s="241"/>
      <c r="EH3" s="241"/>
      <c r="EI3" s="241"/>
      <c r="EJ3" s="241"/>
      <c r="EK3" s="241"/>
      <c r="EL3" s="241"/>
      <c r="EM3" s="241"/>
      <c r="EN3" s="241"/>
      <c r="EO3" s="241"/>
      <c r="EP3" s="241"/>
      <c r="EQ3" s="241"/>
      <c r="ER3" s="241"/>
      <c r="ES3" s="241"/>
      <c r="ET3" s="241"/>
      <c r="EU3" s="241"/>
      <c r="EV3" s="241"/>
      <c r="EW3" s="241"/>
      <c r="EX3" s="241"/>
      <c r="EY3" s="241"/>
      <c r="EZ3" s="241"/>
      <c r="FA3" s="241"/>
      <c r="FB3" s="241"/>
      <c r="FC3" s="241"/>
      <c r="FD3" s="241"/>
      <c r="FE3" s="241"/>
      <c r="FF3" s="241"/>
      <c r="FG3" s="241"/>
      <c r="FH3" s="241"/>
      <c r="FI3" s="241"/>
      <c r="FJ3" s="241"/>
      <c r="FK3" s="241"/>
      <c r="FL3" s="241"/>
      <c r="FM3" s="241"/>
      <c r="FN3" s="241"/>
      <c r="FO3" s="241"/>
      <c r="FP3" s="241"/>
      <c r="FQ3" s="241"/>
      <c r="FR3" s="241"/>
      <c r="FS3" s="241"/>
      <c r="FT3" s="241"/>
      <c r="FU3" s="241"/>
      <c r="FV3" s="241"/>
      <c r="FW3" s="241"/>
      <c r="FX3" s="241"/>
      <c r="FY3" s="241"/>
      <c r="FZ3" s="241"/>
      <c r="GA3" s="241"/>
      <c r="GB3" s="241"/>
      <c r="GC3" s="146"/>
      <c r="GD3" s="146"/>
      <c r="GE3" s="241"/>
      <c r="GF3" s="241"/>
      <c r="GG3" s="241"/>
      <c r="GH3" s="241"/>
      <c r="GI3" s="241"/>
      <c r="GJ3" s="241"/>
      <c r="GK3" s="241"/>
      <c r="GL3" s="241"/>
      <c r="GM3" s="241"/>
      <c r="GN3" s="241"/>
      <c r="GO3" s="241"/>
      <c r="GP3" s="241"/>
      <c r="GQ3" s="241"/>
    </row>
    <row r="4" spans="1:199" ht="13.5" thickTop="1">
      <c r="A4" s="70"/>
      <c r="B4" s="182"/>
      <c r="C4" s="182"/>
      <c r="D4" s="182"/>
      <c r="E4" s="182"/>
      <c r="F4" s="8"/>
      <c r="G4" s="8"/>
      <c r="H4" s="206"/>
      <c r="I4" s="206"/>
      <c r="J4" s="206"/>
      <c r="K4" s="206"/>
      <c r="L4" s="206"/>
      <c r="M4" s="206"/>
      <c r="N4" s="206"/>
      <c r="O4" s="206"/>
      <c r="P4" s="206"/>
      <c r="Q4" s="206"/>
      <c r="R4" s="31"/>
      <c r="S4" s="31"/>
      <c r="T4" s="31"/>
      <c r="U4" s="205"/>
      <c r="V4" s="205"/>
      <c r="W4" s="205"/>
      <c r="X4" s="205"/>
      <c r="Y4" s="32"/>
      <c r="Z4" s="32"/>
      <c r="AA4" s="32"/>
      <c r="AB4" s="32"/>
      <c r="AC4" s="32"/>
      <c r="AD4" s="205"/>
      <c r="AE4" s="31"/>
      <c r="AF4" s="31"/>
      <c r="AG4" s="31"/>
      <c r="AH4" s="31"/>
      <c r="AI4" s="31"/>
      <c r="AJ4" s="31"/>
      <c r="AK4" s="60"/>
      <c r="AL4" s="60"/>
      <c r="AM4" s="31"/>
      <c r="AN4" s="33"/>
      <c r="AO4" s="31"/>
      <c r="AP4" s="31"/>
      <c r="AQ4" s="45"/>
      <c r="AR4" s="100"/>
      <c r="AS4" s="49"/>
      <c r="AT4" s="49"/>
      <c r="AU4" s="49"/>
      <c r="AV4" s="100"/>
      <c r="AW4" s="49"/>
      <c r="AX4" s="49"/>
      <c r="AY4" s="31"/>
      <c r="AZ4" s="186"/>
      <c r="BA4" s="31"/>
      <c r="BB4" s="31"/>
      <c r="BC4" s="31"/>
      <c r="BD4" s="45"/>
      <c r="BE4" s="45"/>
      <c r="BF4" s="45"/>
      <c r="BG4" s="45"/>
      <c r="BH4" s="304"/>
      <c r="BI4" s="304"/>
      <c r="BJ4" s="45"/>
      <c r="BK4" s="45"/>
      <c r="BL4" s="45"/>
      <c r="BM4" s="45"/>
      <c r="BN4" s="45"/>
      <c r="BO4" s="45"/>
      <c r="BP4" s="45"/>
      <c r="BQ4" s="45"/>
      <c r="BR4" s="45"/>
      <c r="BS4" s="45"/>
      <c r="BT4" s="45"/>
      <c r="BU4" s="45"/>
      <c r="BV4" s="45"/>
      <c r="BW4" s="45"/>
      <c r="BX4" s="45"/>
      <c r="BY4" s="45" t="s">
        <v>780</v>
      </c>
      <c r="BZ4" s="45"/>
      <c r="CA4" s="312"/>
      <c r="CB4" s="162"/>
      <c r="CC4" s="162"/>
      <c r="CD4" s="162"/>
      <c r="CE4" s="162"/>
      <c r="CF4" s="162"/>
      <c r="CG4" s="45"/>
      <c r="CH4" s="87"/>
      <c r="CI4" s="45"/>
      <c r="CJ4" s="45"/>
      <c r="CK4" s="45"/>
      <c r="CL4" s="45"/>
      <c r="CM4" s="45"/>
      <c r="CN4" s="45"/>
      <c r="CO4" s="45"/>
      <c r="CP4" s="45"/>
      <c r="CQ4" s="45"/>
      <c r="CR4" s="45"/>
      <c r="CS4" s="45"/>
      <c r="CT4" s="45"/>
      <c r="CU4" s="45"/>
      <c r="CV4" s="45"/>
      <c r="CW4" s="162"/>
      <c r="CX4" s="45"/>
      <c r="CY4" s="45"/>
      <c r="CZ4" s="45"/>
      <c r="DA4" s="45"/>
      <c r="DB4" s="45"/>
      <c r="DC4" s="45"/>
      <c r="DD4" s="45"/>
      <c r="DE4" s="100" t="s">
        <v>778</v>
      </c>
      <c r="DF4" s="266"/>
      <c r="DG4" s="162"/>
      <c r="DH4" s="162"/>
      <c r="DI4" s="162"/>
      <c r="DJ4" s="236"/>
      <c r="DK4" s="162"/>
      <c r="DL4" s="45"/>
      <c r="DM4" s="45"/>
      <c r="DN4" s="45"/>
      <c r="DO4" s="45"/>
      <c r="DP4" s="45"/>
      <c r="DQ4" s="45"/>
      <c r="DR4" s="45"/>
      <c r="DS4" s="45"/>
      <c r="DT4" s="45"/>
      <c r="DU4" s="45"/>
      <c r="DV4" s="45"/>
      <c r="DW4" s="45"/>
      <c r="DX4" s="45"/>
      <c r="DY4" s="45"/>
      <c r="DZ4" s="45"/>
      <c r="EA4" s="45"/>
      <c r="EB4" s="45"/>
      <c r="EC4" s="45"/>
      <c r="ED4" s="45"/>
      <c r="EE4" s="45"/>
      <c r="EF4" s="266" t="s">
        <v>717</v>
      </c>
      <c r="EG4" s="266"/>
      <c r="EH4" s="45"/>
      <c r="EI4" s="45"/>
      <c r="EJ4" s="45"/>
      <c r="EK4" s="280"/>
      <c r="EL4" s="281"/>
      <c r="EM4" s="169" t="s">
        <v>727</v>
      </c>
      <c r="EN4" s="45"/>
      <c r="EO4" s="45"/>
      <c r="EP4" s="45"/>
      <c r="EQ4" s="277"/>
      <c r="ER4" s="277"/>
      <c r="ES4" s="277"/>
      <c r="ET4" s="277"/>
      <c r="EU4" s="45"/>
      <c r="EV4" s="45"/>
      <c r="EW4" s="45"/>
      <c r="EX4" s="45"/>
      <c r="EY4" s="45"/>
      <c r="EZ4" s="268"/>
      <c r="FA4" s="268"/>
      <c r="FB4" s="268"/>
      <c r="FC4" s="268"/>
      <c r="FD4" s="268"/>
      <c r="FE4" s="268"/>
      <c r="FF4" s="268"/>
      <c r="FG4" s="45"/>
      <c r="FH4" s="45"/>
      <c r="FI4" s="45"/>
      <c r="FJ4" s="45"/>
      <c r="FK4" s="45"/>
      <c r="FL4" s="45"/>
      <c r="FM4" s="100"/>
      <c r="FN4" s="45"/>
      <c r="FO4" s="45"/>
      <c r="FP4" s="45"/>
      <c r="FQ4" s="45"/>
      <c r="FR4" s="45"/>
      <c r="FS4" s="45"/>
      <c r="FT4" s="318"/>
      <c r="FU4" s="318"/>
      <c r="FV4" s="318"/>
      <c r="FW4" s="45"/>
      <c r="FX4" s="45"/>
      <c r="FY4" s="45"/>
      <c r="FZ4" s="45"/>
      <c r="GA4" s="45"/>
      <c r="GB4" s="45"/>
      <c r="GC4" s="186"/>
      <c r="GD4" s="186"/>
      <c r="GE4" s="45"/>
      <c r="GF4" s="45"/>
      <c r="GG4" s="45"/>
      <c r="GH4" s="45"/>
      <c r="GI4" s="45"/>
      <c r="GJ4" s="45"/>
      <c r="GK4" s="45"/>
      <c r="GL4" s="45"/>
      <c r="GM4" s="45"/>
      <c r="GN4" s="45"/>
      <c r="GO4" s="45"/>
      <c r="GP4" s="45"/>
      <c r="GQ4" s="45"/>
    </row>
    <row r="5" spans="1:199">
      <c r="A5" s="201"/>
      <c r="B5" s="216"/>
      <c r="D5" s="15"/>
      <c r="E5" s="15"/>
      <c r="F5" s="8"/>
      <c r="G5" s="8"/>
      <c r="H5" s="15"/>
      <c r="I5" s="15"/>
      <c r="J5" s="15"/>
      <c r="K5" s="15"/>
      <c r="L5" s="15"/>
      <c r="M5" s="15"/>
      <c r="N5" s="15"/>
      <c r="O5" s="15"/>
      <c r="P5" s="15"/>
      <c r="Q5" s="15"/>
      <c r="R5" s="15"/>
      <c r="S5" s="55"/>
      <c r="T5" s="55"/>
      <c r="U5" s="55"/>
      <c r="V5" s="55"/>
      <c r="W5" s="55"/>
      <c r="X5" s="55"/>
      <c r="Y5" s="55"/>
      <c r="Z5" s="55"/>
      <c r="AA5" s="55"/>
      <c r="AB5" s="55"/>
      <c r="AC5" s="15"/>
      <c r="AD5" s="15"/>
      <c r="AE5" s="15"/>
      <c r="AF5" s="15"/>
      <c r="AG5" s="15"/>
      <c r="AH5" s="15"/>
      <c r="AI5" s="15"/>
      <c r="AJ5" s="15"/>
      <c r="AK5" s="15"/>
      <c r="AL5" s="15"/>
      <c r="AM5" s="55"/>
      <c r="AN5" s="55"/>
      <c r="AO5" s="15"/>
      <c r="AP5" s="15"/>
      <c r="AQ5" s="15"/>
      <c r="AR5" s="15"/>
      <c r="AS5" s="15"/>
      <c r="AT5" s="15"/>
      <c r="AU5" s="55"/>
      <c r="AV5" s="55"/>
      <c r="AW5" s="15"/>
      <c r="AX5" s="55"/>
      <c r="AY5" s="55"/>
      <c r="AZ5" s="162"/>
      <c r="BA5" s="21"/>
      <c r="BB5" s="21"/>
      <c r="BC5" s="21"/>
      <c r="BD5" s="55"/>
      <c r="BE5" s="21"/>
      <c r="BF5" s="21"/>
      <c r="BG5" s="21"/>
      <c r="BH5" s="305"/>
      <c r="BI5" s="305"/>
      <c r="BJ5" s="21"/>
      <c r="BK5" s="21"/>
      <c r="BL5" s="15"/>
      <c r="BM5" s="55"/>
      <c r="BN5" s="55"/>
      <c r="BO5" s="55"/>
      <c r="BP5" s="15"/>
      <c r="BQ5" s="15"/>
      <c r="BR5" s="55"/>
      <c r="BS5" s="55"/>
      <c r="BT5" s="55"/>
      <c r="BU5" s="55"/>
      <c r="BV5" s="15"/>
      <c r="BW5" s="15"/>
      <c r="BX5" s="15"/>
      <c r="BY5" s="15"/>
      <c r="BZ5" s="15"/>
      <c r="CA5" s="312"/>
      <c r="CB5" s="162"/>
      <c r="CC5" s="162"/>
      <c r="CD5" s="162"/>
      <c r="CE5" s="162"/>
      <c r="CF5" s="162"/>
      <c r="CG5" s="55"/>
      <c r="CH5" s="21"/>
      <c r="CI5" s="55"/>
      <c r="CJ5" s="55"/>
      <c r="CK5" s="55"/>
      <c r="CL5" s="55"/>
      <c r="CM5" s="55"/>
      <c r="CN5" s="55"/>
      <c r="CO5" s="55"/>
      <c r="CP5" s="55"/>
      <c r="CQ5" s="55"/>
      <c r="CR5" s="55"/>
      <c r="CS5" s="55"/>
      <c r="CT5" s="55"/>
      <c r="CU5" s="55"/>
      <c r="CV5" s="55"/>
      <c r="CW5" s="162"/>
      <c r="CX5" s="21"/>
      <c r="CY5" s="21"/>
      <c r="CZ5" s="21"/>
      <c r="DA5" s="21"/>
      <c r="DB5" s="162"/>
      <c r="DC5" s="162"/>
      <c r="DD5" s="162"/>
      <c r="DE5" s="100" t="s">
        <v>779</v>
      </c>
      <c r="DF5" s="266"/>
      <c r="DG5" s="162"/>
      <c r="DH5" s="162"/>
      <c r="DI5" s="162"/>
      <c r="DJ5" s="162"/>
      <c r="DK5" s="162"/>
      <c r="DL5" s="162"/>
      <c r="DM5" s="21"/>
      <c r="DN5" s="21"/>
      <c r="DO5" s="55"/>
      <c r="DP5" s="55"/>
      <c r="DQ5" s="249"/>
      <c r="DR5" s="249"/>
      <c r="DS5" s="285" t="s">
        <v>731</v>
      </c>
      <c r="DT5" s="249"/>
      <c r="DU5" s="249"/>
      <c r="DV5" s="249"/>
      <c r="DW5" s="249"/>
      <c r="DX5" s="249"/>
      <c r="DY5" s="249"/>
      <c r="DZ5" s="249"/>
      <c r="EA5" s="249"/>
      <c r="EB5" s="249"/>
      <c r="EC5" s="249"/>
      <c r="ED5" s="21"/>
      <c r="EE5" s="21"/>
      <c r="EF5" s="55"/>
      <c r="EG5" s="55"/>
      <c r="EH5" s="55"/>
      <c r="EI5" s="55"/>
      <c r="EJ5" s="55"/>
      <c r="EK5" s="15"/>
      <c r="EL5" s="162"/>
      <c r="EM5" s="277"/>
      <c r="EN5" s="15"/>
      <c r="EO5" s="15"/>
      <c r="EP5" s="15"/>
      <c r="EQ5" s="277"/>
      <c r="ER5" s="277"/>
      <c r="ES5" s="277"/>
      <c r="ET5" s="277"/>
      <c r="EU5" s="15"/>
      <c r="EV5" s="15"/>
      <c r="EW5" s="15"/>
      <c r="EX5" s="15"/>
      <c r="EY5" s="15"/>
      <c r="EZ5" s="269"/>
      <c r="FA5" s="270"/>
      <c r="FB5" s="270"/>
      <c r="FC5" s="270"/>
      <c r="FD5" s="270"/>
      <c r="FE5" s="270"/>
      <c r="FF5" s="270"/>
      <c r="FG5" s="15"/>
      <c r="FH5" s="15"/>
      <c r="FI5" s="15"/>
      <c r="FJ5" s="15"/>
      <c r="FK5" s="15"/>
      <c r="FL5" s="15"/>
      <c r="FM5" s="55"/>
      <c r="FN5" s="55"/>
      <c r="FO5" s="15"/>
      <c r="FP5" s="55"/>
      <c r="FQ5" s="55"/>
      <c r="FR5" s="55"/>
      <c r="FS5" s="55"/>
      <c r="FT5" s="319"/>
      <c r="FU5" s="319"/>
      <c r="FV5" s="319"/>
      <c r="FW5" s="55"/>
      <c r="FX5" s="55"/>
      <c r="FY5" s="55"/>
      <c r="FZ5" s="55"/>
      <c r="GA5" s="21"/>
      <c r="GB5" s="55"/>
      <c r="GC5" s="60"/>
      <c r="GD5" s="55"/>
      <c r="GE5" s="55"/>
      <c r="GF5" s="55"/>
      <c r="GG5" s="55"/>
      <c r="GH5" s="55"/>
      <c r="GI5" s="55"/>
      <c r="GJ5" s="55"/>
      <c r="GK5" s="55"/>
      <c r="GL5" s="15"/>
      <c r="GM5" s="15"/>
      <c r="GN5" s="15"/>
      <c r="GO5" s="15"/>
      <c r="GP5" s="15"/>
      <c r="GQ5" s="15"/>
    </row>
    <row r="6" spans="1:199">
      <c r="A6" s="201"/>
      <c r="B6" s="168"/>
      <c r="D6" s="15"/>
      <c r="E6" s="15"/>
      <c r="F6" s="8"/>
      <c r="G6" s="8"/>
      <c r="H6" s="15"/>
      <c r="I6" s="15"/>
      <c r="J6" s="15"/>
      <c r="K6" s="15"/>
      <c r="L6" s="15"/>
      <c r="M6" s="15"/>
      <c r="N6" s="15"/>
      <c r="O6" s="15"/>
      <c r="P6" s="15"/>
      <c r="Q6" s="15"/>
      <c r="R6" s="15"/>
      <c r="S6" s="15"/>
      <c r="T6" s="15"/>
      <c r="U6" s="15"/>
      <c r="V6" s="15"/>
      <c r="W6" s="232"/>
      <c r="X6" s="232"/>
      <c r="Y6" s="15"/>
      <c r="Z6" s="15"/>
      <c r="AA6" s="15"/>
      <c r="AB6" s="15"/>
      <c r="AC6" s="232"/>
      <c r="AD6" s="232"/>
      <c r="AE6" s="232"/>
      <c r="AF6" s="232"/>
      <c r="AG6" s="232"/>
      <c r="AH6" s="232"/>
      <c r="AI6" s="15"/>
      <c r="AJ6" s="15"/>
      <c r="AK6" s="15"/>
      <c r="AL6" s="15"/>
      <c r="AM6" s="205"/>
      <c r="AN6" s="15"/>
      <c r="AO6" s="15"/>
      <c r="AP6" s="15"/>
      <c r="AQ6" s="15"/>
      <c r="AR6" s="15"/>
      <c r="AS6" s="15"/>
      <c r="AT6" s="15"/>
      <c r="AU6" s="15"/>
      <c r="AV6" s="15"/>
      <c r="AW6" s="15"/>
      <c r="AX6" s="15"/>
      <c r="AY6" s="15"/>
      <c r="AZ6" s="162"/>
      <c r="BA6" s="103"/>
      <c r="BB6" s="103"/>
      <c r="BC6" s="103"/>
      <c r="BD6" s="15"/>
      <c r="BE6" s="103"/>
      <c r="BF6" s="103"/>
      <c r="BG6" s="103"/>
      <c r="BH6" s="299"/>
      <c r="BI6" s="299"/>
      <c r="BJ6" s="103"/>
      <c r="BK6" s="103"/>
      <c r="BL6" s="15"/>
      <c r="BM6" s="15"/>
      <c r="BN6" s="15"/>
      <c r="BO6" s="15"/>
      <c r="BP6" s="15"/>
      <c r="BQ6" s="15"/>
      <c r="BR6" s="15"/>
      <c r="BS6" s="15"/>
      <c r="BT6" s="15"/>
      <c r="BU6" s="15"/>
      <c r="BV6" s="15"/>
      <c r="BW6" s="15"/>
      <c r="BX6" s="15"/>
      <c r="BY6" s="15"/>
      <c r="BZ6" s="15"/>
      <c r="CA6" s="313" t="s">
        <v>712</v>
      </c>
      <c r="CC6" s="162"/>
      <c r="CD6" s="162"/>
      <c r="CE6" s="162"/>
      <c r="CF6" s="162"/>
      <c r="CG6" s="15"/>
      <c r="CH6" s="103"/>
      <c r="CI6" s="15"/>
      <c r="CJ6" s="15"/>
      <c r="CK6" s="15"/>
      <c r="CL6" s="15"/>
      <c r="CM6" s="15"/>
      <c r="CN6" s="15"/>
      <c r="CO6" s="10"/>
      <c r="CP6" s="10"/>
      <c r="CQ6" s="10"/>
      <c r="CR6" s="100"/>
      <c r="CS6" s="10"/>
      <c r="CT6" s="10"/>
      <c r="CU6" s="10"/>
      <c r="CV6" s="10"/>
      <c r="CW6" s="162"/>
      <c r="CX6" s="265"/>
      <c r="CY6" s="265"/>
      <c r="CZ6" s="103"/>
      <c r="DA6" s="103"/>
      <c r="DB6" s="162"/>
      <c r="DC6" s="162"/>
      <c r="DD6" s="162"/>
      <c r="DE6" s="100"/>
      <c r="DF6" s="266"/>
      <c r="DG6" s="162"/>
      <c r="DH6" s="162"/>
      <c r="DI6" s="162"/>
      <c r="DJ6" s="267" t="s">
        <v>768</v>
      </c>
      <c r="DK6" s="162"/>
      <c r="DL6" s="7"/>
      <c r="DM6" s="103"/>
      <c r="DN6" s="103"/>
      <c r="DO6" s="15"/>
      <c r="DP6" s="15"/>
      <c r="DQ6" s="230"/>
      <c r="DR6" s="230"/>
      <c r="DS6" s="230"/>
      <c r="DT6" s="230"/>
      <c r="DU6" s="230"/>
      <c r="DV6" s="230"/>
      <c r="DW6" s="230"/>
      <c r="DX6" s="230"/>
      <c r="DY6" s="230"/>
      <c r="DZ6" s="230"/>
      <c r="EA6" s="230"/>
      <c r="EB6" s="230"/>
      <c r="EC6" s="230"/>
      <c r="ED6" s="103"/>
      <c r="EE6" s="103"/>
      <c r="EF6" s="15"/>
      <c r="EG6" s="15"/>
      <c r="EH6" s="15"/>
      <c r="EI6" s="15"/>
      <c r="EJ6" s="15"/>
      <c r="EK6" s="15"/>
      <c r="EL6" s="282" t="s">
        <v>711</v>
      </c>
      <c r="EM6" s="277"/>
      <c r="EN6" s="15"/>
      <c r="EO6" s="15"/>
      <c r="EP6" s="15"/>
      <c r="EQ6" s="283" t="s">
        <v>712</v>
      </c>
      <c r="ER6" s="277"/>
      <c r="ES6" s="277" t="s">
        <v>769</v>
      </c>
      <c r="ET6" s="277"/>
      <c r="EU6" s="15"/>
      <c r="EV6" s="15"/>
      <c r="EW6" s="15"/>
      <c r="EX6" s="15"/>
      <c r="EY6" s="15"/>
      <c r="EZ6" s="271" t="s">
        <v>710</v>
      </c>
      <c r="FA6" s="270"/>
      <c r="FB6" s="270"/>
      <c r="FC6" s="270"/>
      <c r="FD6" s="270"/>
      <c r="FE6" s="270"/>
      <c r="FF6" s="270"/>
      <c r="FG6" s="15"/>
      <c r="FH6" s="15"/>
      <c r="FI6" s="15"/>
      <c r="FJ6" s="15"/>
      <c r="FK6" s="15"/>
      <c r="FL6" s="15"/>
      <c r="FM6" s="10"/>
      <c r="FN6" s="10"/>
      <c r="FO6" s="15"/>
      <c r="FP6" s="10"/>
      <c r="FQ6" s="10"/>
      <c r="FR6" s="15"/>
      <c r="FS6" s="15"/>
      <c r="FT6" s="320"/>
      <c r="FU6" s="320"/>
      <c r="FV6" s="320"/>
      <c r="FW6" s="15"/>
      <c r="FX6" s="15"/>
      <c r="FY6" s="15"/>
      <c r="FZ6" s="15"/>
      <c r="GA6" s="103"/>
      <c r="GB6" s="15"/>
      <c r="GC6" s="103"/>
      <c r="GD6" s="15"/>
      <c r="GE6" s="15"/>
      <c r="GF6" s="15"/>
      <c r="GG6" s="15"/>
      <c r="GH6" s="15"/>
      <c r="GI6" s="15"/>
      <c r="GJ6" s="15"/>
      <c r="GK6" s="15"/>
      <c r="GL6" s="55"/>
      <c r="GM6" s="55"/>
      <c r="GN6" s="55"/>
      <c r="GO6" s="55"/>
      <c r="GP6" s="55"/>
      <c r="GQ6" s="55"/>
    </row>
    <row r="7" spans="1:199">
      <c r="A7" s="201"/>
      <c r="B7" s="131"/>
      <c r="D7" s="15"/>
      <c r="E7" s="15"/>
      <c r="F7" s="8"/>
      <c r="G7" s="8"/>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62"/>
      <c r="BA7" s="103"/>
      <c r="BB7" s="103"/>
      <c r="BC7" s="103"/>
      <c r="BD7" s="15"/>
      <c r="BE7" s="103"/>
      <c r="BF7" s="103"/>
      <c r="BG7" s="103"/>
      <c r="BH7" s="299"/>
      <c r="BI7" s="299"/>
      <c r="BJ7" s="103"/>
      <c r="BK7" s="103"/>
      <c r="BL7" s="15"/>
      <c r="BM7" s="15"/>
      <c r="BN7" s="15"/>
      <c r="BO7" s="15"/>
      <c r="BP7" s="15"/>
      <c r="BQ7" s="15"/>
      <c r="BR7" s="15"/>
      <c r="BS7" s="15"/>
      <c r="BT7" s="15"/>
      <c r="BU7" s="15"/>
      <c r="BV7" s="15"/>
      <c r="BW7" s="15"/>
      <c r="BX7" s="15"/>
      <c r="BY7" s="15"/>
      <c r="BZ7" s="15"/>
      <c r="CA7" s="312"/>
      <c r="CB7" s="162"/>
      <c r="CC7" s="162"/>
      <c r="CD7" s="162"/>
      <c r="CE7" s="162"/>
      <c r="CF7" s="162"/>
      <c r="CG7" s="15"/>
      <c r="CH7" s="103"/>
      <c r="CI7" s="15"/>
      <c r="CJ7" s="15"/>
      <c r="CK7" s="15"/>
      <c r="CL7" s="15"/>
      <c r="CM7" s="15"/>
      <c r="CN7" s="15"/>
      <c r="CO7" s="10"/>
      <c r="CP7" s="10"/>
      <c r="CQ7" s="10"/>
      <c r="CR7" s="10"/>
      <c r="CS7" s="10"/>
      <c r="CT7" s="10"/>
      <c r="CU7" s="10"/>
      <c r="CV7" s="10"/>
      <c r="CW7" s="162"/>
      <c r="CX7" s="103"/>
      <c r="CY7" s="103"/>
      <c r="CZ7" s="103"/>
      <c r="DA7" s="103"/>
      <c r="DB7" s="162"/>
      <c r="DC7" s="162"/>
      <c r="DD7" s="162"/>
      <c r="DE7" s="100"/>
      <c r="DF7" s="266"/>
      <c r="DG7" s="162"/>
      <c r="DH7" s="162"/>
      <c r="DI7" s="162"/>
      <c r="DJ7" s="162"/>
      <c r="DK7" s="162"/>
      <c r="DL7" s="162"/>
      <c r="DM7" s="103"/>
      <c r="DN7" s="103"/>
      <c r="DO7" s="15"/>
      <c r="DP7" s="15"/>
      <c r="DQ7" s="230"/>
      <c r="DR7" s="230"/>
      <c r="DS7" s="230"/>
      <c r="DT7" s="230"/>
      <c r="DU7" s="230"/>
      <c r="DV7" s="230"/>
      <c r="DW7" s="230"/>
      <c r="DX7" s="230"/>
      <c r="DY7" s="230"/>
      <c r="DZ7" s="230"/>
      <c r="EA7" s="230"/>
      <c r="EB7" s="230"/>
      <c r="EC7" s="230"/>
      <c r="ED7" s="103"/>
      <c r="EE7" s="103"/>
      <c r="EF7" s="15"/>
      <c r="EG7" s="15"/>
      <c r="EH7" s="15"/>
      <c r="EI7" s="15"/>
      <c r="EJ7" s="15"/>
      <c r="EL7" s="169" t="s">
        <v>767</v>
      </c>
      <c r="EM7" s="277"/>
      <c r="EN7" s="15"/>
      <c r="EO7" s="15"/>
      <c r="EP7" s="15"/>
      <c r="EQ7" s="277"/>
      <c r="ER7" s="277"/>
      <c r="ES7" s="277"/>
      <c r="ET7" s="277"/>
      <c r="EU7" s="15"/>
      <c r="EV7" s="15"/>
      <c r="EW7" s="15"/>
      <c r="EX7" s="15"/>
      <c r="EY7" s="15"/>
      <c r="EZ7" s="271"/>
      <c r="FA7" s="270"/>
      <c r="FB7" s="270"/>
      <c r="FC7" s="270"/>
      <c r="FD7" s="270"/>
      <c r="FE7" s="270"/>
      <c r="FF7" s="270"/>
      <c r="FG7" s="15"/>
      <c r="FH7" s="15"/>
      <c r="FI7" s="15"/>
      <c r="FJ7" s="15"/>
      <c r="FK7" s="15"/>
      <c r="FL7" s="15"/>
      <c r="FM7" s="15"/>
      <c r="FN7" s="15"/>
      <c r="FO7" s="15"/>
      <c r="FP7" s="10"/>
      <c r="FQ7" s="10"/>
      <c r="FR7" s="15"/>
      <c r="FS7" s="15"/>
      <c r="FT7" s="320"/>
      <c r="FU7" s="320"/>
      <c r="FV7" s="320"/>
      <c r="FW7" s="15"/>
      <c r="FX7" s="15"/>
      <c r="FY7" s="15"/>
      <c r="FZ7" s="15"/>
      <c r="GA7" s="103"/>
      <c r="GB7" s="15"/>
      <c r="GC7" s="103"/>
      <c r="GD7" s="15"/>
      <c r="GE7" s="15"/>
      <c r="GF7" s="15"/>
      <c r="GG7" s="15"/>
      <c r="GH7" s="15"/>
      <c r="GI7" s="15"/>
      <c r="GJ7" s="15"/>
      <c r="GK7" s="15"/>
      <c r="GL7" s="15"/>
      <c r="GM7" s="15"/>
      <c r="GN7" s="15"/>
      <c r="GO7" s="15"/>
      <c r="GP7" s="15"/>
      <c r="GQ7" s="15"/>
    </row>
    <row r="8" spans="1:199">
      <c r="A8" s="201"/>
      <c r="B8" s="220"/>
      <c r="D8" s="15"/>
      <c r="E8" s="15"/>
      <c r="F8" s="8"/>
      <c r="G8" s="8"/>
      <c r="H8" s="15"/>
      <c r="I8" s="15"/>
      <c r="J8" s="15"/>
      <c r="K8" s="15"/>
      <c r="L8" s="15"/>
      <c r="M8" s="15"/>
      <c r="N8" s="15"/>
      <c r="O8" s="15"/>
      <c r="P8" s="15"/>
      <c r="Q8" s="15"/>
      <c r="R8" s="15"/>
      <c r="S8" s="55"/>
      <c r="T8" s="55"/>
      <c r="U8" s="55"/>
      <c r="V8" s="55"/>
      <c r="W8" s="55"/>
      <c r="X8" s="55"/>
      <c r="Y8" s="55"/>
      <c r="Z8" s="55"/>
      <c r="AA8" s="55"/>
      <c r="AB8" s="55"/>
      <c r="AC8" s="15"/>
      <c r="AD8" s="15"/>
      <c r="AE8" s="15"/>
      <c r="AF8" s="15"/>
      <c r="AG8" s="15"/>
      <c r="AH8" s="15"/>
      <c r="AI8" s="15"/>
      <c r="AJ8" s="15"/>
      <c r="AK8" s="15"/>
      <c r="AL8" s="15"/>
      <c r="AM8" s="55"/>
      <c r="AN8" s="55"/>
      <c r="AO8" s="15"/>
      <c r="AP8" s="15"/>
      <c r="AQ8" s="15"/>
      <c r="AR8" s="15"/>
      <c r="AS8" s="15"/>
      <c r="AT8" s="15"/>
      <c r="AU8" s="55"/>
      <c r="AV8" s="55"/>
      <c r="AW8" s="15"/>
      <c r="AX8" s="55"/>
      <c r="AY8" s="55"/>
      <c r="AZ8" s="103"/>
      <c r="BA8" s="21"/>
      <c r="BB8" s="21"/>
      <c r="BC8" s="21"/>
      <c r="BD8" s="55"/>
      <c r="BE8" s="21"/>
      <c r="BF8" s="21"/>
      <c r="BG8" s="21"/>
      <c r="BH8" s="305"/>
      <c r="BI8" s="305"/>
      <c r="BJ8" s="21"/>
      <c r="BK8" s="21"/>
      <c r="BL8" s="15"/>
      <c r="BM8" s="55"/>
      <c r="BN8" s="55"/>
      <c r="BO8" s="55"/>
      <c r="BP8" s="15"/>
      <c r="BQ8" s="15"/>
      <c r="BR8" s="55"/>
      <c r="BS8" s="55"/>
      <c r="BT8" s="55"/>
      <c r="BU8" s="55"/>
      <c r="BV8" s="15"/>
      <c r="BW8" s="15"/>
      <c r="BX8" s="15"/>
      <c r="BY8" s="15"/>
      <c r="BZ8" s="15"/>
      <c r="CA8" s="312"/>
      <c r="CB8" s="162"/>
      <c r="CC8" s="162"/>
      <c r="CD8" s="162"/>
      <c r="CE8" s="162"/>
      <c r="CF8" s="162"/>
      <c r="CG8" s="55"/>
      <c r="CH8" s="21"/>
      <c r="CI8" s="55"/>
      <c r="CJ8" s="55"/>
      <c r="CK8" s="55"/>
      <c r="CL8" s="55"/>
      <c r="CM8" s="55"/>
      <c r="CN8" s="55"/>
      <c r="CO8" s="138"/>
      <c r="CP8" s="138"/>
      <c r="CQ8" s="138"/>
      <c r="CR8" s="138"/>
      <c r="CS8" s="138"/>
      <c r="CT8" s="138"/>
      <c r="CU8" s="138"/>
      <c r="CV8" s="138"/>
      <c r="CW8" s="162"/>
      <c r="CX8" s="21"/>
      <c r="CY8" s="21"/>
      <c r="CZ8" s="21"/>
      <c r="DA8" s="21"/>
      <c r="DB8" s="103"/>
      <c r="DC8" s="103"/>
      <c r="DD8" s="103"/>
      <c r="DE8" s="162"/>
      <c r="DF8" s="138"/>
      <c r="DG8" s="162"/>
      <c r="DH8" s="162"/>
      <c r="DI8" s="162"/>
      <c r="DJ8" s="162"/>
      <c r="DK8" s="162"/>
      <c r="DL8" s="103"/>
      <c r="DM8" s="21"/>
      <c r="DN8" s="21"/>
      <c r="DO8" s="55"/>
      <c r="DP8" s="55"/>
      <c r="DQ8" s="249"/>
      <c r="DR8" s="249"/>
      <c r="DS8" s="249"/>
      <c r="DT8" s="249"/>
      <c r="DU8" s="249"/>
      <c r="DV8" s="249"/>
      <c r="DW8" s="249"/>
      <c r="DX8" s="249"/>
      <c r="DY8" s="249"/>
      <c r="DZ8" s="249"/>
      <c r="EA8" s="249"/>
      <c r="EB8" s="249"/>
      <c r="EC8" s="249"/>
      <c r="ED8" s="21"/>
      <c r="EE8" s="21"/>
      <c r="EF8" s="55"/>
      <c r="EG8" s="55"/>
      <c r="EH8" s="55"/>
      <c r="EI8" s="55"/>
      <c r="EJ8" s="55"/>
      <c r="EK8" s="15"/>
      <c r="EL8" s="162"/>
      <c r="EM8" s="277"/>
      <c r="EN8" s="15"/>
      <c r="EO8" s="15"/>
      <c r="EP8" s="15"/>
      <c r="EQ8" s="277"/>
      <c r="ER8" s="277"/>
      <c r="ES8" s="277"/>
      <c r="ET8" s="277"/>
      <c r="EU8" s="15"/>
      <c r="EV8" s="15"/>
      <c r="EW8" s="15"/>
      <c r="EX8" s="15"/>
      <c r="EY8" s="15"/>
      <c r="EZ8" s="272"/>
      <c r="FA8" s="270"/>
      <c r="FB8" s="270"/>
      <c r="FC8" s="270"/>
      <c r="FD8" s="270"/>
      <c r="FE8" s="270"/>
      <c r="FF8" s="270"/>
      <c r="FG8" s="15"/>
      <c r="FH8" s="15"/>
      <c r="FI8" s="15"/>
      <c r="FJ8" s="15"/>
      <c r="FK8" s="15"/>
      <c r="FL8" s="15"/>
      <c r="FM8" s="55"/>
      <c r="FN8" s="55"/>
      <c r="FO8" s="15"/>
      <c r="FP8" s="138"/>
      <c r="FQ8" s="138"/>
      <c r="FR8" s="55"/>
      <c r="FS8" s="55"/>
      <c r="FT8" s="321"/>
      <c r="FU8" s="321"/>
      <c r="FV8" s="321"/>
      <c r="FW8" s="55"/>
      <c r="FX8" s="55"/>
      <c r="FY8" s="55"/>
      <c r="FZ8" s="55"/>
      <c r="GA8" s="21"/>
      <c r="GB8" s="55"/>
      <c r="GC8" s="21"/>
      <c r="GD8" s="55"/>
      <c r="GE8" s="55"/>
      <c r="GF8" s="55"/>
      <c r="GG8" s="55"/>
      <c r="GH8" s="55"/>
      <c r="GI8" s="55"/>
      <c r="GJ8" s="55"/>
      <c r="GK8" s="55"/>
      <c r="GL8" s="15"/>
      <c r="GM8" s="15"/>
      <c r="GN8" s="15"/>
      <c r="GO8" s="15"/>
      <c r="GP8" s="15"/>
      <c r="GQ8" s="15"/>
    </row>
    <row r="9" spans="1:199" ht="13.5" thickBot="1">
      <c r="A9" s="201"/>
      <c r="B9" s="15"/>
      <c r="D9" s="15"/>
      <c r="E9" s="15"/>
      <c r="F9" s="8"/>
      <c r="G9" s="8"/>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299"/>
      <c r="BI9" s="299"/>
      <c r="BJ9" s="15"/>
      <c r="BK9" s="15"/>
      <c r="BL9" s="15"/>
      <c r="BM9" s="15"/>
      <c r="BN9" s="15"/>
      <c r="BO9" s="15"/>
      <c r="BP9" s="15"/>
      <c r="BQ9" s="15"/>
      <c r="BR9" s="15"/>
      <c r="BS9" s="15"/>
      <c r="BT9" s="15"/>
      <c r="BU9" s="15"/>
      <c r="BV9" s="15"/>
      <c r="BW9" s="15"/>
      <c r="BX9" s="15"/>
      <c r="BY9" s="15"/>
      <c r="BZ9" s="15"/>
      <c r="CA9" s="312"/>
      <c r="CB9" s="162"/>
      <c r="CC9" s="162"/>
      <c r="CD9" s="162"/>
      <c r="CE9" s="162"/>
      <c r="CF9" s="162"/>
      <c r="CG9" s="15"/>
      <c r="CH9" s="15"/>
      <c r="CI9" s="15"/>
      <c r="CJ9" s="15"/>
      <c r="CK9" s="15"/>
      <c r="CL9" s="15"/>
      <c r="CM9" s="15"/>
      <c r="CN9" s="15"/>
      <c r="CO9" s="15"/>
      <c r="CP9" s="15"/>
      <c r="CQ9" s="15"/>
      <c r="CR9" s="15"/>
      <c r="CS9" s="15"/>
      <c r="CT9" s="15"/>
      <c r="CU9" s="15"/>
      <c r="CV9" s="15"/>
      <c r="CW9" s="162"/>
      <c r="CX9" s="15"/>
      <c r="CY9" s="15"/>
      <c r="CZ9" s="15"/>
      <c r="DA9" s="15"/>
      <c r="DB9" s="15"/>
      <c r="DC9" s="15"/>
      <c r="DD9" s="15"/>
      <c r="DE9" s="162"/>
      <c r="DF9" s="15"/>
      <c r="DG9" s="162"/>
      <c r="DH9" s="162"/>
      <c r="DI9" s="162"/>
      <c r="DJ9" s="162"/>
      <c r="DK9" s="162"/>
      <c r="DL9" s="15"/>
      <c r="DM9" s="15"/>
      <c r="DN9" s="15"/>
      <c r="DO9" s="15"/>
      <c r="DP9" s="15"/>
      <c r="DQ9" s="8"/>
      <c r="DR9" s="8"/>
      <c r="DS9" s="8"/>
      <c r="DT9" s="8"/>
      <c r="DU9" s="8"/>
      <c r="DV9" s="8"/>
      <c r="DW9" s="8"/>
      <c r="DX9" s="8"/>
      <c r="DY9" s="8"/>
      <c r="DZ9" s="8"/>
      <c r="EA9" s="8"/>
      <c r="EB9" s="8"/>
      <c r="EC9" s="8"/>
      <c r="ED9" s="15"/>
      <c r="EE9" s="15"/>
      <c r="EF9" s="15"/>
      <c r="EG9" s="15"/>
      <c r="EH9" s="15"/>
      <c r="EI9" s="15"/>
      <c r="EJ9" s="15"/>
      <c r="EK9" s="15"/>
      <c r="EL9" s="162"/>
      <c r="EM9" s="277"/>
      <c r="EN9" s="15"/>
      <c r="EO9" s="15"/>
      <c r="EP9" s="15"/>
      <c r="EQ9" s="277"/>
      <c r="ER9" s="277"/>
      <c r="ES9" s="277"/>
      <c r="ET9" s="277"/>
      <c r="EU9" s="15"/>
      <c r="EV9" s="15"/>
      <c r="EW9" s="15"/>
      <c r="EX9" s="15"/>
      <c r="EY9" s="15"/>
      <c r="EZ9" s="270"/>
      <c r="FA9" s="270"/>
      <c r="FB9" s="270"/>
      <c r="FC9" s="270"/>
      <c r="FD9" s="270"/>
      <c r="FE9" s="270"/>
      <c r="FF9" s="270"/>
      <c r="FG9" s="15"/>
      <c r="FH9" s="15"/>
      <c r="FI9" s="15"/>
      <c r="FJ9" s="15"/>
      <c r="FK9" s="15"/>
      <c r="FL9" s="15"/>
      <c r="FM9" s="15"/>
      <c r="FN9" s="15"/>
      <c r="FO9" s="15"/>
      <c r="FP9" s="15"/>
      <c r="FQ9" s="15"/>
      <c r="FR9" s="15"/>
      <c r="FS9" s="15"/>
      <c r="FT9" s="322"/>
      <c r="FU9" s="322"/>
      <c r="FV9" s="322"/>
      <c r="FW9" s="15"/>
      <c r="FX9" s="15"/>
      <c r="FY9" s="15"/>
      <c r="FZ9" s="15"/>
      <c r="GA9" s="15"/>
      <c r="GB9" s="15"/>
      <c r="GC9" s="15"/>
      <c r="GD9" s="15"/>
      <c r="GE9" s="15"/>
      <c r="GF9" s="15"/>
      <c r="GG9" s="15"/>
      <c r="GH9" s="15"/>
      <c r="GI9" s="15"/>
      <c r="GJ9" s="15"/>
      <c r="GK9" s="15"/>
      <c r="GL9" s="55"/>
      <c r="GM9" s="55"/>
      <c r="GN9" s="55"/>
      <c r="GO9" s="55"/>
      <c r="GP9" s="55"/>
      <c r="GQ9" s="55"/>
    </row>
    <row r="10" spans="1:199" ht="14.25" thickTop="1" thickBot="1">
      <c r="A10" s="201" t="s">
        <v>76</v>
      </c>
      <c r="B10" s="35" t="s">
        <v>269</v>
      </c>
      <c r="C10" s="35" t="s">
        <v>269</v>
      </c>
      <c r="D10" s="35" t="s">
        <v>269</v>
      </c>
      <c r="E10" s="35" t="s">
        <v>269</v>
      </c>
      <c r="F10" s="73" t="s">
        <v>449</v>
      </c>
      <c r="G10" s="73" t="s">
        <v>565</v>
      </c>
      <c r="H10" s="35" t="s">
        <v>269</v>
      </c>
      <c r="I10" s="35" t="s">
        <v>269</v>
      </c>
      <c r="J10" s="35" t="s">
        <v>269</v>
      </c>
      <c r="K10" s="35" t="s">
        <v>269</v>
      </c>
      <c r="L10" s="35" t="s">
        <v>269</v>
      </c>
      <c r="M10" s="35" t="s">
        <v>269</v>
      </c>
      <c r="N10" s="35" t="s">
        <v>269</v>
      </c>
      <c r="O10" s="35" t="s">
        <v>269</v>
      </c>
      <c r="P10" s="35" t="s">
        <v>269</v>
      </c>
      <c r="Q10" s="35" t="s">
        <v>269</v>
      </c>
      <c r="R10" s="35" t="s">
        <v>269</v>
      </c>
      <c r="S10" s="35" t="s">
        <v>269</v>
      </c>
      <c r="T10" s="35" t="s">
        <v>269</v>
      </c>
      <c r="U10" s="35" t="s">
        <v>269</v>
      </c>
      <c r="V10" s="35" t="s">
        <v>269</v>
      </c>
      <c r="W10" s="35" t="s">
        <v>269</v>
      </c>
      <c r="X10" s="35" t="s">
        <v>269</v>
      </c>
      <c r="Y10" s="35" t="s">
        <v>269</v>
      </c>
      <c r="Z10" s="35" t="s">
        <v>464</v>
      </c>
      <c r="AA10" s="35" t="s">
        <v>565</v>
      </c>
      <c r="AB10" s="35" t="s">
        <v>269</v>
      </c>
      <c r="AC10" s="35" t="s">
        <v>464</v>
      </c>
      <c r="AD10" s="35" t="s">
        <v>464</v>
      </c>
      <c r="AE10" s="35" t="s">
        <v>464</v>
      </c>
      <c r="AF10" s="35" t="s">
        <v>464</v>
      </c>
      <c r="AG10" s="35" t="s">
        <v>269</v>
      </c>
      <c r="AH10" s="35" t="s">
        <v>464</v>
      </c>
      <c r="AI10" s="35" t="s">
        <v>269</v>
      </c>
      <c r="AJ10" s="35" t="s">
        <v>269</v>
      </c>
      <c r="AK10" s="35" t="s">
        <v>269</v>
      </c>
      <c r="AL10" s="35" t="s">
        <v>269</v>
      </c>
      <c r="AM10" s="35" t="s">
        <v>464</v>
      </c>
      <c r="AN10" s="35" t="s">
        <v>464</v>
      </c>
      <c r="AO10" s="35" t="s">
        <v>464</v>
      </c>
      <c r="AP10" s="35" t="s">
        <v>269</v>
      </c>
      <c r="AQ10" s="35" t="s">
        <v>464</v>
      </c>
      <c r="AR10" s="35" t="s">
        <v>269</v>
      </c>
      <c r="AS10" s="35" t="s">
        <v>464</v>
      </c>
      <c r="AT10" s="35" t="s">
        <v>464</v>
      </c>
      <c r="AU10" s="35" t="s">
        <v>464</v>
      </c>
      <c r="AV10" s="35" t="s">
        <v>464</v>
      </c>
      <c r="AW10" s="35" t="s">
        <v>464</v>
      </c>
      <c r="AX10" s="35" t="s">
        <v>464</v>
      </c>
      <c r="AY10" s="35" t="s">
        <v>464</v>
      </c>
      <c r="AZ10" s="239" t="s">
        <v>464</v>
      </c>
      <c r="BA10" s="35" t="s">
        <v>464</v>
      </c>
      <c r="BB10" s="35" t="s">
        <v>464</v>
      </c>
      <c r="BC10" s="35" t="s">
        <v>464</v>
      </c>
      <c r="BD10" s="35" t="s">
        <v>464</v>
      </c>
      <c r="BE10" s="35" t="s">
        <v>464</v>
      </c>
      <c r="BF10" s="35" t="s">
        <v>464</v>
      </c>
      <c r="BG10" s="35" t="s">
        <v>464</v>
      </c>
      <c r="BH10" s="300" t="s">
        <v>269</v>
      </c>
      <c r="BI10" s="300" t="s">
        <v>464</v>
      </c>
      <c r="BJ10" s="35" t="s">
        <v>269</v>
      </c>
      <c r="BK10" s="35" t="s">
        <v>269</v>
      </c>
      <c r="BL10" s="35" t="s">
        <v>464</v>
      </c>
      <c r="BM10" s="35" t="s">
        <v>464</v>
      </c>
      <c r="BN10" s="35" t="s">
        <v>565</v>
      </c>
      <c r="BO10" s="35" t="s">
        <v>464</v>
      </c>
      <c r="BP10" s="35" t="s">
        <v>464</v>
      </c>
      <c r="BQ10" s="35" t="s">
        <v>464</v>
      </c>
      <c r="BR10" s="35" t="s">
        <v>464</v>
      </c>
      <c r="BS10" s="35" t="s">
        <v>464</v>
      </c>
      <c r="BT10" s="35" t="s">
        <v>464</v>
      </c>
      <c r="BU10" s="35" t="s">
        <v>464</v>
      </c>
      <c r="BV10" s="35" t="s">
        <v>269</v>
      </c>
      <c r="BW10" s="35" t="s">
        <v>269</v>
      </c>
      <c r="BX10" s="35" t="s">
        <v>269</v>
      </c>
      <c r="BY10" s="35" t="s">
        <v>464</v>
      </c>
      <c r="BZ10" s="35" t="s">
        <v>464</v>
      </c>
      <c r="CA10" s="314" t="s">
        <v>464</v>
      </c>
      <c r="CB10" s="35" t="s">
        <v>464</v>
      </c>
      <c r="CC10" s="35" t="s">
        <v>464</v>
      </c>
      <c r="CD10" s="35" t="s">
        <v>464</v>
      </c>
      <c r="CE10" s="35" t="s">
        <v>464</v>
      </c>
      <c r="CF10" s="35" t="s">
        <v>464</v>
      </c>
      <c r="CG10" s="35" t="s">
        <v>269</v>
      </c>
      <c r="CH10" s="35" t="s">
        <v>269</v>
      </c>
      <c r="CI10" s="35" t="s">
        <v>565</v>
      </c>
      <c r="CJ10" s="35" t="s">
        <v>565</v>
      </c>
      <c r="CK10" s="35" t="s">
        <v>565</v>
      </c>
      <c r="CL10" s="35" t="s">
        <v>464</v>
      </c>
      <c r="CM10" s="35" t="s">
        <v>464</v>
      </c>
      <c r="CN10" s="35" t="s">
        <v>464</v>
      </c>
      <c r="CO10" s="35" t="s">
        <v>464</v>
      </c>
      <c r="CP10" s="35" t="s">
        <v>464</v>
      </c>
      <c r="CQ10" s="35" t="s">
        <v>464</v>
      </c>
      <c r="CR10" s="35" t="s">
        <v>464</v>
      </c>
      <c r="CS10" s="35" t="s">
        <v>464</v>
      </c>
      <c r="CT10" s="35" t="s">
        <v>464</v>
      </c>
      <c r="CU10" s="35" t="s">
        <v>464</v>
      </c>
      <c r="CV10" s="35" t="s">
        <v>464</v>
      </c>
      <c r="CW10" s="35" t="s">
        <v>464</v>
      </c>
      <c r="CX10" s="35" t="s">
        <v>464</v>
      </c>
      <c r="CY10" s="35" t="s">
        <v>464</v>
      </c>
      <c r="CZ10" s="35" t="s">
        <v>464</v>
      </c>
      <c r="DA10" s="35" t="s">
        <v>464</v>
      </c>
      <c r="DB10" s="239" t="s">
        <v>464</v>
      </c>
      <c r="DC10" s="239" t="s">
        <v>464</v>
      </c>
      <c r="DD10" s="239" t="s">
        <v>464</v>
      </c>
      <c r="DE10" s="35" t="s">
        <v>464</v>
      </c>
      <c r="DF10" s="35" t="s">
        <v>464</v>
      </c>
      <c r="DG10" s="35" t="s">
        <v>464</v>
      </c>
      <c r="DH10" s="35" t="s">
        <v>464</v>
      </c>
      <c r="DI10" s="35" t="s">
        <v>464</v>
      </c>
      <c r="DJ10" s="239" t="s">
        <v>464</v>
      </c>
      <c r="DK10" s="239" t="s">
        <v>464</v>
      </c>
      <c r="DL10" s="239" t="s">
        <v>464</v>
      </c>
      <c r="DM10" s="35" t="s">
        <v>464</v>
      </c>
      <c r="DN10" s="35" t="s">
        <v>464</v>
      </c>
      <c r="DO10" s="35" t="s">
        <v>464</v>
      </c>
      <c r="DP10" s="35" t="s">
        <v>464</v>
      </c>
      <c r="DQ10" s="73" t="s">
        <v>578</v>
      </c>
      <c r="DR10" s="73" t="s">
        <v>578</v>
      </c>
      <c r="DS10" s="73" t="s">
        <v>578</v>
      </c>
      <c r="DT10" s="73" t="s">
        <v>578</v>
      </c>
      <c r="DU10" s="73" t="s">
        <v>578</v>
      </c>
      <c r="DV10" s="73" t="s">
        <v>578</v>
      </c>
      <c r="DW10" s="73" t="s">
        <v>464</v>
      </c>
      <c r="DX10" s="73" t="s">
        <v>464</v>
      </c>
      <c r="DY10" s="73" t="s">
        <v>464</v>
      </c>
      <c r="DZ10" s="73" t="s">
        <v>464</v>
      </c>
      <c r="EA10" s="73" t="s">
        <v>464</v>
      </c>
      <c r="EB10" s="73" t="s">
        <v>464</v>
      </c>
      <c r="EC10" s="73" t="s">
        <v>464</v>
      </c>
      <c r="ED10" s="35" t="s">
        <v>269</v>
      </c>
      <c r="EE10" s="35" t="s">
        <v>269</v>
      </c>
      <c r="EF10" s="35" t="s">
        <v>449</v>
      </c>
      <c r="EG10" s="35" t="s">
        <v>464</v>
      </c>
      <c r="EH10" s="35" t="s">
        <v>449</v>
      </c>
      <c r="EI10" s="35" t="s">
        <v>449</v>
      </c>
      <c r="EJ10" s="35" t="s">
        <v>449</v>
      </c>
      <c r="EK10" s="35" t="s">
        <v>464</v>
      </c>
      <c r="EL10" s="35" t="s">
        <v>464</v>
      </c>
      <c r="EM10" s="35" t="s">
        <v>464</v>
      </c>
      <c r="EN10" s="35" t="s">
        <v>464</v>
      </c>
      <c r="EO10" s="35" t="s">
        <v>464</v>
      </c>
      <c r="EP10" s="35" t="s">
        <v>464</v>
      </c>
      <c r="EQ10" s="35" t="s">
        <v>464</v>
      </c>
      <c r="ER10" s="35" t="s">
        <v>464</v>
      </c>
      <c r="ES10" s="35" t="s">
        <v>464</v>
      </c>
      <c r="ET10" s="35" t="s">
        <v>464</v>
      </c>
      <c r="EU10" s="35" t="s">
        <v>464</v>
      </c>
      <c r="EV10" s="35" t="s">
        <v>464</v>
      </c>
      <c r="EW10" s="35" t="s">
        <v>464</v>
      </c>
      <c r="EX10" s="35" t="s">
        <v>464</v>
      </c>
      <c r="EY10" s="35" t="s">
        <v>464</v>
      </c>
      <c r="EZ10" s="35" t="s">
        <v>464</v>
      </c>
      <c r="FA10" s="35" t="s">
        <v>464</v>
      </c>
      <c r="FB10" s="35" t="s">
        <v>464</v>
      </c>
      <c r="FC10" s="35" t="s">
        <v>464</v>
      </c>
      <c r="FD10" s="35" t="s">
        <v>464</v>
      </c>
      <c r="FE10" s="35" t="s">
        <v>464</v>
      </c>
      <c r="FF10" s="35" t="s">
        <v>464</v>
      </c>
      <c r="FG10" s="35" t="s">
        <v>464</v>
      </c>
      <c r="FH10" s="35" t="s">
        <v>464</v>
      </c>
      <c r="FI10" s="35" t="s">
        <v>464</v>
      </c>
      <c r="FJ10" s="35" t="s">
        <v>464</v>
      </c>
      <c r="FK10" s="35" t="s">
        <v>464</v>
      </c>
      <c r="FL10" s="35" t="s">
        <v>464</v>
      </c>
      <c r="FM10" s="35" t="s">
        <v>464</v>
      </c>
      <c r="FN10" s="35" t="s">
        <v>464</v>
      </c>
      <c r="FO10" s="35" t="s">
        <v>464</v>
      </c>
      <c r="FP10" s="35" t="s">
        <v>464</v>
      </c>
      <c r="FQ10" s="35" t="s">
        <v>565</v>
      </c>
      <c r="FR10" s="35" t="s">
        <v>269</v>
      </c>
      <c r="FS10" s="35" t="s">
        <v>269</v>
      </c>
      <c r="FT10" s="35" t="s">
        <v>269</v>
      </c>
      <c r="FU10" s="35" t="s">
        <v>269</v>
      </c>
      <c r="FV10" s="35" t="s">
        <v>464</v>
      </c>
      <c r="FW10" s="35" t="s">
        <v>464</v>
      </c>
      <c r="FX10" s="35" t="s">
        <v>464</v>
      </c>
      <c r="FY10" s="35" t="s">
        <v>464</v>
      </c>
      <c r="FZ10" s="35" t="s">
        <v>464</v>
      </c>
      <c r="GA10" s="35" t="s">
        <v>464</v>
      </c>
      <c r="GB10" s="35" t="s">
        <v>464</v>
      </c>
      <c r="GC10" s="35" t="s">
        <v>464</v>
      </c>
      <c r="GD10" s="35" t="s">
        <v>464</v>
      </c>
      <c r="GE10" s="35" t="s">
        <v>464</v>
      </c>
      <c r="GF10" s="35" t="s">
        <v>464</v>
      </c>
      <c r="GG10" s="35" t="s">
        <v>464</v>
      </c>
      <c r="GH10" s="35" t="s">
        <v>464</v>
      </c>
      <c r="GI10" s="35" t="s">
        <v>464</v>
      </c>
      <c r="GJ10" s="35" t="s">
        <v>464</v>
      </c>
      <c r="GK10" s="35" t="s">
        <v>464</v>
      </c>
      <c r="GL10" s="35" t="s">
        <v>464</v>
      </c>
      <c r="GM10" s="35" t="s">
        <v>464</v>
      </c>
      <c r="GN10" s="35" t="s">
        <v>464</v>
      </c>
      <c r="GO10" s="35" t="s">
        <v>464</v>
      </c>
      <c r="GP10" s="35" t="s">
        <v>464</v>
      </c>
      <c r="GQ10" s="35" t="s">
        <v>464</v>
      </c>
    </row>
    <row r="11" spans="1:199" ht="14.25" thickTop="1" thickBot="1">
      <c r="A11" s="201" t="s">
        <v>99</v>
      </c>
      <c r="B11" s="61" t="s">
        <v>663</v>
      </c>
      <c r="C11" s="61" t="s">
        <v>519</v>
      </c>
      <c r="D11" s="83" t="s">
        <v>405</v>
      </c>
      <c r="E11" s="61" t="s">
        <v>306</v>
      </c>
      <c r="F11" s="133" t="s">
        <v>28</v>
      </c>
      <c r="G11" s="133" t="s">
        <v>67</v>
      </c>
      <c r="H11" s="83" t="s">
        <v>168</v>
      </c>
      <c r="I11" s="57" t="s">
        <v>314</v>
      </c>
      <c r="J11" s="57" t="s">
        <v>87</v>
      </c>
      <c r="K11" s="57" t="s">
        <v>230</v>
      </c>
      <c r="L11" s="57" t="s">
        <v>144</v>
      </c>
      <c r="M11" s="57" t="s">
        <v>434</v>
      </c>
      <c r="N11" s="57" t="s">
        <v>183</v>
      </c>
      <c r="O11" s="57" t="s">
        <v>302</v>
      </c>
      <c r="P11" s="57" t="s">
        <v>580</v>
      </c>
      <c r="Q11" s="57" t="s">
        <v>156</v>
      </c>
      <c r="R11" s="57" t="s">
        <v>303</v>
      </c>
      <c r="S11" s="57" t="s">
        <v>164</v>
      </c>
      <c r="T11" s="57" t="s">
        <v>408</v>
      </c>
      <c r="U11" s="57" t="s">
        <v>372</v>
      </c>
      <c r="V11" s="57" t="s">
        <v>105</v>
      </c>
      <c r="W11" s="57" t="s">
        <v>529</v>
      </c>
      <c r="X11" s="57" t="s">
        <v>478</v>
      </c>
      <c r="Y11" s="57" t="s">
        <v>439</v>
      </c>
      <c r="Z11" s="57" t="s">
        <v>75</v>
      </c>
      <c r="AA11" s="57" t="s">
        <v>675</v>
      </c>
      <c r="AB11" s="57" t="s">
        <v>111</v>
      </c>
      <c r="AC11" s="57" t="s">
        <v>293</v>
      </c>
      <c r="AD11" s="57" t="s">
        <v>312</v>
      </c>
      <c r="AE11" s="57" t="s">
        <v>416</v>
      </c>
      <c r="AF11" s="57" t="s">
        <v>430</v>
      </c>
      <c r="AG11" s="57" t="s">
        <v>438</v>
      </c>
      <c r="AH11" s="57" t="s">
        <v>705</v>
      </c>
      <c r="AI11" s="57" t="s">
        <v>15</v>
      </c>
      <c r="AJ11" s="57" t="s">
        <v>560</v>
      </c>
      <c r="AK11" s="57" t="s">
        <v>9</v>
      </c>
      <c r="AL11" s="57" t="s">
        <v>575</v>
      </c>
      <c r="AM11" s="57" t="s">
        <v>417</v>
      </c>
      <c r="AN11" s="57" t="s">
        <v>374</v>
      </c>
      <c r="AO11" s="57" t="s">
        <v>353</v>
      </c>
      <c r="AP11" s="57" t="s">
        <v>247</v>
      </c>
      <c r="AQ11" s="57" t="s">
        <v>497</v>
      </c>
      <c r="AR11" s="57" t="s">
        <v>402</v>
      </c>
      <c r="AS11" s="57" t="s">
        <v>447</v>
      </c>
      <c r="AT11" s="57" t="s">
        <v>452</v>
      </c>
      <c r="AU11" s="204" t="s">
        <v>119</v>
      </c>
      <c r="AV11" s="204" t="s">
        <v>589</v>
      </c>
      <c r="AW11" s="204" t="s">
        <v>64</v>
      </c>
      <c r="AX11" s="57" t="s">
        <v>480</v>
      </c>
      <c r="AY11" s="57" t="s">
        <v>548</v>
      </c>
      <c r="AZ11" s="204" t="s">
        <v>322</v>
      </c>
      <c r="BA11" s="204" t="s">
        <v>261</v>
      </c>
      <c r="BB11" s="204" t="s">
        <v>770</v>
      </c>
      <c r="BC11" s="204" t="s">
        <v>55</v>
      </c>
      <c r="BD11" s="57" t="s">
        <v>531</v>
      </c>
      <c r="BE11" s="204" t="s">
        <v>375</v>
      </c>
      <c r="BF11" s="204" t="s">
        <v>771</v>
      </c>
      <c r="BG11" s="204" t="s">
        <v>594</v>
      </c>
      <c r="BH11" s="301" t="s">
        <v>612</v>
      </c>
      <c r="BI11" s="301" t="s">
        <v>613</v>
      </c>
      <c r="BJ11" s="204" t="s">
        <v>574</v>
      </c>
      <c r="BK11" s="204" t="s">
        <v>359</v>
      </c>
      <c r="BL11" s="204" t="s">
        <v>93</v>
      </c>
      <c r="BM11" s="204" t="s">
        <v>199</v>
      </c>
      <c r="BN11" s="204" t="s">
        <v>252</v>
      </c>
      <c r="BO11" s="204" t="s">
        <v>152</v>
      </c>
      <c r="BP11" s="204" t="s">
        <v>556</v>
      </c>
      <c r="BQ11" s="204" t="s">
        <v>499</v>
      </c>
      <c r="BR11" s="204" t="s">
        <v>210</v>
      </c>
      <c r="BS11" s="204" t="s">
        <v>163</v>
      </c>
      <c r="BT11" s="204" t="s">
        <v>201</v>
      </c>
      <c r="BU11" s="204" t="s">
        <v>54</v>
      </c>
      <c r="BV11" s="204" t="s">
        <v>133</v>
      </c>
      <c r="BW11" s="204" t="s">
        <v>234</v>
      </c>
      <c r="BX11" s="204" t="s">
        <v>56</v>
      </c>
      <c r="BY11" s="204" t="s">
        <v>441</v>
      </c>
      <c r="BZ11" s="204" t="s">
        <v>108</v>
      </c>
      <c r="CA11" s="309" t="s">
        <v>666</v>
      </c>
      <c r="CB11" s="204" t="s">
        <v>668</v>
      </c>
      <c r="CC11" s="204" t="s">
        <v>670</v>
      </c>
      <c r="CD11" s="204" t="s">
        <v>657</v>
      </c>
      <c r="CE11" s="204" t="s">
        <v>658</v>
      </c>
      <c r="CF11" s="204" t="s">
        <v>659</v>
      </c>
      <c r="CG11" s="204" t="s">
        <v>332</v>
      </c>
      <c r="CH11" s="204" t="s">
        <v>361</v>
      </c>
      <c r="CI11" s="204" t="s">
        <v>522</v>
      </c>
      <c r="CJ11" s="204" t="s">
        <v>563</v>
      </c>
      <c r="CK11" s="204" t="s">
        <v>414</v>
      </c>
      <c r="CL11" s="204" t="s">
        <v>72</v>
      </c>
      <c r="CM11" s="204" t="s">
        <v>35</v>
      </c>
      <c r="CN11" s="204" t="s">
        <v>118</v>
      </c>
      <c r="CO11" s="204" t="s">
        <v>258</v>
      </c>
      <c r="CP11" s="204" t="s">
        <v>401</v>
      </c>
      <c r="CQ11" s="204" t="s">
        <v>283</v>
      </c>
      <c r="CR11" s="204" t="s">
        <v>66</v>
      </c>
      <c r="CS11" s="204" t="s">
        <v>577</v>
      </c>
      <c r="CT11" s="204" t="s">
        <v>725</v>
      </c>
      <c r="CU11" s="204" t="s">
        <v>376</v>
      </c>
      <c r="CV11" s="204" t="s">
        <v>506</v>
      </c>
      <c r="CW11" s="204" t="s">
        <v>708</v>
      </c>
      <c r="CX11" s="204" t="s">
        <v>324</v>
      </c>
      <c r="CY11" s="204" t="s">
        <v>518</v>
      </c>
      <c r="CZ11" s="204" t="s">
        <v>187</v>
      </c>
      <c r="DA11" s="204" t="s">
        <v>526</v>
      </c>
      <c r="DB11" s="147" t="s">
        <v>295</v>
      </c>
      <c r="DC11" s="147" t="s">
        <v>358</v>
      </c>
      <c r="DD11" s="147" t="s">
        <v>371</v>
      </c>
      <c r="DE11" s="172" t="s">
        <v>510</v>
      </c>
      <c r="DF11" s="204" t="s">
        <v>21</v>
      </c>
      <c r="DG11" s="172" t="s">
        <v>328</v>
      </c>
      <c r="DH11" s="172" t="s">
        <v>454</v>
      </c>
      <c r="DI11" s="172" t="s">
        <v>758</v>
      </c>
      <c r="DJ11" s="147" t="s">
        <v>687</v>
      </c>
      <c r="DK11" s="147" t="s">
        <v>688</v>
      </c>
      <c r="DL11" s="147" t="s">
        <v>266</v>
      </c>
      <c r="DM11" s="204" t="s">
        <v>259</v>
      </c>
      <c r="DN11" s="204" t="s">
        <v>550</v>
      </c>
      <c r="DO11" s="204" t="s">
        <v>400</v>
      </c>
      <c r="DP11" s="204" t="s">
        <v>508</v>
      </c>
      <c r="DQ11" s="2" t="s">
        <v>65</v>
      </c>
      <c r="DR11" s="2" t="s">
        <v>271</v>
      </c>
      <c r="DS11" s="2" t="s">
        <v>13</v>
      </c>
      <c r="DT11" s="2" t="s">
        <v>472</v>
      </c>
      <c r="DU11" s="2" t="s">
        <v>11</v>
      </c>
      <c r="DV11" s="2" t="s">
        <v>586</v>
      </c>
      <c r="DW11" s="2" t="s">
        <v>113</v>
      </c>
      <c r="DX11" s="2" t="s">
        <v>298</v>
      </c>
      <c r="DY11" s="2" t="s">
        <v>131</v>
      </c>
      <c r="DZ11" s="2" t="s">
        <v>458</v>
      </c>
      <c r="EA11" s="2" t="s">
        <v>444</v>
      </c>
      <c r="EB11" s="2" t="s">
        <v>14</v>
      </c>
      <c r="EC11" s="2" t="s">
        <v>172</v>
      </c>
      <c r="ED11" s="204" t="s">
        <v>679</v>
      </c>
      <c r="EE11" s="204" t="s">
        <v>253</v>
      </c>
      <c r="EF11" s="204" t="s">
        <v>672</v>
      </c>
      <c r="EG11" s="204" t="s">
        <v>724</v>
      </c>
      <c r="EH11" s="204" t="s">
        <v>716</v>
      </c>
      <c r="EI11" s="204" t="s">
        <v>0</v>
      </c>
      <c r="EJ11" s="204" t="s">
        <v>349</v>
      </c>
      <c r="EK11" s="172" t="s">
        <v>173</v>
      </c>
      <c r="EL11" s="172" t="s">
        <v>689</v>
      </c>
      <c r="EM11" s="172" t="s">
        <v>690</v>
      </c>
      <c r="EN11" s="172" t="s">
        <v>488</v>
      </c>
      <c r="EO11" s="172" t="s">
        <v>290</v>
      </c>
      <c r="EP11" s="172" t="s">
        <v>127</v>
      </c>
      <c r="EQ11" s="172" t="s">
        <v>561</v>
      </c>
      <c r="ER11" s="172" t="s">
        <v>195</v>
      </c>
      <c r="ES11" s="172" t="s">
        <v>19</v>
      </c>
      <c r="ET11" s="172" t="s">
        <v>413</v>
      </c>
      <c r="EU11" s="172" t="s">
        <v>572</v>
      </c>
      <c r="EV11" s="172" t="s">
        <v>363</v>
      </c>
      <c r="EW11" s="172" t="s">
        <v>323</v>
      </c>
      <c r="EX11" s="172" t="s">
        <v>208</v>
      </c>
      <c r="EY11" s="172" t="s">
        <v>567</v>
      </c>
      <c r="EZ11" s="204" t="s">
        <v>150</v>
      </c>
      <c r="FA11" s="172" t="s">
        <v>245</v>
      </c>
      <c r="FB11" s="172" t="s">
        <v>513</v>
      </c>
      <c r="FC11" s="172" t="s">
        <v>346</v>
      </c>
      <c r="FD11" s="172" t="s">
        <v>24</v>
      </c>
      <c r="FE11" s="172" t="s">
        <v>192</v>
      </c>
      <c r="FF11" s="172" t="s">
        <v>121</v>
      </c>
      <c r="FG11" s="172" t="s">
        <v>410</v>
      </c>
      <c r="FH11" s="172" t="s">
        <v>304</v>
      </c>
      <c r="FI11" s="172" t="s">
        <v>48</v>
      </c>
      <c r="FJ11" s="172" t="s">
        <v>509</v>
      </c>
      <c r="FK11" s="172" t="s">
        <v>393</v>
      </c>
      <c r="FL11" s="172" t="s">
        <v>500</v>
      </c>
      <c r="FM11" s="204" t="s">
        <v>576</v>
      </c>
      <c r="FN11" s="204" t="s">
        <v>126</v>
      </c>
      <c r="FO11" s="172" t="s">
        <v>537</v>
      </c>
      <c r="FP11" s="204" t="s">
        <v>492</v>
      </c>
      <c r="FQ11" s="204" t="s">
        <v>540</v>
      </c>
      <c r="FR11" s="204" t="s">
        <v>202</v>
      </c>
      <c r="FS11" s="204" t="s">
        <v>330</v>
      </c>
      <c r="FT11" s="204" t="s">
        <v>720</v>
      </c>
      <c r="FU11" s="204" t="s">
        <v>721</v>
      </c>
      <c r="FV11" s="204" t="s">
        <v>723</v>
      </c>
      <c r="FW11" s="204" t="s">
        <v>273</v>
      </c>
      <c r="FX11" s="204" t="s">
        <v>418</v>
      </c>
      <c r="FY11" s="204" t="s">
        <v>255</v>
      </c>
      <c r="FZ11" s="204" t="s">
        <v>474</v>
      </c>
      <c r="GA11" s="204" t="s">
        <v>51</v>
      </c>
      <c r="GB11" s="57" t="s">
        <v>287</v>
      </c>
      <c r="GC11" s="204" t="s">
        <v>551</v>
      </c>
      <c r="GD11" s="57" t="s">
        <v>585</v>
      </c>
      <c r="GE11" s="204" t="s">
        <v>112</v>
      </c>
      <c r="GF11" s="204" t="s">
        <v>368</v>
      </c>
      <c r="GG11" s="204" t="s">
        <v>186</v>
      </c>
      <c r="GH11" s="204" t="s">
        <v>350</v>
      </c>
      <c r="GI11" s="204" t="s">
        <v>181</v>
      </c>
      <c r="GJ11" s="204" t="s">
        <v>426</v>
      </c>
      <c r="GK11" s="204" t="s">
        <v>96</v>
      </c>
      <c r="GL11" s="204" t="s">
        <v>599</v>
      </c>
      <c r="GM11" s="204" t="s">
        <v>601</v>
      </c>
      <c r="GN11" s="204" t="s">
        <v>602</v>
      </c>
      <c r="GO11" s="204" t="s">
        <v>603</v>
      </c>
      <c r="GP11" s="204" t="s">
        <v>604</v>
      </c>
      <c r="GQ11" s="204" t="s">
        <v>605</v>
      </c>
    </row>
    <row r="12" spans="1:199" ht="14.25" thickTop="1" thickBot="1">
      <c r="A12" s="201" t="s">
        <v>664</v>
      </c>
      <c r="B12" s="35" t="s">
        <v>269</v>
      </c>
      <c r="C12" s="35" t="s">
        <v>269</v>
      </c>
      <c r="D12" s="35" t="s">
        <v>269</v>
      </c>
      <c r="E12" s="35" t="s">
        <v>269</v>
      </c>
      <c r="F12" s="73" t="s">
        <v>449</v>
      </c>
      <c r="G12" s="73" t="s">
        <v>565</v>
      </c>
      <c r="H12" s="35" t="s">
        <v>269</v>
      </c>
      <c r="I12" s="35" t="s">
        <v>269</v>
      </c>
      <c r="J12" s="35" t="s">
        <v>269</v>
      </c>
      <c r="K12" s="35" t="s">
        <v>269</v>
      </c>
      <c r="L12" s="35" t="s">
        <v>269</v>
      </c>
      <c r="M12" s="35" t="s">
        <v>269</v>
      </c>
      <c r="N12" s="35" t="s">
        <v>269</v>
      </c>
      <c r="O12" s="35" t="s">
        <v>269</v>
      </c>
      <c r="P12" s="35" t="s">
        <v>269</v>
      </c>
      <c r="Q12" s="35" t="s">
        <v>269</v>
      </c>
      <c r="R12" s="35" t="s">
        <v>269</v>
      </c>
      <c r="S12" s="35" t="s">
        <v>269</v>
      </c>
      <c r="T12" s="35" t="s">
        <v>269</v>
      </c>
      <c r="U12" s="35" t="s">
        <v>269</v>
      </c>
      <c r="V12" s="35" t="s">
        <v>449</v>
      </c>
      <c r="W12" s="35" t="s">
        <v>269</v>
      </c>
      <c r="X12" s="35" t="s">
        <v>269</v>
      </c>
      <c r="Y12" s="35" t="s">
        <v>269</v>
      </c>
      <c r="Z12" s="35" t="s">
        <v>449</v>
      </c>
      <c r="AA12" s="35" t="s">
        <v>565</v>
      </c>
      <c r="AB12" s="35" t="s">
        <v>269</v>
      </c>
      <c r="AC12" s="35" t="s">
        <v>269</v>
      </c>
      <c r="AD12" s="35" t="s">
        <v>269</v>
      </c>
      <c r="AE12" s="35" t="s">
        <v>269</v>
      </c>
      <c r="AF12" s="35" t="s">
        <v>269</v>
      </c>
      <c r="AG12" s="35" t="s">
        <v>269</v>
      </c>
      <c r="AH12" s="35" t="s">
        <v>269</v>
      </c>
      <c r="AI12" s="35" t="s">
        <v>269</v>
      </c>
      <c r="AJ12" s="35" t="s">
        <v>269</v>
      </c>
      <c r="AK12" s="35" t="s">
        <v>269</v>
      </c>
      <c r="AL12" s="35" t="s">
        <v>269</v>
      </c>
      <c r="AM12" s="35" t="s">
        <v>464</v>
      </c>
      <c r="AN12" s="35" t="s">
        <v>464</v>
      </c>
      <c r="AO12" s="35" t="s">
        <v>269</v>
      </c>
      <c r="AP12" s="35" t="s">
        <v>269</v>
      </c>
      <c r="AQ12" s="35" t="s">
        <v>269</v>
      </c>
      <c r="AR12" s="35" t="s">
        <v>269</v>
      </c>
      <c r="AS12" s="35" t="s">
        <v>269</v>
      </c>
      <c r="AT12" s="35" t="s">
        <v>269</v>
      </c>
      <c r="AU12" s="35" t="s">
        <v>269</v>
      </c>
      <c r="AV12" s="35" t="s">
        <v>269</v>
      </c>
      <c r="AW12" s="35" t="s">
        <v>269</v>
      </c>
      <c r="AX12" s="35" t="s">
        <v>269</v>
      </c>
      <c r="AY12" s="35" t="s">
        <v>449</v>
      </c>
      <c r="AZ12" s="239" t="s">
        <v>269</v>
      </c>
      <c r="BA12" s="35" t="s">
        <v>269</v>
      </c>
      <c r="BB12" s="35" t="s">
        <v>269</v>
      </c>
      <c r="BC12" s="35" t="s">
        <v>269</v>
      </c>
      <c r="BD12" s="35" t="s">
        <v>269</v>
      </c>
      <c r="BE12" s="35" t="s">
        <v>269</v>
      </c>
      <c r="BF12" s="35" t="s">
        <v>269</v>
      </c>
      <c r="BG12" s="35" t="s">
        <v>269</v>
      </c>
      <c r="BH12" s="300" t="s">
        <v>269</v>
      </c>
      <c r="BI12" s="300" t="s">
        <v>269</v>
      </c>
      <c r="BJ12" s="35" t="s">
        <v>269</v>
      </c>
      <c r="BK12" s="35" t="s">
        <v>269</v>
      </c>
      <c r="BL12" s="35" t="s">
        <v>269</v>
      </c>
      <c r="BM12" s="35" t="s">
        <v>269</v>
      </c>
      <c r="BN12" s="35" t="s">
        <v>269</v>
      </c>
      <c r="BO12" s="35" t="s">
        <v>449</v>
      </c>
      <c r="BP12" s="35" t="s">
        <v>269</v>
      </c>
      <c r="BQ12" s="35" t="s">
        <v>269</v>
      </c>
      <c r="BR12" s="35" t="s">
        <v>269</v>
      </c>
      <c r="BS12" s="35" t="s">
        <v>269</v>
      </c>
      <c r="BT12" s="35" t="s">
        <v>269</v>
      </c>
      <c r="BU12" s="35" t="s">
        <v>269</v>
      </c>
      <c r="BV12" s="35"/>
      <c r="BW12" s="35"/>
      <c r="BX12" s="35"/>
      <c r="BY12" s="35"/>
      <c r="BZ12" s="35"/>
      <c r="CA12" s="314"/>
      <c r="CB12" s="35"/>
      <c r="CC12" s="35"/>
      <c r="CD12" s="35"/>
      <c r="CE12" s="35"/>
      <c r="CF12" s="35"/>
      <c r="CG12" s="35" t="s">
        <v>269</v>
      </c>
      <c r="CH12" s="35" t="s">
        <v>269</v>
      </c>
      <c r="CI12" s="35" t="s">
        <v>269</v>
      </c>
      <c r="CJ12" s="35" t="s">
        <v>269</v>
      </c>
      <c r="CK12" s="35" t="s">
        <v>269</v>
      </c>
      <c r="CL12" s="35" t="s">
        <v>269</v>
      </c>
      <c r="CM12" s="35" t="s">
        <v>269</v>
      </c>
      <c r="CN12" s="35" t="s">
        <v>449</v>
      </c>
      <c r="CO12" s="35" t="s">
        <v>449</v>
      </c>
      <c r="CP12" s="35" t="s">
        <v>449</v>
      </c>
      <c r="CQ12" s="35" t="s">
        <v>449</v>
      </c>
      <c r="CR12" s="35" t="s">
        <v>449</v>
      </c>
      <c r="CS12" s="35" t="s">
        <v>449</v>
      </c>
      <c r="CT12" s="35" t="s">
        <v>449</v>
      </c>
      <c r="CU12" s="35" t="s">
        <v>449</v>
      </c>
      <c r="CV12" s="35" t="s">
        <v>449</v>
      </c>
      <c r="CW12" s="35" t="s">
        <v>449</v>
      </c>
      <c r="CX12" s="35" t="s">
        <v>449</v>
      </c>
      <c r="CY12" s="35" t="s">
        <v>449</v>
      </c>
      <c r="CZ12" s="35" t="s">
        <v>449</v>
      </c>
      <c r="DA12" s="35" t="s">
        <v>449</v>
      </c>
      <c r="DB12" s="35" t="s">
        <v>449</v>
      </c>
      <c r="DC12" s="35" t="s">
        <v>449</v>
      </c>
      <c r="DD12" s="239" t="s">
        <v>449</v>
      </c>
      <c r="DE12" s="35"/>
      <c r="DF12" s="35"/>
      <c r="DG12" s="35" t="s">
        <v>269</v>
      </c>
      <c r="DH12" s="35" t="s">
        <v>269</v>
      </c>
      <c r="DI12" s="35" t="s">
        <v>464</v>
      </c>
      <c r="DJ12" s="239" t="s">
        <v>449</v>
      </c>
      <c r="DK12" s="239" t="s">
        <v>269</v>
      </c>
      <c r="DL12" s="239" t="s">
        <v>449</v>
      </c>
      <c r="DM12" s="35" t="s">
        <v>449</v>
      </c>
      <c r="DN12" s="35" t="s">
        <v>464</v>
      </c>
      <c r="DO12" s="35"/>
      <c r="DP12" s="35"/>
      <c r="DQ12" s="73"/>
      <c r="DR12" s="73"/>
      <c r="DS12" s="73"/>
      <c r="DT12" s="73"/>
      <c r="DU12" s="73"/>
      <c r="DV12" s="73"/>
      <c r="DW12" s="73"/>
      <c r="DX12" s="73"/>
      <c r="DY12" s="73"/>
      <c r="DZ12" s="73"/>
      <c r="EA12" s="73"/>
      <c r="EB12" s="73"/>
      <c r="EC12" s="73"/>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c r="FB12" s="35"/>
      <c r="FC12" s="35"/>
      <c r="FD12" s="35"/>
      <c r="FE12" s="35"/>
      <c r="FF12" s="35"/>
      <c r="FG12" s="35"/>
      <c r="FH12" s="35"/>
      <c r="FI12" s="35"/>
      <c r="FJ12" s="35"/>
      <c r="FK12" s="35"/>
      <c r="FL12" s="35"/>
      <c r="FM12" s="35"/>
      <c r="FN12" s="35"/>
      <c r="FO12" s="35"/>
      <c r="FP12" s="35"/>
      <c r="FQ12" s="35"/>
      <c r="FR12" s="35" t="s">
        <v>464</v>
      </c>
      <c r="FS12" s="35" t="s">
        <v>464</v>
      </c>
      <c r="FT12" s="35"/>
      <c r="FU12" s="35"/>
      <c r="FV12" s="35"/>
      <c r="FW12" s="35"/>
      <c r="FX12" s="35"/>
      <c r="FY12" s="35"/>
      <c r="FZ12" s="35"/>
      <c r="GA12" s="35" t="s">
        <v>269</v>
      </c>
      <c r="GB12" s="35" t="s">
        <v>269</v>
      </c>
      <c r="GC12" s="35" t="s">
        <v>269</v>
      </c>
      <c r="GD12" s="35" t="s">
        <v>269</v>
      </c>
      <c r="GE12" s="35"/>
      <c r="GF12" s="35"/>
      <c r="GG12" s="35"/>
      <c r="GH12" s="35"/>
      <c r="GI12" s="35"/>
      <c r="GJ12" s="35"/>
      <c r="GK12" s="35"/>
      <c r="GL12" s="35"/>
      <c r="GM12" s="35"/>
      <c r="GN12" s="35"/>
      <c r="GO12" s="35"/>
      <c r="GP12" s="35"/>
      <c r="GQ12" s="35"/>
    </row>
    <row r="13" spans="1:199" ht="14.25" thickTop="1" thickBot="1">
      <c r="A13" s="201" t="s">
        <v>665</v>
      </c>
      <c r="B13" s="61" t="s">
        <v>663</v>
      </c>
      <c r="C13" s="61" t="s">
        <v>519</v>
      </c>
      <c r="D13" s="83" t="s">
        <v>405</v>
      </c>
      <c r="E13" s="61" t="s">
        <v>306</v>
      </c>
      <c r="F13" s="133" t="s">
        <v>28</v>
      </c>
      <c r="G13" s="133" t="s">
        <v>67</v>
      </c>
      <c r="H13" s="83" t="s">
        <v>168</v>
      </c>
      <c r="I13" s="57" t="s">
        <v>314</v>
      </c>
      <c r="J13" s="57" t="s">
        <v>87</v>
      </c>
      <c r="K13" s="57" t="s">
        <v>230</v>
      </c>
      <c r="L13" s="57" t="s">
        <v>144</v>
      </c>
      <c r="M13" s="57" t="s">
        <v>434</v>
      </c>
      <c r="N13" s="57" t="s">
        <v>183</v>
      </c>
      <c r="O13" s="57" t="s">
        <v>302</v>
      </c>
      <c r="P13" s="57" t="s">
        <v>580</v>
      </c>
      <c r="Q13" s="57" t="s">
        <v>156</v>
      </c>
      <c r="R13" s="57" t="s">
        <v>303</v>
      </c>
      <c r="S13" s="57" t="s">
        <v>164</v>
      </c>
      <c r="T13" s="57" t="s">
        <v>408</v>
      </c>
      <c r="U13" s="57" t="s">
        <v>372</v>
      </c>
      <c r="V13" s="57" t="s">
        <v>105</v>
      </c>
      <c r="W13" s="57" t="s">
        <v>529</v>
      </c>
      <c r="X13" s="57" t="s">
        <v>478</v>
      </c>
      <c r="Y13" s="57" t="s">
        <v>439</v>
      </c>
      <c r="Z13" s="57" t="s">
        <v>75</v>
      </c>
      <c r="AA13" s="57" t="s">
        <v>675</v>
      </c>
      <c r="AB13" s="57" t="s">
        <v>111</v>
      </c>
      <c r="AC13" s="57" t="s">
        <v>293</v>
      </c>
      <c r="AD13" s="57" t="s">
        <v>312</v>
      </c>
      <c r="AE13" s="57" t="s">
        <v>416</v>
      </c>
      <c r="AF13" s="57" t="s">
        <v>430</v>
      </c>
      <c r="AG13" s="57" t="s">
        <v>438</v>
      </c>
      <c r="AH13" s="57" t="s">
        <v>705</v>
      </c>
      <c r="AI13" s="57" t="s">
        <v>15</v>
      </c>
      <c r="AJ13" s="57" t="s">
        <v>560</v>
      </c>
      <c r="AK13" s="57" t="s">
        <v>9</v>
      </c>
      <c r="AL13" s="57" t="s">
        <v>575</v>
      </c>
      <c r="AM13" s="57" t="s">
        <v>417</v>
      </c>
      <c r="AN13" s="57" t="s">
        <v>374</v>
      </c>
      <c r="AO13" s="57" t="s">
        <v>353</v>
      </c>
      <c r="AP13" s="57" t="s">
        <v>247</v>
      </c>
      <c r="AQ13" s="57" t="s">
        <v>497</v>
      </c>
      <c r="AR13" s="57" t="s">
        <v>402</v>
      </c>
      <c r="AS13" s="57" t="s">
        <v>447</v>
      </c>
      <c r="AT13" s="57" t="s">
        <v>452</v>
      </c>
      <c r="AU13" s="204" t="s">
        <v>119</v>
      </c>
      <c r="AV13" s="204" t="s">
        <v>589</v>
      </c>
      <c r="AW13" s="204" t="s">
        <v>64</v>
      </c>
      <c r="AX13" s="57" t="s">
        <v>480</v>
      </c>
      <c r="AY13" s="57" t="s">
        <v>548</v>
      </c>
      <c r="AZ13" s="204" t="s">
        <v>322</v>
      </c>
      <c r="BA13" s="204" t="s">
        <v>261</v>
      </c>
      <c r="BB13" s="204" t="s">
        <v>770</v>
      </c>
      <c r="BC13" s="204" t="s">
        <v>55</v>
      </c>
      <c r="BD13" s="57" t="s">
        <v>531</v>
      </c>
      <c r="BE13" s="204" t="s">
        <v>375</v>
      </c>
      <c r="BF13" s="204" t="s">
        <v>771</v>
      </c>
      <c r="BG13" s="204" t="s">
        <v>594</v>
      </c>
      <c r="BH13" s="301" t="s">
        <v>612</v>
      </c>
      <c r="BI13" s="301" t="s">
        <v>613</v>
      </c>
      <c r="BJ13" s="204" t="s">
        <v>574</v>
      </c>
      <c r="BK13" s="204" t="s">
        <v>359</v>
      </c>
      <c r="BL13" s="204" t="s">
        <v>93</v>
      </c>
      <c r="BM13" s="204" t="s">
        <v>199</v>
      </c>
      <c r="BN13" s="204" t="s">
        <v>252</v>
      </c>
      <c r="BO13" s="204" t="s">
        <v>152</v>
      </c>
      <c r="BP13" s="204" t="s">
        <v>556</v>
      </c>
      <c r="BQ13" s="204" t="s">
        <v>499</v>
      </c>
      <c r="BR13" s="204" t="s">
        <v>210</v>
      </c>
      <c r="BS13" s="204" t="s">
        <v>163</v>
      </c>
      <c r="BT13" s="204" t="s">
        <v>201</v>
      </c>
      <c r="BU13" s="204" t="s">
        <v>54</v>
      </c>
      <c r="BV13" s="204"/>
      <c r="BW13" s="204"/>
      <c r="BX13" s="204"/>
      <c r="BY13" s="204"/>
      <c r="BZ13" s="204"/>
      <c r="CA13" s="309"/>
      <c r="CB13" s="204"/>
      <c r="CC13" s="204"/>
      <c r="CD13" s="204"/>
      <c r="CE13" s="204"/>
      <c r="CF13" s="204"/>
      <c r="CG13" s="204" t="s">
        <v>332</v>
      </c>
      <c r="CH13" s="204" t="s">
        <v>361</v>
      </c>
      <c r="CI13" s="204" t="s">
        <v>666</v>
      </c>
      <c r="CJ13" s="204" t="s">
        <v>668</v>
      </c>
      <c r="CK13" s="204" t="s">
        <v>670</v>
      </c>
      <c r="CL13" s="204" t="s">
        <v>72</v>
      </c>
      <c r="CM13" s="204" t="s">
        <v>35</v>
      </c>
      <c r="CN13" s="204" t="s">
        <v>118</v>
      </c>
      <c r="CO13" s="204" t="s">
        <v>258</v>
      </c>
      <c r="CP13" s="204" t="s">
        <v>401</v>
      </c>
      <c r="CQ13" s="204" t="s">
        <v>283</v>
      </c>
      <c r="CR13" s="204" t="s">
        <v>66</v>
      </c>
      <c r="CS13" s="204" t="s">
        <v>577</v>
      </c>
      <c r="CT13" s="204" t="s">
        <v>725</v>
      </c>
      <c r="CU13" s="204" t="s">
        <v>376</v>
      </c>
      <c r="CV13" s="204" t="s">
        <v>506</v>
      </c>
      <c r="CW13" s="204" t="s">
        <v>708</v>
      </c>
      <c r="CX13" s="204" t="s">
        <v>324</v>
      </c>
      <c r="CY13" s="204" t="s">
        <v>518</v>
      </c>
      <c r="CZ13" s="204" t="s">
        <v>187</v>
      </c>
      <c r="DA13" s="204" t="s">
        <v>526</v>
      </c>
      <c r="DB13" s="147" t="s">
        <v>295</v>
      </c>
      <c r="DC13" s="147" t="s">
        <v>358</v>
      </c>
      <c r="DD13" s="147" t="s">
        <v>371</v>
      </c>
      <c r="DE13" s="172"/>
      <c r="DF13" s="204"/>
      <c r="DG13" s="172" t="s">
        <v>328</v>
      </c>
      <c r="DH13" s="172" t="s">
        <v>454</v>
      </c>
      <c r="DI13" s="172" t="s">
        <v>758</v>
      </c>
      <c r="DJ13" s="147" t="s">
        <v>687</v>
      </c>
      <c r="DK13" s="147" t="s">
        <v>688</v>
      </c>
      <c r="DL13" s="147" t="s">
        <v>266</v>
      </c>
      <c r="DM13" s="204" t="s">
        <v>259</v>
      </c>
      <c r="DN13" s="204" t="s">
        <v>728</v>
      </c>
      <c r="DO13" s="204"/>
      <c r="DP13" s="204"/>
      <c r="DQ13" s="2"/>
      <c r="DR13" s="2"/>
      <c r="DS13" s="2"/>
      <c r="DT13" s="2"/>
      <c r="DU13" s="2"/>
      <c r="DV13" s="2"/>
      <c r="DW13" s="2"/>
      <c r="DX13" s="2"/>
      <c r="DY13" s="2"/>
      <c r="DZ13" s="2"/>
      <c r="EA13" s="2"/>
      <c r="EB13" s="2"/>
      <c r="EC13" s="2"/>
      <c r="ED13" s="204"/>
      <c r="EE13" s="204"/>
      <c r="EF13" s="204"/>
      <c r="EG13" s="204"/>
      <c r="EH13" s="204"/>
      <c r="EI13" s="204"/>
      <c r="EJ13" s="204"/>
      <c r="EK13" s="172"/>
      <c r="EL13" s="172"/>
      <c r="EM13" s="172"/>
      <c r="EN13" s="172"/>
      <c r="EO13" s="172"/>
      <c r="EP13" s="172"/>
      <c r="EQ13" s="172"/>
      <c r="ER13" s="172"/>
      <c r="ES13" s="172"/>
      <c r="ET13" s="172"/>
      <c r="EU13" s="172"/>
      <c r="EV13" s="172"/>
      <c r="EW13" s="172"/>
      <c r="EX13" s="172"/>
      <c r="EY13" s="172"/>
      <c r="EZ13" s="204"/>
      <c r="FA13" s="172"/>
      <c r="FB13" s="172"/>
      <c r="FC13" s="172"/>
      <c r="FD13" s="172"/>
      <c r="FE13" s="172"/>
      <c r="FF13" s="172"/>
      <c r="FG13" s="172"/>
      <c r="FH13" s="172"/>
      <c r="FI13" s="172"/>
      <c r="FJ13" s="172"/>
      <c r="FK13" s="172"/>
      <c r="FL13" s="172"/>
      <c r="FM13" s="204"/>
      <c r="FN13" s="204"/>
      <c r="FO13" s="172"/>
      <c r="FP13" s="204"/>
      <c r="FQ13" s="204"/>
      <c r="FR13" s="204" t="s">
        <v>202</v>
      </c>
      <c r="FS13" s="204" t="s">
        <v>330</v>
      </c>
      <c r="FT13" s="204"/>
      <c r="FU13" s="204"/>
      <c r="FV13" s="204"/>
      <c r="FW13" s="204"/>
      <c r="FX13" s="204"/>
      <c r="FY13" s="204"/>
      <c r="FZ13" s="204"/>
      <c r="GA13" s="204" t="s">
        <v>51</v>
      </c>
      <c r="GB13" s="57" t="s">
        <v>287</v>
      </c>
      <c r="GC13" s="204" t="s">
        <v>551</v>
      </c>
      <c r="GD13" s="57" t="s">
        <v>585</v>
      </c>
      <c r="GE13" s="204"/>
      <c r="GF13" s="204"/>
      <c r="GG13" s="204"/>
      <c r="GH13" s="204"/>
      <c r="GI13" s="204"/>
      <c r="GJ13" s="204"/>
      <c r="GK13" s="204"/>
      <c r="GL13" s="204"/>
      <c r="GM13" s="204"/>
      <c r="GN13" s="204"/>
      <c r="GO13" s="204"/>
      <c r="GP13" s="204"/>
      <c r="GQ13" s="204"/>
    </row>
    <row r="14" spans="1:199" ht="14.25" thickTop="1" thickBot="1">
      <c r="A14" s="201" t="s">
        <v>104</v>
      </c>
      <c r="B14" s="35" t="s">
        <v>269</v>
      </c>
      <c r="C14" s="35" t="s">
        <v>269</v>
      </c>
      <c r="D14" s="35" t="s">
        <v>269</v>
      </c>
      <c r="E14" s="35" t="s">
        <v>269</v>
      </c>
      <c r="F14" s="73" t="s">
        <v>449</v>
      </c>
      <c r="G14" s="73" t="s">
        <v>565</v>
      </c>
      <c r="H14" s="35" t="s">
        <v>269</v>
      </c>
      <c r="I14" s="35" t="s">
        <v>269</v>
      </c>
      <c r="J14" s="35" t="s">
        <v>269</v>
      </c>
      <c r="K14" s="35" t="s">
        <v>269</v>
      </c>
      <c r="L14" s="35" t="s">
        <v>269</v>
      </c>
      <c r="M14" s="35" t="s">
        <v>269</v>
      </c>
      <c r="N14" s="35" t="s">
        <v>269</v>
      </c>
      <c r="O14" s="35" t="s">
        <v>269</v>
      </c>
      <c r="P14" s="35" t="s">
        <v>269</v>
      </c>
      <c r="Q14" s="35" t="s">
        <v>269</v>
      </c>
      <c r="R14" s="35" t="s">
        <v>269</v>
      </c>
      <c r="S14" s="35" t="s">
        <v>269</v>
      </c>
      <c r="T14" s="35" t="s">
        <v>269</v>
      </c>
      <c r="U14" s="35" t="s">
        <v>269</v>
      </c>
      <c r="V14" s="35" t="s">
        <v>269</v>
      </c>
      <c r="W14" s="35" t="s">
        <v>269</v>
      </c>
      <c r="X14" s="35" t="s">
        <v>269</v>
      </c>
      <c r="Y14" s="35" t="s">
        <v>269</v>
      </c>
      <c r="Z14" s="35" t="s">
        <v>269</v>
      </c>
      <c r="AA14" s="35" t="s">
        <v>565</v>
      </c>
      <c r="AB14" s="35" t="s">
        <v>269</v>
      </c>
      <c r="AC14" s="35" t="s">
        <v>269</v>
      </c>
      <c r="AD14" s="35" t="s">
        <v>269</v>
      </c>
      <c r="AE14" s="35" t="s">
        <v>269</v>
      </c>
      <c r="AF14" s="35" t="s">
        <v>269</v>
      </c>
      <c r="AG14" s="35" t="s">
        <v>269</v>
      </c>
      <c r="AH14" s="35" t="s">
        <v>269</v>
      </c>
      <c r="AI14" s="35" t="s">
        <v>269</v>
      </c>
      <c r="AJ14" s="35" t="s">
        <v>269</v>
      </c>
      <c r="AK14" s="35" t="s">
        <v>269</v>
      </c>
      <c r="AL14" s="35" t="s">
        <v>269</v>
      </c>
      <c r="AM14" s="35" t="s">
        <v>449</v>
      </c>
      <c r="AN14" s="35" t="s">
        <v>449</v>
      </c>
      <c r="AO14" s="35" t="s">
        <v>269</v>
      </c>
      <c r="AP14" s="35" t="s">
        <v>269</v>
      </c>
      <c r="AQ14" s="35" t="s">
        <v>269</v>
      </c>
      <c r="AR14" s="35" t="s">
        <v>269</v>
      </c>
      <c r="AS14" s="35" t="s">
        <v>269</v>
      </c>
      <c r="AT14" s="35" t="s">
        <v>269</v>
      </c>
      <c r="AU14" s="35" t="s">
        <v>269</v>
      </c>
      <c r="AV14" s="35" t="s">
        <v>269</v>
      </c>
      <c r="AW14" s="35" t="s">
        <v>269</v>
      </c>
      <c r="AX14" s="35" t="s">
        <v>269</v>
      </c>
      <c r="AY14" s="35" t="s">
        <v>269</v>
      </c>
      <c r="AZ14" s="35" t="s">
        <v>269</v>
      </c>
      <c r="BA14" s="35" t="s">
        <v>269</v>
      </c>
      <c r="BB14" s="35" t="s">
        <v>269</v>
      </c>
      <c r="BC14" s="35" t="s">
        <v>269</v>
      </c>
      <c r="BD14" s="35" t="s">
        <v>269</v>
      </c>
      <c r="BE14" s="35" t="s">
        <v>269</v>
      </c>
      <c r="BF14" s="35" t="s">
        <v>269</v>
      </c>
      <c r="BG14" s="35" t="s">
        <v>269</v>
      </c>
      <c r="BH14" s="300" t="s">
        <v>269</v>
      </c>
      <c r="BI14" s="300" t="s">
        <v>269</v>
      </c>
      <c r="BJ14" s="35" t="s">
        <v>269</v>
      </c>
      <c r="BK14" s="35" t="s">
        <v>269</v>
      </c>
      <c r="BL14" s="35" t="s">
        <v>269</v>
      </c>
      <c r="BM14" s="35" t="s">
        <v>269</v>
      </c>
      <c r="BN14" s="35" t="s">
        <v>269</v>
      </c>
      <c r="BO14" s="35" t="s">
        <v>269</v>
      </c>
      <c r="BP14" s="35" t="s">
        <v>269</v>
      </c>
      <c r="BQ14" s="35" t="s">
        <v>269</v>
      </c>
      <c r="BR14" s="35" t="s">
        <v>269</v>
      </c>
      <c r="BS14" s="35" t="s">
        <v>269</v>
      </c>
      <c r="BT14" s="35" t="s">
        <v>269</v>
      </c>
      <c r="BU14" s="35" t="s">
        <v>269</v>
      </c>
      <c r="BV14" s="35" t="s">
        <v>269</v>
      </c>
      <c r="BW14" s="35" t="s">
        <v>269</v>
      </c>
      <c r="BX14" s="35" t="s">
        <v>269</v>
      </c>
      <c r="BY14" s="35" t="s">
        <v>269</v>
      </c>
      <c r="BZ14" s="35" t="s">
        <v>269</v>
      </c>
      <c r="CA14" s="314" t="s">
        <v>269</v>
      </c>
      <c r="CB14" s="35" t="s">
        <v>269</v>
      </c>
      <c r="CC14" s="35" t="s">
        <v>269</v>
      </c>
      <c r="CD14" s="35" t="s">
        <v>269</v>
      </c>
      <c r="CE14" s="35" t="s">
        <v>269</v>
      </c>
      <c r="CF14" s="35" t="s">
        <v>269</v>
      </c>
      <c r="CG14" s="35" t="s">
        <v>269</v>
      </c>
      <c r="CH14" s="35" t="s">
        <v>269</v>
      </c>
      <c r="CI14" s="35" t="s">
        <v>449</v>
      </c>
      <c r="CJ14" s="35" t="s">
        <v>449</v>
      </c>
      <c r="CK14" s="35" t="s">
        <v>449</v>
      </c>
      <c r="CL14" s="35" t="s">
        <v>269</v>
      </c>
      <c r="CM14" s="35" t="s">
        <v>269</v>
      </c>
      <c r="CN14" s="35" t="s">
        <v>449</v>
      </c>
      <c r="CO14" s="35" t="s">
        <v>449</v>
      </c>
      <c r="CP14" s="35" t="s">
        <v>269</v>
      </c>
      <c r="CQ14" s="35" t="s">
        <v>464</v>
      </c>
      <c r="CR14" s="35" t="s">
        <v>464</v>
      </c>
      <c r="CS14" s="35" t="s">
        <v>449</v>
      </c>
      <c r="CT14" s="35" t="s">
        <v>464</v>
      </c>
      <c r="CU14" s="35" t="s">
        <v>449</v>
      </c>
      <c r="CV14" s="35" t="s">
        <v>464</v>
      </c>
      <c r="CW14" s="35" t="s">
        <v>269</v>
      </c>
      <c r="CX14" s="35" t="s">
        <v>464</v>
      </c>
      <c r="CY14" s="35" t="s">
        <v>464</v>
      </c>
      <c r="CZ14" s="35" t="s">
        <v>449</v>
      </c>
      <c r="DA14" s="35" t="s">
        <v>449</v>
      </c>
      <c r="DB14" s="239" t="s">
        <v>464</v>
      </c>
      <c r="DC14" s="239" t="s">
        <v>464</v>
      </c>
      <c r="DD14" s="239" t="s">
        <v>464</v>
      </c>
      <c r="DF14" s="35" t="s">
        <v>269</v>
      </c>
      <c r="DG14" s="35" t="s">
        <v>269</v>
      </c>
      <c r="DH14" s="35" t="s">
        <v>269</v>
      </c>
      <c r="DI14" s="35" t="s">
        <v>464</v>
      </c>
      <c r="DJ14" s="239" t="s">
        <v>464</v>
      </c>
      <c r="DK14" s="239" t="s">
        <v>269</v>
      </c>
      <c r="DL14" s="239" t="s">
        <v>464</v>
      </c>
      <c r="DM14" s="35" t="s">
        <v>464</v>
      </c>
      <c r="DN14" s="35" t="s">
        <v>464</v>
      </c>
      <c r="DO14" s="35" t="s">
        <v>464</v>
      </c>
      <c r="DP14" s="35" t="s">
        <v>464</v>
      </c>
      <c r="DQ14" s="99"/>
      <c r="DR14" s="99"/>
      <c r="DS14" s="99"/>
      <c r="DT14" s="99"/>
      <c r="DU14" s="99"/>
      <c r="DV14" s="99"/>
      <c r="DW14" s="99"/>
      <c r="DX14" s="99"/>
      <c r="DY14" s="99"/>
      <c r="DZ14" s="99"/>
      <c r="EA14" s="99"/>
      <c r="EB14" s="99"/>
      <c r="EC14" s="99"/>
      <c r="EI14" s="15"/>
      <c r="EJ14" s="15"/>
      <c r="EM14" s="35" t="s">
        <v>269</v>
      </c>
      <c r="FQ14" s="15"/>
      <c r="FT14" s="15"/>
      <c r="FU14" s="15"/>
      <c r="FV14" s="15"/>
      <c r="FX14" s="35" t="s">
        <v>269</v>
      </c>
      <c r="GA14" s="35" t="s">
        <v>269</v>
      </c>
      <c r="GB14" s="35" t="s">
        <v>269</v>
      </c>
      <c r="GC14" s="35" t="s">
        <v>269</v>
      </c>
      <c r="GD14" s="35" t="s">
        <v>269</v>
      </c>
      <c r="GL14" s="55"/>
      <c r="GM14" s="55"/>
      <c r="GN14" s="55"/>
      <c r="GO14" s="55"/>
      <c r="GP14" s="55"/>
      <c r="GQ14" s="55"/>
    </row>
    <row r="15" spans="1:199" ht="14.25" thickTop="1" thickBot="1">
      <c r="A15" s="201" t="s">
        <v>77</v>
      </c>
      <c r="B15" s="198" t="s">
        <v>663</v>
      </c>
      <c r="C15" s="198" t="s">
        <v>519</v>
      </c>
      <c r="D15" s="217" t="s">
        <v>405</v>
      </c>
      <c r="E15" s="198" t="s">
        <v>306</v>
      </c>
      <c r="F15" s="18" t="s">
        <v>28</v>
      </c>
      <c r="G15" s="133" t="s">
        <v>67</v>
      </c>
      <c r="H15" s="217" t="s">
        <v>168</v>
      </c>
      <c r="I15" s="196" t="s">
        <v>314</v>
      </c>
      <c r="J15" s="196" t="s">
        <v>87</v>
      </c>
      <c r="K15" s="196" t="s">
        <v>230</v>
      </c>
      <c r="L15" s="196" t="s">
        <v>144</v>
      </c>
      <c r="M15" s="196" t="s">
        <v>434</v>
      </c>
      <c r="N15" s="57" t="s">
        <v>183</v>
      </c>
      <c r="O15" s="57" t="s">
        <v>302</v>
      </c>
      <c r="P15" s="57" t="s">
        <v>580</v>
      </c>
      <c r="Q15" s="57" t="s">
        <v>156</v>
      </c>
      <c r="R15" s="57" t="s">
        <v>303</v>
      </c>
      <c r="S15" s="196" t="s">
        <v>164</v>
      </c>
      <c r="T15" s="196" t="s">
        <v>408</v>
      </c>
      <c r="U15" s="57" t="s">
        <v>372</v>
      </c>
      <c r="V15" s="196" t="s">
        <v>105</v>
      </c>
      <c r="W15" s="180" t="s">
        <v>529</v>
      </c>
      <c r="X15" s="180" t="s">
        <v>478</v>
      </c>
      <c r="Y15" s="180" t="s">
        <v>439</v>
      </c>
      <c r="Z15" s="180" t="s">
        <v>75</v>
      </c>
      <c r="AA15" s="57" t="s">
        <v>675</v>
      </c>
      <c r="AB15" s="196" t="s">
        <v>111</v>
      </c>
      <c r="AC15" s="196" t="s">
        <v>293</v>
      </c>
      <c r="AD15" s="196" t="s">
        <v>312</v>
      </c>
      <c r="AE15" s="196" t="s">
        <v>416</v>
      </c>
      <c r="AF15" s="196" t="s">
        <v>430</v>
      </c>
      <c r="AG15" s="196" t="s">
        <v>438</v>
      </c>
      <c r="AH15" s="57" t="s">
        <v>705</v>
      </c>
      <c r="AI15" s="196" t="s">
        <v>15</v>
      </c>
      <c r="AJ15" s="196" t="s">
        <v>560</v>
      </c>
      <c r="AK15" s="196" t="s">
        <v>9</v>
      </c>
      <c r="AL15" s="196" t="s">
        <v>575</v>
      </c>
      <c r="AM15" s="196" t="s">
        <v>274</v>
      </c>
      <c r="AN15" s="196" t="s">
        <v>388</v>
      </c>
      <c r="AO15" s="196" t="s">
        <v>353</v>
      </c>
      <c r="AP15" s="196" t="s">
        <v>247</v>
      </c>
      <c r="AQ15" s="196" t="s">
        <v>497</v>
      </c>
      <c r="AR15" s="196" t="s">
        <v>402</v>
      </c>
      <c r="AS15" s="196" t="s">
        <v>447</v>
      </c>
      <c r="AT15" s="196" t="s">
        <v>452</v>
      </c>
      <c r="AU15" s="226" t="s">
        <v>119</v>
      </c>
      <c r="AV15" s="226" t="s">
        <v>589</v>
      </c>
      <c r="AW15" s="226" t="s">
        <v>64</v>
      </c>
      <c r="AX15" s="196" t="s">
        <v>480</v>
      </c>
      <c r="AY15" s="196" t="s">
        <v>548</v>
      </c>
      <c r="AZ15" s="226" t="s">
        <v>322</v>
      </c>
      <c r="BA15" s="226" t="s">
        <v>261</v>
      </c>
      <c r="BB15" s="204" t="s">
        <v>770</v>
      </c>
      <c r="BC15" s="226" t="s">
        <v>55</v>
      </c>
      <c r="BD15" s="196" t="s">
        <v>531</v>
      </c>
      <c r="BE15" s="226" t="s">
        <v>375</v>
      </c>
      <c r="BF15" s="204" t="s">
        <v>771</v>
      </c>
      <c r="BG15" s="226" t="s">
        <v>594</v>
      </c>
      <c r="BH15" s="306" t="s">
        <v>612</v>
      </c>
      <c r="BI15" s="306" t="s">
        <v>613</v>
      </c>
      <c r="BJ15" s="226" t="s">
        <v>574</v>
      </c>
      <c r="BK15" s="204" t="s">
        <v>359</v>
      </c>
      <c r="BL15" s="226" t="s">
        <v>93</v>
      </c>
      <c r="BM15" s="226" t="s">
        <v>199</v>
      </c>
      <c r="BN15" s="226" t="s">
        <v>417</v>
      </c>
      <c r="BO15" s="226" t="s">
        <v>152</v>
      </c>
      <c r="BP15" s="204" t="s">
        <v>556</v>
      </c>
      <c r="BQ15" s="204" t="s">
        <v>499</v>
      </c>
      <c r="BR15" s="204" t="s">
        <v>210</v>
      </c>
      <c r="BS15" s="204" t="s">
        <v>163</v>
      </c>
      <c r="BT15" s="204" t="s">
        <v>201</v>
      </c>
      <c r="BU15" s="204" t="s">
        <v>54</v>
      </c>
      <c r="BV15" s="204" t="s">
        <v>133</v>
      </c>
      <c r="BW15" s="204" t="s">
        <v>234</v>
      </c>
      <c r="BX15" s="204" t="s">
        <v>56</v>
      </c>
      <c r="BY15" s="204" t="s">
        <v>441</v>
      </c>
      <c r="BZ15" s="204" t="s">
        <v>108</v>
      </c>
      <c r="CA15" s="309" t="s">
        <v>666</v>
      </c>
      <c r="CB15" s="204" t="s">
        <v>668</v>
      </c>
      <c r="CC15" s="204" t="s">
        <v>670</v>
      </c>
      <c r="CD15" s="204" t="s">
        <v>657</v>
      </c>
      <c r="CE15" s="204" t="s">
        <v>658</v>
      </c>
      <c r="CF15" s="204" t="s">
        <v>659</v>
      </c>
      <c r="CG15" s="204" t="s">
        <v>332</v>
      </c>
      <c r="CH15" s="204" t="s">
        <v>361</v>
      </c>
      <c r="CI15" s="204" t="s">
        <v>522</v>
      </c>
      <c r="CJ15" s="204" t="s">
        <v>563</v>
      </c>
      <c r="CK15" s="204" t="s">
        <v>414</v>
      </c>
      <c r="CL15" s="226" t="s">
        <v>72</v>
      </c>
      <c r="CM15" s="226" t="s">
        <v>35</v>
      </c>
      <c r="CN15" s="226" t="s">
        <v>122</v>
      </c>
      <c r="CO15" s="226" t="s">
        <v>137</v>
      </c>
      <c r="CP15" s="226" t="s">
        <v>374</v>
      </c>
      <c r="CQ15" s="226" t="s">
        <v>333</v>
      </c>
      <c r="CR15" s="226" t="s">
        <v>229</v>
      </c>
      <c r="CS15" s="226" t="s">
        <v>157</v>
      </c>
      <c r="CT15" s="204" t="s">
        <v>725</v>
      </c>
      <c r="CU15" s="226" t="s">
        <v>286</v>
      </c>
      <c r="CV15" s="30" t="s">
        <v>278</v>
      </c>
      <c r="CW15" s="204" t="s">
        <v>708</v>
      </c>
      <c r="CX15" s="226" t="s">
        <v>68</v>
      </c>
      <c r="CY15" s="226" t="s">
        <v>275</v>
      </c>
      <c r="CZ15" s="204" t="s">
        <v>300</v>
      </c>
      <c r="DA15" s="204" t="s">
        <v>320</v>
      </c>
      <c r="DB15" s="30" t="s">
        <v>36</v>
      </c>
      <c r="DC15" s="30" t="s">
        <v>516</v>
      </c>
      <c r="DD15" s="30" t="s">
        <v>579</v>
      </c>
      <c r="DF15" s="204" t="s">
        <v>21</v>
      </c>
      <c r="DG15" s="172" t="s">
        <v>328</v>
      </c>
      <c r="DH15" s="172" t="s">
        <v>454</v>
      </c>
      <c r="DI15" s="172" t="s">
        <v>758</v>
      </c>
      <c r="DJ15" s="30" t="s">
        <v>502</v>
      </c>
      <c r="DK15" s="30" t="s">
        <v>688</v>
      </c>
      <c r="DL15" s="30" t="s">
        <v>46</v>
      </c>
      <c r="DM15" s="30" t="s">
        <v>387</v>
      </c>
      <c r="DN15" s="30" t="s">
        <v>169</v>
      </c>
      <c r="DO15" s="204" t="s">
        <v>400</v>
      </c>
      <c r="DP15" s="204" t="s">
        <v>508</v>
      </c>
      <c r="DQ15" s="99"/>
      <c r="DR15" s="99"/>
      <c r="DS15" s="99"/>
      <c r="DT15" s="99"/>
      <c r="DU15" s="99"/>
      <c r="DV15" s="99"/>
      <c r="DW15" s="99"/>
      <c r="DX15" s="99"/>
      <c r="DY15" s="99"/>
      <c r="DZ15" s="99"/>
      <c r="EA15" s="99"/>
      <c r="EB15" s="99"/>
      <c r="EC15" s="99"/>
      <c r="EI15" s="15"/>
      <c r="EJ15" s="15"/>
      <c r="EM15" s="172" t="s">
        <v>690</v>
      </c>
      <c r="FQ15" s="15"/>
      <c r="FT15" s="15"/>
      <c r="FU15" s="15"/>
      <c r="FV15" s="15"/>
      <c r="FX15" s="204" t="s">
        <v>418</v>
      </c>
      <c r="GA15" s="226" t="s">
        <v>51</v>
      </c>
      <c r="GB15" s="196" t="s">
        <v>287</v>
      </c>
      <c r="GC15" s="226" t="s">
        <v>551</v>
      </c>
      <c r="GD15" s="196" t="s">
        <v>585</v>
      </c>
      <c r="GL15" s="15"/>
      <c r="GM15" s="15"/>
      <c r="GN15" s="15"/>
      <c r="GO15" s="15"/>
      <c r="GP15" s="15"/>
      <c r="GQ15" s="15"/>
    </row>
    <row r="16" spans="1:199" ht="14.25" thickTop="1" thickBot="1">
      <c r="A16" s="201" t="s">
        <v>530</v>
      </c>
      <c r="B16" s="35" t="s">
        <v>269</v>
      </c>
      <c r="C16" s="35" t="s">
        <v>269</v>
      </c>
      <c r="D16" s="35" t="s">
        <v>269</v>
      </c>
      <c r="E16" s="35" t="s">
        <v>269</v>
      </c>
      <c r="F16" s="73" t="s">
        <v>449</v>
      </c>
      <c r="G16" s="73" t="s">
        <v>565</v>
      </c>
      <c r="H16" s="35" t="s">
        <v>269</v>
      </c>
      <c r="I16" s="35" t="s">
        <v>269</v>
      </c>
      <c r="J16" s="35" t="s">
        <v>269</v>
      </c>
      <c r="K16" s="35" t="s">
        <v>269</v>
      </c>
      <c r="L16" s="35" t="s">
        <v>269</v>
      </c>
      <c r="M16" s="35" t="s">
        <v>269</v>
      </c>
      <c r="N16" s="35" t="s">
        <v>269</v>
      </c>
      <c r="O16" s="35" t="s">
        <v>269</v>
      </c>
      <c r="P16" s="35" t="s">
        <v>269</v>
      </c>
      <c r="Q16" s="35" t="s">
        <v>269</v>
      </c>
      <c r="R16" s="35" t="s">
        <v>269</v>
      </c>
      <c r="S16" s="35" t="s">
        <v>269</v>
      </c>
      <c r="T16" s="35" t="s">
        <v>269</v>
      </c>
      <c r="U16" s="35" t="s">
        <v>269</v>
      </c>
      <c r="V16" s="35" t="s">
        <v>269</v>
      </c>
      <c r="W16" s="35" t="s">
        <v>269</v>
      </c>
      <c r="X16" s="35" t="s">
        <v>269</v>
      </c>
      <c r="Y16" s="35" t="s">
        <v>269</v>
      </c>
      <c r="Z16" s="35" t="s">
        <v>269</v>
      </c>
      <c r="AA16" s="35" t="s">
        <v>565</v>
      </c>
      <c r="AB16" s="35" t="s">
        <v>269</v>
      </c>
      <c r="AC16" s="35" t="s">
        <v>269</v>
      </c>
      <c r="AD16" s="35" t="s">
        <v>269</v>
      </c>
      <c r="AE16" s="35" t="s">
        <v>269</v>
      </c>
      <c r="AF16" s="35" t="s">
        <v>269</v>
      </c>
      <c r="AG16" s="35" t="s">
        <v>269</v>
      </c>
      <c r="AH16" s="35" t="s">
        <v>269</v>
      </c>
      <c r="AI16" s="35" t="s">
        <v>269</v>
      </c>
      <c r="AJ16" s="35" t="s">
        <v>269</v>
      </c>
      <c r="AK16" s="35" t="s">
        <v>269</v>
      </c>
      <c r="AL16" s="35" t="s">
        <v>269</v>
      </c>
      <c r="AM16" s="35" t="s">
        <v>464</v>
      </c>
      <c r="AN16" s="35" t="s">
        <v>464</v>
      </c>
      <c r="AO16" s="35" t="s">
        <v>269</v>
      </c>
      <c r="AP16" s="35" t="s">
        <v>269</v>
      </c>
      <c r="AQ16" s="35" t="s">
        <v>269</v>
      </c>
      <c r="AR16" s="35" t="s">
        <v>269</v>
      </c>
      <c r="AS16" s="35" t="s">
        <v>269</v>
      </c>
      <c r="AT16" s="35" t="s">
        <v>269</v>
      </c>
      <c r="AU16" s="35" t="s">
        <v>269</v>
      </c>
      <c r="AV16" s="35" t="s">
        <v>269</v>
      </c>
      <c r="AW16" s="35" t="s">
        <v>269</v>
      </c>
      <c r="AX16" s="35" t="s">
        <v>269</v>
      </c>
      <c r="AY16" s="35" t="s">
        <v>269</v>
      </c>
      <c r="AZ16" s="35" t="s">
        <v>269</v>
      </c>
      <c r="BA16" s="35" t="s">
        <v>269</v>
      </c>
      <c r="BB16" s="35" t="s">
        <v>269</v>
      </c>
      <c r="BC16" s="35" t="s">
        <v>269</v>
      </c>
      <c r="BD16" s="35" t="s">
        <v>269</v>
      </c>
      <c r="BE16" s="35" t="s">
        <v>269</v>
      </c>
      <c r="BF16" s="35" t="s">
        <v>269</v>
      </c>
      <c r="BG16" s="35" t="s">
        <v>269</v>
      </c>
      <c r="BH16" s="300" t="s">
        <v>269</v>
      </c>
      <c r="BI16" s="300" t="s">
        <v>269</v>
      </c>
      <c r="BJ16" s="35" t="s">
        <v>269</v>
      </c>
      <c r="BK16" s="35" t="s">
        <v>269</v>
      </c>
      <c r="BL16" s="35" t="s">
        <v>269</v>
      </c>
      <c r="BM16" s="35" t="s">
        <v>269</v>
      </c>
      <c r="BN16" s="35" t="s">
        <v>269</v>
      </c>
      <c r="BO16" s="35" t="s">
        <v>269</v>
      </c>
      <c r="BP16" s="35" t="s">
        <v>269</v>
      </c>
      <c r="BQ16" s="35" t="s">
        <v>269</v>
      </c>
      <c r="BR16" s="35" t="s">
        <v>269</v>
      </c>
      <c r="BS16" s="35" t="s">
        <v>269</v>
      </c>
      <c r="BT16" s="35" t="s">
        <v>269</v>
      </c>
      <c r="BU16" s="35" t="s">
        <v>269</v>
      </c>
      <c r="BV16" s="35" t="s">
        <v>269</v>
      </c>
      <c r="BW16" s="35" t="s">
        <v>269</v>
      </c>
      <c r="BX16" s="35" t="s">
        <v>269</v>
      </c>
      <c r="BY16" s="35" t="s">
        <v>269</v>
      </c>
      <c r="BZ16" s="35" t="s">
        <v>269</v>
      </c>
      <c r="CA16" s="314" t="s">
        <v>269</v>
      </c>
      <c r="CB16" s="35" t="s">
        <v>269</v>
      </c>
      <c r="CC16" s="35" t="s">
        <v>269</v>
      </c>
      <c r="CD16" s="35" t="s">
        <v>269</v>
      </c>
      <c r="CE16" s="35" t="s">
        <v>269</v>
      </c>
      <c r="CF16" s="35" t="s">
        <v>269</v>
      </c>
      <c r="CG16" s="35" t="s">
        <v>269</v>
      </c>
      <c r="CH16" s="35" t="s">
        <v>269</v>
      </c>
      <c r="CI16" s="35" t="s">
        <v>449</v>
      </c>
      <c r="CJ16" s="35" t="s">
        <v>449</v>
      </c>
      <c r="CK16" s="35" t="s">
        <v>449</v>
      </c>
      <c r="CL16" s="35" t="s">
        <v>269</v>
      </c>
      <c r="CM16" s="35" t="s">
        <v>269</v>
      </c>
      <c r="CN16" s="35" t="s">
        <v>449</v>
      </c>
      <c r="CO16" s="35" t="s">
        <v>449</v>
      </c>
      <c r="CP16" s="35" t="s">
        <v>464</v>
      </c>
      <c r="CQ16" s="35" t="s">
        <v>464</v>
      </c>
      <c r="CR16" s="35" t="s">
        <v>464</v>
      </c>
      <c r="CS16" s="35" t="s">
        <v>464</v>
      </c>
      <c r="CT16" s="35" t="s">
        <v>269</v>
      </c>
      <c r="CU16" s="35" t="s">
        <v>464</v>
      </c>
      <c r="CV16" s="35" t="s">
        <v>464</v>
      </c>
      <c r="CW16" s="35" t="s">
        <v>269</v>
      </c>
      <c r="CX16" s="35" t="s">
        <v>464</v>
      </c>
      <c r="CY16" s="35" t="s">
        <v>464</v>
      </c>
      <c r="CZ16" s="35" t="s">
        <v>464</v>
      </c>
      <c r="DA16" s="35" t="s">
        <v>464</v>
      </c>
      <c r="DB16" s="239" t="s">
        <v>464</v>
      </c>
      <c r="DC16" s="239" t="s">
        <v>464</v>
      </c>
      <c r="DD16" s="239" t="s">
        <v>464</v>
      </c>
      <c r="DE16" s="15"/>
      <c r="DF16" s="35" t="s">
        <v>269</v>
      </c>
      <c r="DG16" s="35" t="s">
        <v>269</v>
      </c>
      <c r="DH16" s="35" t="s">
        <v>269</v>
      </c>
      <c r="DI16" s="35" t="s">
        <v>464</v>
      </c>
      <c r="DJ16" s="239" t="s">
        <v>464</v>
      </c>
      <c r="DK16" s="239" t="s">
        <v>269</v>
      </c>
      <c r="DL16" s="239" t="s">
        <v>464</v>
      </c>
      <c r="DM16" s="35" t="s">
        <v>464</v>
      </c>
      <c r="DN16" s="35" t="s">
        <v>464</v>
      </c>
      <c r="DO16" s="35" t="s">
        <v>464</v>
      </c>
      <c r="DP16" s="35" t="s">
        <v>464</v>
      </c>
      <c r="DQ16" s="99"/>
      <c r="DR16" s="99"/>
      <c r="DS16" s="99"/>
      <c r="DT16" s="99"/>
      <c r="DU16" s="99"/>
      <c r="DV16" s="99"/>
      <c r="DW16" s="99"/>
      <c r="DX16" s="99"/>
      <c r="DY16" s="99"/>
      <c r="DZ16" s="99"/>
      <c r="EA16" s="99"/>
      <c r="EB16" s="99"/>
      <c r="EC16" s="99"/>
      <c r="EI16" s="15"/>
      <c r="EJ16" s="15"/>
      <c r="EK16" s="15"/>
      <c r="EL16" s="15"/>
      <c r="EM16" s="15"/>
      <c r="EN16" s="15"/>
      <c r="EO16" s="15"/>
      <c r="EP16" s="15"/>
      <c r="EQ16" s="15"/>
      <c r="ER16" s="15"/>
      <c r="ES16" s="15"/>
      <c r="ET16" s="15"/>
      <c r="EU16" s="15"/>
      <c r="EV16" s="15"/>
      <c r="EW16" s="15"/>
      <c r="EX16" s="15"/>
      <c r="EY16" s="15"/>
      <c r="EZ16" s="138"/>
      <c r="FA16" s="15"/>
      <c r="FB16" s="15"/>
      <c r="FC16" s="15"/>
      <c r="FD16" s="15"/>
      <c r="FE16" s="15"/>
      <c r="FF16" s="15"/>
      <c r="FG16" s="15"/>
      <c r="FH16" s="15"/>
      <c r="FI16" s="15"/>
      <c r="FJ16" s="15"/>
      <c r="FK16" s="15"/>
      <c r="FL16" s="15"/>
      <c r="FO16" s="15"/>
      <c r="FP16" s="138"/>
      <c r="FQ16" s="138"/>
      <c r="FR16" s="55"/>
      <c r="FS16" s="55"/>
      <c r="FT16" s="138"/>
      <c r="FU16" s="138"/>
      <c r="FV16" s="138"/>
      <c r="FW16" s="55"/>
      <c r="FX16" s="35" t="s">
        <v>269</v>
      </c>
      <c r="FY16" s="55"/>
      <c r="FZ16" s="55"/>
      <c r="GA16" s="35" t="s">
        <v>269</v>
      </c>
      <c r="GB16" s="35" t="s">
        <v>269</v>
      </c>
      <c r="GC16" s="35" t="s">
        <v>449</v>
      </c>
      <c r="GD16" s="35" t="s">
        <v>269</v>
      </c>
      <c r="GE16" s="55"/>
      <c r="GF16" s="55"/>
      <c r="GG16" s="55"/>
      <c r="GH16" s="55"/>
      <c r="GI16" s="55"/>
      <c r="GJ16" s="55"/>
      <c r="GK16" s="55"/>
    </row>
    <row r="17" spans="1:199" ht="14.25" thickTop="1" thickBot="1">
      <c r="A17" s="201" t="s">
        <v>335</v>
      </c>
      <c r="B17" s="198" t="s">
        <v>663</v>
      </c>
      <c r="C17" s="198" t="s">
        <v>519</v>
      </c>
      <c r="D17" s="217" t="s">
        <v>405</v>
      </c>
      <c r="E17" s="198" t="s">
        <v>306</v>
      </c>
      <c r="F17" s="18" t="s">
        <v>28</v>
      </c>
      <c r="G17" s="133" t="s">
        <v>67</v>
      </c>
      <c r="H17" s="217" t="s">
        <v>168</v>
      </c>
      <c r="I17" s="196" t="s">
        <v>314</v>
      </c>
      <c r="J17" s="196" t="s">
        <v>87</v>
      </c>
      <c r="K17" s="196" t="s">
        <v>230</v>
      </c>
      <c r="L17" s="196" t="s">
        <v>144</v>
      </c>
      <c r="M17" s="196" t="s">
        <v>434</v>
      </c>
      <c r="N17" s="57" t="s">
        <v>183</v>
      </c>
      <c r="O17" s="57" t="s">
        <v>302</v>
      </c>
      <c r="P17" s="57" t="s">
        <v>580</v>
      </c>
      <c r="Q17" s="57" t="s">
        <v>156</v>
      </c>
      <c r="R17" s="57" t="s">
        <v>303</v>
      </c>
      <c r="S17" s="196" t="s">
        <v>164</v>
      </c>
      <c r="T17" s="196" t="s">
        <v>408</v>
      </c>
      <c r="U17" s="57" t="s">
        <v>372</v>
      </c>
      <c r="V17" s="196" t="s">
        <v>105</v>
      </c>
      <c r="W17" s="180" t="s">
        <v>529</v>
      </c>
      <c r="X17" s="180" t="s">
        <v>478</v>
      </c>
      <c r="Y17" s="180" t="s">
        <v>439</v>
      </c>
      <c r="Z17" s="180" t="s">
        <v>75</v>
      </c>
      <c r="AA17" s="57" t="s">
        <v>675</v>
      </c>
      <c r="AB17" s="196" t="s">
        <v>111</v>
      </c>
      <c r="AC17" s="196" t="s">
        <v>293</v>
      </c>
      <c r="AD17" s="196" t="s">
        <v>312</v>
      </c>
      <c r="AE17" s="196" t="s">
        <v>416</v>
      </c>
      <c r="AF17" s="196" t="s">
        <v>430</v>
      </c>
      <c r="AG17" s="196" t="s">
        <v>438</v>
      </c>
      <c r="AH17" s="57" t="s">
        <v>705</v>
      </c>
      <c r="AI17" s="196" t="s">
        <v>15</v>
      </c>
      <c r="AJ17" s="196" t="s">
        <v>560</v>
      </c>
      <c r="AK17" s="196" t="s">
        <v>9</v>
      </c>
      <c r="AL17" s="196" t="s">
        <v>575</v>
      </c>
      <c r="AM17" s="196" t="s">
        <v>417</v>
      </c>
      <c r="AN17" s="196" t="s">
        <v>374</v>
      </c>
      <c r="AO17" s="196" t="s">
        <v>353</v>
      </c>
      <c r="AP17" s="196" t="s">
        <v>247</v>
      </c>
      <c r="AQ17" s="196" t="s">
        <v>497</v>
      </c>
      <c r="AR17" s="196" t="s">
        <v>402</v>
      </c>
      <c r="AS17" s="196" t="s">
        <v>447</v>
      </c>
      <c r="AT17" s="196" t="s">
        <v>452</v>
      </c>
      <c r="AU17" s="226" t="s">
        <v>119</v>
      </c>
      <c r="AV17" s="226" t="s">
        <v>589</v>
      </c>
      <c r="AW17" s="226" t="s">
        <v>64</v>
      </c>
      <c r="AX17" s="196" t="s">
        <v>480</v>
      </c>
      <c r="AY17" s="196" t="s">
        <v>548</v>
      </c>
      <c r="AZ17" s="226" t="s">
        <v>322</v>
      </c>
      <c r="BA17" s="226" t="s">
        <v>261</v>
      </c>
      <c r="BB17" s="204" t="s">
        <v>770</v>
      </c>
      <c r="BC17" s="226" t="s">
        <v>55</v>
      </c>
      <c r="BD17" s="196" t="s">
        <v>531</v>
      </c>
      <c r="BE17" s="226" t="s">
        <v>375</v>
      </c>
      <c r="BF17" s="204" t="s">
        <v>771</v>
      </c>
      <c r="BG17" s="226" t="s">
        <v>594</v>
      </c>
      <c r="BH17" s="306" t="s">
        <v>612</v>
      </c>
      <c r="BI17" s="306" t="s">
        <v>613</v>
      </c>
      <c r="BJ17" s="226" t="s">
        <v>574</v>
      </c>
      <c r="BK17" s="204" t="s">
        <v>359</v>
      </c>
      <c r="BL17" s="226" t="s">
        <v>93</v>
      </c>
      <c r="BM17" s="226" t="s">
        <v>199</v>
      </c>
      <c r="BN17" s="226" t="s">
        <v>551</v>
      </c>
      <c r="BO17" s="226" t="s">
        <v>152</v>
      </c>
      <c r="BP17" s="204" t="s">
        <v>556</v>
      </c>
      <c r="BQ17" s="204" t="s">
        <v>499</v>
      </c>
      <c r="BR17" s="204" t="s">
        <v>210</v>
      </c>
      <c r="BS17" s="204" t="s">
        <v>163</v>
      </c>
      <c r="BT17" s="204" t="s">
        <v>201</v>
      </c>
      <c r="BU17" s="204" t="s">
        <v>54</v>
      </c>
      <c r="BV17" s="204" t="s">
        <v>133</v>
      </c>
      <c r="BW17" s="204" t="s">
        <v>234</v>
      </c>
      <c r="BX17" s="204" t="s">
        <v>56</v>
      </c>
      <c r="BY17" s="204" t="s">
        <v>441</v>
      </c>
      <c r="BZ17" s="204" t="s">
        <v>108</v>
      </c>
      <c r="CA17" s="309" t="s">
        <v>666</v>
      </c>
      <c r="CB17" s="204" t="s">
        <v>668</v>
      </c>
      <c r="CC17" s="204" t="s">
        <v>670</v>
      </c>
      <c r="CD17" s="204" t="s">
        <v>657</v>
      </c>
      <c r="CE17" s="204" t="s">
        <v>658</v>
      </c>
      <c r="CF17" s="204" t="s">
        <v>659</v>
      </c>
      <c r="CG17" s="204" t="s">
        <v>332</v>
      </c>
      <c r="CH17" s="204" t="s">
        <v>361</v>
      </c>
      <c r="CI17" s="204" t="s">
        <v>522</v>
      </c>
      <c r="CJ17" s="204" t="s">
        <v>563</v>
      </c>
      <c r="CK17" s="204" t="s">
        <v>414</v>
      </c>
      <c r="CL17" s="226" t="s">
        <v>72</v>
      </c>
      <c r="CM17" s="226" t="s">
        <v>35</v>
      </c>
      <c r="CN17" s="226" t="s">
        <v>110</v>
      </c>
      <c r="CO17" s="226" t="s">
        <v>122</v>
      </c>
      <c r="CP17" s="226" t="s">
        <v>397</v>
      </c>
      <c r="CQ17" s="226" t="s">
        <v>360</v>
      </c>
      <c r="CR17" s="226" t="s">
        <v>257</v>
      </c>
      <c r="CS17" s="226" t="s">
        <v>570</v>
      </c>
      <c r="CT17" s="204" t="s">
        <v>725</v>
      </c>
      <c r="CU17" s="226" t="s">
        <v>78</v>
      </c>
      <c r="CV17" s="30" t="s">
        <v>591</v>
      </c>
      <c r="CW17" s="204" t="s">
        <v>708</v>
      </c>
      <c r="CX17" s="226" t="s">
        <v>166</v>
      </c>
      <c r="CY17" s="226" t="s">
        <v>94</v>
      </c>
      <c r="CZ17" s="204" t="s">
        <v>515</v>
      </c>
      <c r="DA17" s="204" t="s">
        <v>206</v>
      </c>
      <c r="DB17" s="30" t="s">
        <v>288</v>
      </c>
      <c r="DC17" s="30" t="s">
        <v>337</v>
      </c>
      <c r="DD17" s="30" t="s">
        <v>366</v>
      </c>
      <c r="DE17" s="15"/>
      <c r="DF17" s="204" t="s">
        <v>21</v>
      </c>
      <c r="DG17" s="172" t="s">
        <v>328</v>
      </c>
      <c r="DH17" s="172" t="s">
        <v>454</v>
      </c>
      <c r="DI17" s="172" t="s">
        <v>758</v>
      </c>
      <c r="DJ17" s="30" t="s">
        <v>525</v>
      </c>
      <c r="DK17" s="30" t="s">
        <v>688</v>
      </c>
      <c r="DL17" s="30" t="s">
        <v>30</v>
      </c>
      <c r="DM17" s="30" t="s">
        <v>284</v>
      </c>
      <c r="DN17" s="30" t="s">
        <v>391</v>
      </c>
      <c r="DO17" s="204" t="s">
        <v>400</v>
      </c>
      <c r="DP17" s="204" t="s">
        <v>508</v>
      </c>
      <c r="DQ17" s="99"/>
      <c r="DR17" s="99"/>
      <c r="DS17" s="99"/>
      <c r="DT17" s="99"/>
      <c r="DU17" s="99"/>
      <c r="DV17" s="99"/>
      <c r="DW17" s="99"/>
      <c r="DX17" s="99"/>
      <c r="DY17" s="99"/>
      <c r="DZ17" s="99"/>
      <c r="EA17" s="99"/>
      <c r="EB17" s="99"/>
      <c r="EC17" s="99"/>
      <c r="EI17" s="15"/>
      <c r="EJ17" s="15"/>
      <c r="EK17" s="15"/>
      <c r="EL17" s="15"/>
      <c r="EM17" s="15"/>
      <c r="EN17" s="15"/>
      <c r="EO17" s="15"/>
      <c r="EP17" s="15"/>
      <c r="EQ17" s="15"/>
      <c r="ER17" s="15"/>
      <c r="ES17" s="15"/>
      <c r="ET17" s="15"/>
      <c r="EU17" s="15"/>
      <c r="EV17" s="15"/>
      <c r="EW17" s="15"/>
      <c r="EX17" s="15"/>
      <c r="EY17" s="15"/>
      <c r="EZ17" s="138"/>
      <c r="FA17" s="15"/>
      <c r="FB17" s="15"/>
      <c r="FC17" s="15"/>
      <c r="FD17" s="15"/>
      <c r="FE17" s="15"/>
      <c r="FF17" s="15"/>
      <c r="FG17" s="15"/>
      <c r="FH17" s="15"/>
      <c r="FI17" s="15"/>
      <c r="FJ17" s="15"/>
      <c r="FK17" s="15"/>
      <c r="FL17" s="15"/>
      <c r="FO17" s="15"/>
      <c r="FP17" s="138"/>
      <c r="FQ17" s="138"/>
      <c r="FR17" s="55"/>
      <c r="FS17" s="55"/>
      <c r="FT17" s="138"/>
      <c r="FU17" s="138"/>
      <c r="FV17" s="138"/>
      <c r="FW17" s="55"/>
      <c r="FX17" s="204" t="s">
        <v>418</v>
      </c>
      <c r="FY17" s="55"/>
      <c r="FZ17" s="55"/>
      <c r="GA17" s="226" t="s">
        <v>51</v>
      </c>
      <c r="GB17" s="196" t="s">
        <v>287</v>
      </c>
      <c r="GC17" s="226" t="s">
        <v>274</v>
      </c>
      <c r="GD17" s="196" t="s">
        <v>585</v>
      </c>
      <c r="GE17" s="55"/>
      <c r="GF17" s="55"/>
      <c r="GG17" s="55"/>
      <c r="GH17" s="55"/>
      <c r="GI17" s="55"/>
      <c r="GJ17" s="55"/>
      <c r="GK17" s="55"/>
    </row>
    <row r="18" spans="1:199" ht="14.25" thickTop="1" thickBot="1">
      <c r="A18" s="201" t="s">
        <v>536</v>
      </c>
      <c r="B18" s="35" t="s">
        <v>269</v>
      </c>
      <c r="C18" s="35" t="s">
        <v>269</v>
      </c>
      <c r="D18" s="35" t="s">
        <v>269</v>
      </c>
      <c r="E18" s="35" t="s">
        <v>269</v>
      </c>
      <c r="F18" s="73" t="s">
        <v>449</v>
      </c>
      <c r="G18" s="73" t="s">
        <v>565</v>
      </c>
      <c r="H18" s="35" t="s">
        <v>269</v>
      </c>
      <c r="I18" s="35" t="s">
        <v>269</v>
      </c>
      <c r="J18" s="35" t="s">
        <v>269</v>
      </c>
      <c r="K18" s="35" t="s">
        <v>269</v>
      </c>
      <c r="L18" s="35" t="s">
        <v>269</v>
      </c>
      <c r="M18" s="35" t="s">
        <v>269</v>
      </c>
      <c r="N18" s="35" t="s">
        <v>269</v>
      </c>
      <c r="O18" s="35" t="s">
        <v>269</v>
      </c>
      <c r="P18" s="35" t="s">
        <v>269</v>
      </c>
      <c r="Q18" s="35" t="s">
        <v>269</v>
      </c>
      <c r="R18" s="35" t="s">
        <v>269</v>
      </c>
      <c r="S18" s="35" t="s">
        <v>269</v>
      </c>
      <c r="T18" s="35" t="s">
        <v>269</v>
      </c>
      <c r="U18" s="35" t="s">
        <v>269</v>
      </c>
      <c r="V18" s="35" t="s">
        <v>269</v>
      </c>
      <c r="W18" s="35" t="s">
        <v>269</v>
      </c>
      <c r="X18" s="35" t="s">
        <v>269</v>
      </c>
      <c r="Y18" s="35" t="s">
        <v>269</v>
      </c>
      <c r="Z18" s="35" t="s">
        <v>269</v>
      </c>
      <c r="AA18" s="35" t="s">
        <v>565</v>
      </c>
      <c r="AB18" s="35" t="s">
        <v>269</v>
      </c>
      <c r="AC18" s="35" t="s">
        <v>269</v>
      </c>
      <c r="AD18" s="35" t="s">
        <v>269</v>
      </c>
      <c r="AE18" s="35" t="s">
        <v>269</v>
      </c>
      <c r="AF18" s="35" t="s">
        <v>269</v>
      </c>
      <c r="AG18" s="35" t="s">
        <v>269</v>
      </c>
      <c r="AH18" s="35" t="s">
        <v>269</v>
      </c>
      <c r="AI18" s="35" t="s">
        <v>269</v>
      </c>
      <c r="AJ18" s="35" t="s">
        <v>269</v>
      </c>
      <c r="AK18" s="35" t="s">
        <v>269</v>
      </c>
      <c r="AL18" s="35" t="s">
        <v>269</v>
      </c>
      <c r="AM18" s="35" t="s">
        <v>464</v>
      </c>
      <c r="AN18" s="35" t="s">
        <v>464</v>
      </c>
      <c r="AO18" s="35" t="s">
        <v>269</v>
      </c>
      <c r="AP18" s="35" t="s">
        <v>269</v>
      </c>
      <c r="AQ18" s="35" t="s">
        <v>269</v>
      </c>
      <c r="AR18" s="35" t="s">
        <v>269</v>
      </c>
      <c r="AS18" s="35" t="s">
        <v>269</v>
      </c>
      <c r="AT18" s="35" t="s">
        <v>269</v>
      </c>
      <c r="AU18" s="35" t="s">
        <v>269</v>
      </c>
      <c r="AV18" s="35" t="s">
        <v>269</v>
      </c>
      <c r="AW18" s="35" t="s">
        <v>269</v>
      </c>
      <c r="AX18" s="35" t="s">
        <v>269</v>
      </c>
      <c r="AY18" s="35" t="s">
        <v>269</v>
      </c>
      <c r="AZ18" s="35" t="s">
        <v>269</v>
      </c>
      <c r="BA18" s="35" t="s">
        <v>269</v>
      </c>
      <c r="BB18" s="35" t="s">
        <v>269</v>
      </c>
      <c r="BC18" s="35" t="s">
        <v>269</v>
      </c>
      <c r="BD18" s="35" t="s">
        <v>269</v>
      </c>
      <c r="BE18" s="35" t="s">
        <v>269</v>
      </c>
      <c r="BF18" s="35" t="s">
        <v>269</v>
      </c>
      <c r="BG18" s="35" t="s">
        <v>269</v>
      </c>
      <c r="BH18" s="300" t="s">
        <v>269</v>
      </c>
      <c r="BI18" s="300" t="s">
        <v>269</v>
      </c>
      <c r="BJ18" s="35" t="s">
        <v>269</v>
      </c>
      <c r="BK18" s="35" t="s">
        <v>269</v>
      </c>
      <c r="BL18" s="35" t="s">
        <v>269</v>
      </c>
      <c r="BM18" s="35" t="s">
        <v>269</v>
      </c>
      <c r="BN18" s="35" t="s">
        <v>269</v>
      </c>
      <c r="BO18" s="35" t="s">
        <v>269</v>
      </c>
      <c r="BP18" s="35" t="s">
        <v>269</v>
      </c>
      <c r="BQ18" s="35" t="s">
        <v>269</v>
      </c>
      <c r="BR18" s="35" t="s">
        <v>269</v>
      </c>
      <c r="BS18" s="35" t="s">
        <v>269</v>
      </c>
      <c r="BT18" s="35" t="s">
        <v>269</v>
      </c>
      <c r="BU18" s="35" t="s">
        <v>269</v>
      </c>
      <c r="BV18" s="35" t="s">
        <v>269</v>
      </c>
      <c r="BW18" s="35" t="s">
        <v>269</v>
      </c>
      <c r="BX18" s="35" t="s">
        <v>269</v>
      </c>
      <c r="BY18" s="35" t="s">
        <v>269</v>
      </c>
      <c r="BZ18" s="35" t="s">
        <v>269</v>
      </c>
      <c r="CA18" s="314" t="s">
        <v>269</v>
      </c>
      <c r="CB18" s="35" t="s">
        <v>269</v>
      </c>
      <c r="CC18" s="35" t="s">
        <v>269</v>
      </c>
      <c r="CD18" s="35" t="s">
        <v>269</v>
      </c>
      <c r="CE18" s="35" t="s">
        <v>269</v>
      </c>
      <c r="CF18" s="35" t="s">
        <v>269</v>
      </c>
      <c r="CG18" s="35" t="s">
        <v>269</v>
      </c>
      <c r="CH18" s="35" t="s">
        <v>269</v>
      </c>
      <c r="CI18" s="35" t="s">
        <v>449</v>
      </c>
      <c r="CJ18" s="35" t="s">
        <v>449</v>
      </c>
      <c r="CK18" s="35" t="s">
        <v>449</v>
      </c>
      <c r="CL18" s="35" t="s">
        <v>269</v>
      </c>
      <c r="CM18" s="35" t="s">
        <v>269</v>
      </c>
      <c r="CN18" s="35" t="s">
        <v>464</v>
      </c>
      <c r="CO18" s="35" t="s">
        <v>464</v>
      </c>
      <c r="CP18" s="35" t="s">
        <v>464</v>
      </c>
      <c r="CQ18" s="35" t="s">
        <v>464</v>
      </c>
      <c r="CR18" s="35" t="s">
        <v>464</v>
      </c>
      <c r="CS18" s="35" t="s">
        <v>464</v>
      </c>
      <c r="CT18" s="35" t="s">
        <v>464</v>
      </c>
      <c r="CU18" s="35" t="s">
        <v>464</v>
      </c>
      <c r="CV18" s="35" t="s">
        <v>464</v>
      </c>
      <c r="CW18" s="35" t="s">
        <v>269</v>
      </c>
      <c r="CX18" s="35" t="s">
        <v>464</v>
      </c>
      <c r="CY18" s="35" t="s">
        <v>464</v>
      </c>
      <c r="CZ18" s="35" t="s">
        <v>464</v>
      </c>
      <c r="DA18" s="35" t="s">
        <v>464</v>
      </c>
      <c r="DB18" s="239" t="s">
        <v>464</v>
      </c>
      <c r="DC18" s="239" t="s">
        <v>464</v>
      </c>
      <c r="DD18" s="239" t="s">
        <v>464</v>
      </c>
      <c r="DE18" s="15"/>
      <c r="DF18" s="35" t="s">
        <v>269</v>
      </c>
      <c r="DG18" s="35" t="s">
        <v>269</v>
      </c>
      <c r="DH18" s="35" t="s">
        <v>269</v>
      </c>
      <c r="DI18" s="35" t="s">
        <v>464</v>
      </c>
      <c r="DJ18" s="239" t="s">
        <v>464</v>
      </c>
      <c r="DK18" s="239" t="s">
        <v>269</v>
      </c>
      <c r="DL18" s="239" t="s">
        <v>464</v>
      </c>
      <c r="DM18" s="35" t="s">
        <v>464</v>
      </c>
      <c r="DN18" s="35" t="s">
        <v>464</v>
      </c>
      <c r="DO18" s="35" t="s">
        <v>464</v>
      </c>
      <c r="DP18" s="35" t="s">
        <v>464</v>
      </c>
      <c r="DQ18" s="99"/>
      <c r="DR18" s="99"/>
      <c r="DS18" s="99"/>
      <c r="DT18" s="99"/>
      <c r="DU18" s="99"/>
      <c r="DV18" s="99"/>
      <c r="DW18" s="99"/>
      <c r="DX18" s="99"/>
      <c r="DY18" s="99"/>
      <c r="DZ18" s="99"/>
      <c r="EA18" s="99"/>
      <c r="EB18" s="99"/>
      <c r="EC18" s="99"/>
      <c r="EK18" s="15"/>
      <c r="EL18" s="15"/>
      <c r="EM18" s="35" t="s">
        <v>269</v>
      </c>
      <c r="EN18" s="15"/>
      <c r="EO18" s="15"/>
      <c r="EP18" s="15"/>
      <c r="EQ18" s="15"/>
      <c r="ER18" s="15"/>
      <c r="ES18" s="15"/>
      <c r="ET18" s="15"/>
      <c r="EU18" s="15"/>
      <c r="EV18" s="15"/>
      <c r="EW18" s="15"/>
      <c r="EX18" s="15"/>
      <c r="EY18" s="15"/>
      <c r="EZ18" s="138"/>
      <c r="FA18" s="15"/>
      <c r="FB18" s="15"/>
      <c r="FC18" s="15"/>
      <c r="FD18" s="15"/>
      <c r="FE18" s="15"/>
      <c r="FF18" s="15"/>
      <c r="FG18" s="15"/>
      <c r="FH18" s="15"/>
      <c r="FI18" s="15"/>
      <c r="FJ18" s="15"/>
      <c r="FK18" s="15"/>
      <c r="FL18" s="15"/>
      <c r="FO18" s="15"/>
      <c r="FP18" s="138"/>
      <c r="FQ18" s="138"/>
      <c r="FR18" s="55"/>
      <c r="FS18" s="55"/>
      <c r="FT18" s="138"/>
      <c r="FU18" s="138"/>
      <c r="FV18" s="138"/>
      <c r="FW18" s="55"/>
      <c r="FX18" s="35" t="s">
        <v>269</v>
      </c>
      <c r="FY18" s="55"/>
      <c r="FZ18" s="55"/>
      <c r="GA18" s="35" t="s">
        <v>449</v>
      </c>
      <c r="GB18" s="35" t="s">
        <v>269</v>
      </c>
      <c r="GC18" s="35" t="s">
        <v>269</v>
      </c>
      <c r="GD18" s="35" t="s">
        <v>269</v>
      </c>
      <c r="GE18" s="55"/>
      <c r="GF18" s="55"/>
      <c r="GG18" s="55"/>
      <c r="GH18" s="55"/>
      <c r="GI18" s="55"/>
      <c r="GJ18" s="55"/>
      <c r="GK18" s="55"/>
    </row>
    <row r="19" spans="1:199" ht="14.25" thickTop="1" thickBot="1">
      <c r="A19" s="201" t="s">
        <v>423</v>
      </c>
      <c r="B19" s="198" t="s">
        <v>663</v>
      </c>
      <c r="C19" s="198" t="s">
        <v>519</v>
      </c>
      <c r="D19" s="217" t="s">
        <v>405</v>
      </c>
      <c r="E19" s="198" t="s">
        <v>306</v>
      </c>
      <c r="F19" s="18" t="s">
        <v>28</v>
      </c>
      <c r="G19" s="133" t="s">
        <v>67</v>
      </c>
      <c r="H19" s="217" t="s">
        <v>168</v>
      </c>
      <c r="I19" s="196" t="s">
        <v>314</v>
      </c>
      <c r="J19" s="196" t="s">
        <v>87</v>
      </c>
      <c r="K19" s="196" t="s">
        <v>230</v>
      </c>
      <c r="L19" s="196" t="s">
        <v>144</v>
      </c>
      <c r="M19" s="196" t="s">
        <v>434</v>
      </c>
      <c r="N19" s="57" t="s">
        <v>183</v>
      </c>
      <c r="O19" s="57" t="s">
        <v>302</v>
      </c>
      <c r="P19" s="57" t="s">
        <v>580</v>
      </c>
      <c r="Q19" s="57" t="s">
        <v>156</v>
      </c>
      <c r="R19" s="57" t="s">
        <v>303</v>
      </c>
      <c r="S19" s="196" t="s">
        <v>164</v>
      </c>
      <c r="T19" s="196" t="s">
        <v>408</v>
      </c>
      <c r="U19" s="57" t="s">
        <v>372</v>
      </c>
      <c r="V19" s="196" t="s">
        <v>105</v>
      </c>
      <c r="W19" s="180" t="s">
        <v>529</v>
      </c>
      <c r="X19" s="180" t="s">
        <v>478</v>
      </c>
      <c r="Y19" s="180" t="s">
        <v>439</v>
      </c>
      <c r="Z19" s="180" t="s">
        <v>75</v>
      </c>
      <c r="AA19" s="57" t="s">
        <v>675</v>
      </c>
      <c r="AB19" s="196" t="s">
        <v>111</v>
      </c>
      <c r="AC19" s="196" t="s">
        <v>293</v>
      </c>
      <c r="AD19" s="196" t="s">
        <v>312</v>
      </c>
      <c r="AE19" s="196" t="s">
        <v>416</v>
      </c>
      <c r="AF19" s="196" t="s">
        <v>430</v>
      </c>
      <c r="AG19" s="196" t="s">
        <v>438</v>
      </c>
      <c r="AH19" s="57" t="s">
        <v>705</v>
      </c>
      <c r="AI19" s="196" t="s">
        <v>15</v>
      </c>
      <c r="AJ19" s="196" t="s">
        <v>560</v>
      </c>
      <c r="AK19" s="196" t="s">
        <v>9</v>
      </c>
      <c r="AL19" s="196" t="s">
        <v>575</v>
      </c>
      <c r="AM19" s="196" t="s">
        <v>417</v>
      </c>
      <c r="AN19" s="196" t="s">
        <v>374</v>
      </c>
      <c r="AO19" s="196" t="s">
        <v>353</v>
      </c>
      <c r="AP19" s="196" t="s">
        <v>247</v>
      </c>
      <c r="AQ19" s="196" t="s">
        <v>497</v>
      </c>
      <c r="AR19" s="196" t="s">
        <v>402</v>
      </c>
      <c r="AS19" s="196" t="s">
        <v>447</v>
      </c>
      <c r="AT19" s="196" t="s">
        <v>452</v>
      </c>
      <c r="AU19" s="226" t="s">
        <v>119</v>
      </c>
      <c r="AV19" s="226" t="s">
        <v>589</v>
      </c>
      <c r="AW19" s="226" t="s">
        <v>64</v>
      </c>
      <c r="AX19" s="196" t="s">
        <v>480</v>
      </c>
      <c r="AY19" s="196" t="s">
        <v>548</v>
      </c>
      <c r="AZ19" s="226" t="s">
        <v>322</v>
      </c>
      <c r="BA19" s="226" t="s">
        <v>261</v>
      </c>
      <c r="BB19" s="204" t="s">
        <v>770</v>
      </c>
      <c r="BC19" s="226" t="s">
        <v>55</v>
      </c>
      <c r="BD19" s="196" t="s">
        <v>531</v>
      </c>
      <c r="BE19" s="226" t="s">
        <v>375</v>
      </c>
      <c r="BF19" s="204" t="s">
        <v>771</v>
      </c>
      <c r="BG19" s="226" t="s">
        <v>594</v>
      </c>
      <c r="BH19" s="306" t="s">
        <v>612</v>
      </c>
      <c r="BI19" s="306" t="s">
        <v>613</v>
      </c>
      <c r="BJ19" s="226" t="s">
        <v>574</v>
      </c>
      <c r="BK19" s="204" t="s">
        <v>359</v>
      </c>
      <c r="BL19" s="226" t="s">
        <v>93</v>
      </c>
      <c r="BM19" s="226" t="s">
        <v>199</v>
      </c>
      <c r="BN19" s="226" t="s">
        <v>51</v>
      </c>
      <c r="BO19" s="226" t="s">
        <v>152</v>
      </c>
      <c r="BP19" s="204" t="s">
        <v>556</v>
      </c>
      <c r="BQ19" s="204" t="s">
        <v>499</v>
      </c>
      <c r="BR19" s="204" t="s">
        <v>210</v>
      </c>
      <c r="BS19" s="204" t="s">
        <v>163</v>
      </c>
      <c r="BT19" s="204" t="s">
        <v>201</v>
      </c>
      <c r="BU19" s="204" t="s">
        <v>54</v>
      </c>
      <c r="BV19" s="204" t="s">
        <v>133</v>
      </c>
      <c r="BW19" s="204" t="s">
        <v>234</v>
      </c>
      <c r="BX19" s="204" t="s">
        <v>56</v>
      </c>
      <c r="BY19" s="204" t="s">
        <v>441</v>
      </c>
      <c r="BZ19" s="204" t="s">
        <v>108</v>
      </c>
      <c r="CA19" s="309" t="s">
        <v>666</v>
      </c>
      <c r="CB19" s="204" t="s">
        <v>668</v>
      </c>
      <c r="CC19" s="204" t="s">
        <v>670</v>
      </c>
      <c r="CD19" s="204" t="s">
        <v>657</v>
      </c>
      <c r="CE19" s="204" t="s">
        <v>658</v>
      </c>
      <c r="CF19" s="204" t="s">
        <v>659</v>
      </c>
      <c r="CG19" s="204" t="s">
        <v>332</v>
      </c>
      <c r="CH19" s="204" t="s">
        <v>361</v>
      </c>
      <c r="CI19" s="204" t="s">
        <v>522</v>
      </c>
      <c r="CJ19" s="204" t="s">
        <v>563</v>
      </c>
      <c r="CK19" s="204" t="s">
        <v>414</v>
      </c>
      <c r="CL19" s="226" t="s">
        <v>72</v>
      </c>
      <c r="CM19" s="226" t="s">
        <v>35</v>
      </c>
      <c r="CN19" s="226" t="s">
        <v>396</v>
      </c>
      <c r="CO19" s="226" t="s">
        <v>12</v>
      </c>
      <c r="CP19" s="226" t="s">
        <v>149</v>
      </c>
      <c r="CQ19" s="226" t="s">
        <v>547</v>
      </c>
      <c r="CR19" s="226" t="s">
        <v>427</v>
      </c>
      <c r="CS19" s="226" t="s">
        <v>342</v>
      </c>
      <c r="CT19" s="204" t="s">
        <v>725</v>
      </c>
      <c r="CU19" s="226" t="s">
        <v>31</v>
      </c>
      <c r="CV19" s="226" t="s">
        <v>524</v>
      </c>
      <c r="CW19" s="204" t="s">
        <v>708</v>
      </c>
      <c r="CX19" s="226" t="s">
        <v>34</v>
      </c>
      <c r="CY19" s="226" t="s">
        <v>237</v>
      </c>
      <c r="CZ19" s="204" t="s">
        <v>515</v>
      </c>
      <c r="DA19" s="204" t="s">
        <v>206</v>
      </c>
      <c r="DB19" s="30" t="s">
        <v>514</v>
      </c>
      <c r="DC19" s="30" t="s">
        <v>106</v>
      </c>
      <c r="DD19" s="30" t="s">
        <v>242</v>
      </c>
      <c r="DE19" s="15"/>
      <c r="DF19" s="204" t="s">
        <v>21</v>
      </c>
      <c r="DG19" s="172" t="s">
        <v>328</v>
      </c>
      <c r="DH19" s="172" t="s">
        <v>454</v>
      </c>
      <c r="DI19" s="172" t="s">
        <v>758</v>
      </c>
      <c r="DJ19" s="30" t="s">
        <v>32</v>
      </c>
      <c r="DK19" s="30" t="s">
        <v>688</v>
      </c>
      <c r="DL19" s="30" t="s">
        <v>542</v>
      </c>
      <c r="DM19" s="30" t="s">
        <v>100</v>
      </c>
      <c r="DN19" s="30" t="s">
        <v>380</v>
      </c>
      <c r="DO19" s="204" t="s">
        <v>400</v>
      </c>
      <c r="DP19" s="204" t="s">
        <v>508</v>
      </c>
      <c r="DQ19" s="99"/>
      <c r="DR19" s="99"/>
      <c r="DS19" s="99"/>
      <c r="DT19" s="99"/>
      <c r="DU19" s="99"/>
      <c r="DV19" s="99"/>
      <c r="DW19" s="99"/>
      <c r="DX19" s="99"/>
      <c r="DY19" s="99"/>
      <c r="DZ19" s="99"/>
      <c r="EA19" s="99"/>
      <c r="EB19" s="99"/>
      <c r="EC19" s="99"/>
      <c r="EK19" s="15"/>
      <c r="EL19" s="15"/>
      <c r="EM19" s="172" t="s">
        <v>690</v>
      </c>
      <c r="EN19" s="15"/>
      <c r="EO19" s="15"/>
      <c r="EP19" s="15"/>
      <c r="EQ19" s="15"/>
      <c r="ER19" s="15"/>
      <c r="ES19" s="15"/>
      <c r="ET19" s="15"/>
      <c r="EU19" s="15"/>
      <c r="EV19" s="15"/>
      <c r="EW19" s="15"/>
      <c r="EX19" s="15"/>
      <c r="EY19" s="15"/>
      <c r="EZ19" s="138"/>
      <c r="FA19" s="15"/>
      <c r="FB19" s="15"/>
      <c r="FC19" s="15"/>
      <c r="FD19" s="15"/>
      <c r="FE19" s="15"/>
      <c r="FF19" s="15"/>
      <c r="FG19" s="15"/>
      <c r="FH19" s="15"/>
      <c r="FI19" s="15"/>
      <c r="FJ19" s="15"/>
      <c r="FK19" s="15"/>
      <c r="FL19" s="15"/>
      <c r="FO19" s="15"/>
      <c r="FP19" s="138"/>
      <c r="FQ19" s="138"/>
      <c r="FR19" s="55"/>
      <c r="FS19" s="55"/>
      <c r="FT19" s="138"/>
      <c r="FU19" s="138"/>
      <c r="FV19" s="138"/>
      <c r="FW19" s="55"/>
      <c r="FX19" s="204" t="s">
        <v>418</v>
      </c>
      <c r="FY19" s="55"/>
      <c r="FZ19" s="55"/>
      <c r="GA19" s="226" t="s">
        <v>274</v>
      </c>
      <c r="GB19" s="196" t="s">
        <v>287</v>
      </c>
      <c r="GC19" s="226" t="s">
        <v>551</v>
      </c>
      <c r="GD19" s="196" t="s">
        <v>585</v>
      </c>
      <c r="GE19" s="55"/>
      <c r="GF19" s="55"/>
      <c r="GG19" s="55"/>
      <c r="GH19" s="55"/>
      <c r="GI19" s="55"/>
      <c r="GJ19" s="55"/>
      <c r="GK19" s="55"/>
    </row>
    <row r="20" spans="1:199" ht="14.25" thickTop="1" thickBot="1">
      <c r="A20" s="201" t="s">
        <v>614</v>
      </c>
      <c r="B20" s="35" t="s">
        <v>269</v>
      </c>
      <c r="C20" s="35" t="s">
        <v>269</v>
      </c>
      <c r="D20" s="35" t="s">
        <v>269</v>
      </c>
      <c r="E20" s="35" t="s">
        <v>269</v>
      </c>
      <c r="F20" s="73" t="s">
        <v>449</v>
      </c>
      <c r="G20" s="73" t="s">
        <v>565</v>
      </c>
      <c r="H20" s="35" t="s">
        <v>269</v>
      </c>
      <c r="I20" s="35" t="s">
        <v>269</v>
      </c>
      <c r="J20" s="35" t="s">
        <v>269</v>
      </c>
      <c r="K20" s="35" t="s">
        <v>269</v>
      </c>
      <c r="L20" s="35" t="s">
        <v>269</v>
      </c>
      <c r="M20" s="35" t="s">
        <v>269</v>
      </c>
      <c r="N20" s="35" t="s">
        <v>269</v>
      </c>
      <c r="O20" s="35" t="s">
        <v>269</v>
      </c>
      <c r="P20" s="35" t="s">
        <v>269</v>
      </c>
      <c r="Q20" s="35" t="s">
        <v>269</v>
      </c>
      <c r="R20" s="35" t="s">
        <v>269</v>
      </c>
      <c r="S20" s="35" t="s">
        <v>269</v>
      </c>
      <c r="T20" s="35" t="s">
        <v>269</v>
      </c>
      <c r="U20" s="35" t="s">
        <v>269</v>
      </c>
      <c r="V20" s="35" t="s">
        <v>269</v>
      </c>
      <c r="W20" s="35" t="s">
        <v>269</v>
      </c>
      <c r="X20" s="35" t="s">
        <v>269</v>
      </c>
      <c r="Y20" s="35" t="s">
        <v>269</v>
      </c>
      <c r="Z20" s="35" t="s">
        <v>269</v>
      </c>
      <c r="AA20" s="35" t="s">
        <v>565</v>
      </c>
      <c r="AB20" s="35" t="s">
        <v>269</v>
      </c>
      <c r="AC20" s="35" t="s">
        <v>269</v>
      </c>
      <c r="AD20" s="35" t="s">
        <v>269</v>
      </c>
      <c r="AE20" s="35" t="s">
        <v>269</v>
      </c>
      <c r="AF20" s="35" t="s">
        <v>269</v>
      </c>
      <c r="AG20" s="35" t="s">
        <v>269</v>
      </c>
      <c r="AH20" s="35" t="s">
        <v>269</v>
      </c>
      <c r="AI20" s="35" t="s">
        <v>269</v>
      </c>
      <c r="AJ20" s="35" t="s">
        <v>269</v>
      </c>
      <c r="AK20" s="35" t="s">
        <v>269</v>
      </c>
      <c r="AL20" s="35" t="s">
        <v>269</v>
      </c>
      <c r="AM20" s="35" t="s">
        <v>464</v>
      </c>
      <c r="AN20" s="35" t="s">
        <v>464</v>
      </c>
      <c r="AO20" s="35" t="s">
        <v>269</v>
      </c>
      <c r="AP20" s="35" t="s">
        <v>269</v>
      </c>
      <c r="AQ20" s="35" t="s">
        <v>269</v>
      </c>
      <c r="AR20" s="35" t="s">
        <v>269</v>
      </c>
      <c r="AS20" s="35" t="s">
        <v>269</v>
      </c>
      <c r="AT20" s="35" t="s">
        <v>269</v>
      </c>
      <c r="AU20" s="35" t="s">
        <v>269</v>
      </c>
      <c r="AV20" s="35" t="s">
        <v>269</v>
      </c>
      <c r="AW20" s="35" t="s">
        <v>269</v>
      </c>
      <c r="AX20" s="35" t="s">
        <v>269</v>
      </c>
      <c r="AY20" s="35" t="s">
        <v>269</v>
      </c>
      <c r="AZ20" s="35" t="s">
        <v>269</v>
      </c>
      <c r="BA20" s="35" t="s">
        <v>269</v>
      </c>
      <c r="BB20" s="35" t="s">
        <v>269</v>
      </c>
      <c r="BC20" s="35" t="s">
        <v>269</v>
      </c>
      <c r="BD20" s="35" t="s">
        <v>269</v>
      </c>
      <c r="BE20" s="35" t="s">
        <v>269</v>
      </c>
      <c r="BF20" s="35" t="s">
        <v>269</v>
      </c>
      <c r="BG20" s="35" t="s">
        <v>269</v>
      </c>
      <c r="BH20" s="300" t="s">
        <v>269</v>
      </c>
      <c r="BI20" s="300" t="s">
        <v>449</v>
      </c>
      <c r="BJ20" s="35" t="s">
        <v>269</v>
      </c>
      <c r="BK20" s="35" t="s">
        <v>269</v>
      </c>
      <c r="BL20" s="35" t="s">
        <v>269</v>
      </c>
      <c r="BM20" s="35" t="s">
        <v>269</v>
      </c>
      <c r="BN20" s="35" t="s">
        <v>464</v>
      </c>
      <c r="BO20" s="35" t="s">
        <v>269</v>
      </c>
      <c r="BP20" s="35" t="s">
        <v>269</v>
      </c>
      <c r="BQ20" s="35" t="s">
        <v>269</v>
      </c>
      <c r="BR20" s="35" t="s">
        <v>269</v>
      </c>
      <c r="BS20" s="35" t="s">
        <v>269</v>
      </c>
      <c r="BT20" s="35" t="s">
        <v>269</v>
      </c>
      <c r="BU20" s="35" t="s">
        <v>269</v>
      </c>
      <c r="BV20" s="35" t="s">
        <v>269</v>
      </c>
      <c r="BW20" s="35" t="s">
        <v>269</v>
      </c>
      <c r="BX20" s="35" t="s">
        <v>269</v>
      </c>
      <c r="BY20" s="35" t="s">
        <v>269</v>
      </c>
      <c r="BZ20" s="35" t="s">
        <v>269</v>
      </c>
      <c r="CA20" s="314" t="s">
        <v>269</v>
      </c>
      <c r="CB20" s="35" t="s">
        <v>269</v>
      </c>
      <c r="CC20" s="35" t="s">
        <v>269</v>
      </c>
      <c r="CD20" s="35" t="s">
        <v>269</v>
      </c>
      <c r="CE20" s="35" t="s">
        <v>269</v>
      </c>
      <c r="CF20" s="35" t="s">
        <v>269</v>
      </c>
      <c r="CG20" s="35" t="s">
        <v>269</v>
      </c>
      <c r="CH20" s="35" t="s">
        <v>269</v>
      </c>
      <c r="CI20" s="35" t="s">
        <v>449</v>
      </c>
      <c r="CJ20" s="35" t="s">
        <v>449</v>
      </c>
      <c r="CK20" s="35" t="s">
        <v>449</v>
      </c>
      <c r="CL20" s="35" t="s">
        <v>269</v>
      </c>
      <c r="CM20" s="35" t="s">
        <v>269</v>
      </c>
      <c r="CN20" s="35" t="s">
        <v>464</v>
      </c>
      <c r="CO20" s="35" t="s">
        <v>464</v>
      </c>
      <c r="CP20" s="35" t="s">
        <v>464</v>
      </c>
      <c r="CQ20" s="35" t="s">
        <v>464</v>
      </c>
      <c r="CR20" s="35" t="s">
        <v>464</v>
      </c>
      <c r="CS20" s="35" t="s">
        <v>464</v>
      </c>
      <c r="CT20" s="35" t="s">
        <v>269</v>
      </c>
      <c r="CU20" s="35" t="s">
        <v>464</v>
      </c>
      <c r="CV20" s="35" t="s">
        <v>464</v>
      </c>
      <c r="CW20" s="35" t="s">
        <v>269</v>
      </c>
      <c r="CX20" s="35" t="s">
        <v>464</v>
      </c>
      <c r="CY20" s="35" t="s">
        <v>464</v>
      </c>
      <c r="CZ20" s="35" t="s">
        <v>464</v>
      </c>
      <c r="DA20" s="35" t="s">
        <v>464</v>
      </c>
      <c r="DB20" s="239" t="s">
        <v>464</v>
      </c>
      <c r="DC20" s="239" t="s">
        <v>464</v>
      </c>
      <c r="DD20" s="239" t="s">
        <v>464</v>
      </c>
      <c r="DE20" s="15"/>
      <c r="DF20" s="35" t="s">
        <v>269</v>
      </c>
      <c r="DG20" s="35" t="s">
        <v>269</v>
      </c>
      <c r="DH20" s="35" t="s">
        <v>269</v>
      </c>
      <c r="DI20" s="35" t="s">
        <v>464</v>
      </c>
      <c r="DJ20" s="239" t="s">
        <v>464</v>
      </c>
      <c r="DK20" s="239" t="s">
        <v>269</v>
      </c>
      <c r="DL20" s="239" t="s">
        <v>464</v>
      </c>
      <c r="DM20" s="35" t="s">
        <v>464</v>
      </c>
      <c r="DN20" s="35" t="s">
        <v>464</v>
      </c>
      <c r="DO20" s="35" t="s">
        <v>464</v>
      </c>
      <c r="DP20" s="35" t="s">
        <v>464</v>
      </c>
      <c r="DQ20" s="99"/>
      <c r="DR20" s="99"/>
      <c r="DS20" s="99"/>
      <c r="DT20" s="99"/>
      <c r="DU20" s="99"/>
      <c r="DV20" s="99"/>
      <c r="DW20" s="99"/>
      <c r="DX20" s="99"/>
      <c r="DY20" s="99"/>
      <c r="DZ20" s="99"/>
      <c r="EA20" s="99"/>
      <c r="EB20" s="99"/>
      <c r="EC20" s="99"/>
      <c r="EK20" s="15"/>
      <c r="EL20" s="15"/>
      <c r="EN20" s="15"/>
      <c r="EO20" s="15"/>
      <c r="EP20" s="15"/>
      <c r="EQ20" s="15"/>
      <c r="ER20" s="15"/>
      <c r="ES20" s="15"/>
      <c r="ET20" s="15"/>
      <c r="EU20" s="15"/>
      <c r="EV20" s="15"/>
      <c r="EW20" s="15"/>
      <c r="EX20" s="15"/>
      <c r="EY20" s="15"/>
      <c r="EZ20" s="138"/>
      <c r="FA20" s="15"/>
      <c r="FB20" s="15"/>
      <c r="FC20" s="15"/>
      <c r="FD20" s="15"/>
      <c r="FE20" s="15"/>
      <c r="FF20" s="15"/>
      <c r="FG20" s="15"/>
      <c r="FH20" s="15"/>
      <c r="FI20" s="15"/>
      <c r="FJ20" s="15"/>
      <c r="FK20" s="15"/>
      <c r="FL20" s="15"/>
      <c r="FO20" s="15"/>
      <c r="FP20" s="138"/>
      <c r="FQ20" s="138"/>
      <c r="FR20" s="55"/>
      <c r="FS20" s="55"/>
      <c r="FT20" s="138"/>
      <c r="FU20" s="138"/>
      <c r="FV20" s="138"/>
      <c r="FW20" s="55"/>
      <c r="FX20" s="35" t="s">
        <v>269</v>
      </c>
      <c r="FY20" s="55"/>
      <c r="FZ20" s="55"/>
      <c r="GA20" s="35" t="s">
        <v>449</v>
      </c>
      <c r="GB20" s="35" t="s">
        <v>269</v>
      </c>
      <c r="GC20" s="35" t="s">
        <v>269</v>
      </c>
      <c r="GD20" s="35" t="s">
        <v>269</v>
      </c>
      <c r="GE20" s="55"/>
      <c r="GF20" s="55"/>
      <c r="GG20" s="55"/>
      <c r="GH20" s="55"/>
      <c r="GI20" s="55"/>
      <c r="GJ20" s="55"/>
      <c r="GK20" s="55"/>
    </row>
    <row r="21" spans="1:199" ht="14.25" thickTop="1" thickBot="1">
      <c r="A21" s="201" t="s">
        <v>615</v>
      </c>
      <c r="B21" s="198" t="s">
        <v>663</v>
      </c>
      <c r="C21" s="198" t="s">
        <v>519</v>
      </c>
      <c r="D21" s="217" t="s">
        <v>405</v>
      </c>
      <c r="E21" s="198" t="s">
        <v>306</v>
      </c>
      <c r="F21" s="18" t="s">
        <v>28</v>
      </c>
      <c r="G21" s="133" t="s">
        <v>67</v>
      </c>
      <c r="H21" s="217" t="s">
        <v>168</v>
      </c>
      <c r="I21" s="196" t="s">
        <v>314</v>
      </c>
      <c r="J21" s="196" t="s">
        <v>87</v>
      </c>
      <c r="K21" s="196" t="s">
        <v>230</v>
      </c>
      <c r="L21" s="196" t="s">
        <v>144</v>
      </c>
      <c r="M21" s="196" t="s">
        <v>434</v>
      </c>
      <c r="N21" s="57" t="s">
        <v>183</v>
      </c>
      <c r="O21" s="57" t="s">
        <v>302</v>
      </c>
      <c r="P21" s="57" t="s">
        <v>580</v>
      </c>
      <c r="Q21" s="57" t="s">
        <v>156</v>
      </c>
      <c r="R21" s="57" t="s">
        <v>303</v>
      </c>
      <c r="S21" s="196" t="s">
        <v>164</v>
      </c>
      <c r="T21" s="196" t="s">
        <v>408</v>
      </c>
      <c r="U21" s="57" t="s">
        <v>372</v>
      </c>
      <c r="V21" s="196" t="s">
        <v>105</v>
      </c>
      <c r="W21" s="180" t="s">
        <v>529</v>
      </c>
      <c r="X21" s="180" t="s">
        <v>478</v>
      </c>
      <c r="Y21" s="180" t="s">
        <v>439</v>
      </c>
      <c r="Z21" s="180" t="s">
        <v>75</v>
      </c>
      <c r="AA21" s="57" t="s">
        <v>675</v>
      </c>
      <c r="AB21" s="196" t="s">
        <v>111</v>
      </c>
      <c r="AC21" s="196" t="s">
        <v>293</v>
      </c>
      <c r="AD21" s="196" t="s">
        <v>312</v>
      </c>
      <c r="AE21" s="196" t="s">
        <v>416</v>
      </c>
      <c r="AF21" s="196" t="s">
        <v>430</v>
      </c>
      <c r="AG21" s="196" t="s">
        <v>438</v>
      </c>
      <c r="AH21" s="57" t="s">
        <v>705</v>
      </c>
      <c r="AI21" s="196" t="s">
        <v>15</v>
      </c>
      <c r="AJ21" s="196" t="s">
        <v>560</v>
      </c>
      <c r="AK21" s="196" t="s">
        <v>9</v>
      </c>
      <c r="AL21" s="196" t="s">
        <v>575</v>
      </c>
      <c r="AM21" s="196" t="s">
        <v>417</v>
      </c>
      <c r="AN21" s="196" t="s">
        <v>374</v>
      </c>
      <c r="AO21" s="196" t="s">
        <v>353</v>
      </c>
      <c r="AP21" s="196" t="s">
        <v>247</v>
      </c>
      <c r="AQ21" s="196" t="s">
        <v>497</v>
      </c>
      <c r="AR21" s="196" t="s">
        <v>402</v>
      </c>
      <c r="AS21" s="196" t="s">
        <v>447</v>
      </c>
      <c r="AT21" s="196" t="s">
        <v>452</v>
      </c>
      <c r="AU21" s="226" t="s">
        <v>119</v>
      </c>
      <c r="AV21" s="226" t="s">
        <v>589</v>
      </c>
      <c r="AW21" s="226" t="s">
        <v>64</v>
      </c>
      <c r="AX21" s="196" t="s">
        <v>480</v>
      </c>
      <c r="AY21" s="196" t="s">
        <v>548</v>
      </c>
      <c r="AZ21" s="226" t="s">
        <v>322</v>
      </c>
      <c r="BA21" s="226" t="s">
        <v>261</v>
      </c>
      <c r="BB21" s="204" t="s">
        <v>770</v>
      </c>
      <c r="BC21" s="226" t="s">
        <v>55</v>
      </c>
      <c r="BD21" s="196" t="s">
        <v>531</v>
      </c>
      <c r="BE21" s="226" t="s">
        <v>375</v>
      </c>
      <c r="BF21" s="204" t="s">
        <v>771</v>
      </c>
      <c r="BG21" s="226" t="s">
        <v>594</v>
      </c>
      <c r="BH21" s="306" t="s">
        <v>612</v>
      </c>
      <c r="BI21" s="306" t="s">
        <v>713</v>
      </c>
      <c r="BJ21" s="226" t="s">
        <v>574</v>
      </c>
      <c r="BK21" s="204" t="s">
        <v>359</v>
      </c>
      <c r="BL21" s="226" t="s">
        <v>93</v>
      </c>
      <c r="BM21" s="226" t="s">
        <v>199</v>
      </c>
      <c r="BN21" s="226" t="s">
        <v>613</v>
      </c>
      <c r="BO21" s="226" t="s">
        <v>152</v>
      </c>
      <c r="BP21" s="204" t="s">
        <v>556</v>
      </c>
      <c r="BQ21" s="204" t="s">
        <v>499</v>
      </c>
      <c r="BR21" s="204" t="s">
        <v>210</v>
      </c>
      <c r="BS21" s="204" t="s">
        <v>163</v>
      </c>
      <c r="BT21" s="204" t="s">
        <v>201</v>
      </c>
      <c r="BU21" s="204" t="s">
        <v>54</v>
      </c>
      <c r="BV21" s="204" t="s">
        <v>133</v>
      </c>
      <c r="BW21" s="204" t="s">
        <v>234</v>
      </c>
      <c r="BX21" s="204" t="s">
        <v>56</v>
      </c>
      <c r="BY21" s="204" t="s">
        <v>441</v>
      </c>
      <c r="BZ21" s="204" t="s">
        <v>108</v>
      </c>
      <c r="CA21" s="309" t="s">
        <v>666</v>
      </c>
      <c r="CB21" s="204" t="s">
        <v>668</v>
      </c>
      <c r="CC21" s="204" t="s">
        <v>670</v>
      </c>
      <c r="CD21" s="204" t="s">
        <v>657</v>
      </c>
      <c r="CE21" s="204" t="s">
        <v>658</v>
      </c>
      <c r="CF21" s="204" t="s">
        <v>659</v>
      </c>
      <c r="CG21" s="204" t="s">
        <v>332</v>
      </c>
      <c r="CH21" s="204" t="s">
        <v>361</v>
      </c>
      <c r="CI21" s="204" t="s">
        <v>522</v>
      </c>
      <c r="CJ21" s="204" t="s">
        <v>563</v>
      </c>
      <c r="CK21" s="204" t="s">
        <v>414</v>
      </c>
      <c r="CL21" s="226" t="s">
        <v>72</v>
      </c>
      <c r="CM21" s="226" t="s">
        <v>35</v>
      </c>
      <c r="CN21" s="226" t="s">
        <v>621</v>
      </c>
      <c r="CO21" s="226" t="s">
        <v>620</v>
      </c>
      <c r="CP21" s="226" t="s">
        <v>622</v>
      </c>
      <c r="CQ21" s="226" t="s">
        <v>623</v>
      </c>
      <c r="CR21" s="226" t="s">
        <v>624</v>
      </c>
      <c r="CS21" s="226" t="s">
        <v>628</v>
      </c>
      <c r="CT21" s="204" t="s">
        <v>725</v>
      </c>
      <c r="CU21" s="226" t="s">
        <v>625</v>
      </c>
      <c r="CV21" s="226" t="s">
        <v>626</v>
      </c>
      <c r="CW21" s="204" t="s">
        <v>708</v>
      </c>
      <c r="CX21" s="226" t="s">
        <v>632</v>
      </c>
      <c r="CY21" s="226" t="s">
        <v>627</v>
      </c>
      <c r="CZ21" s="204" t="s">
        <v>633</v>
      </c>
      <c r="DA21" s="204" t="s">
        <v>629</v>
      </c>
      <c r="DB21" s="30" t="s">
        <v>630</v>
      </c>
      <c r="DC21" s="30" t="s">
        <v>631</v>
      </c>
      <c r="DD21" s="30" t="s">
        <v>616</v>
      </c>
      <c r="DE21" s="15"/>
      <c r="DF21" s="204" t="s">
        <v>21</v>
      </c>
      <c r="DG21" s="172" t="s">
        <v>328</v>
      </c>
      <c r="DH21" s="172" t="s">
        <v>454</v>
      </c>
      <c r="DI21" s="172" t="s">
        <v>758</v>
      </c>
      <c r="DJ21" s="30" t="s">
        <v>189</v>
      </c>
      <c r="DK21" s="30" t="s">
        <v>688</v>
      </c>
      <c r="DL21" s="30" t="s">
        <v>617</v>
      </c>
      <c r="DM21" s="30" t="s">
        <v>618</v>
      </c>
      <c r="DN21" s="30" t="s">
        <v>619</v>
      </c>
      <c r="DO21" s="204" t="s">
        <v>400</v>
      </c>
      <c r="DP21" s="204" t="s">
        <v>508</v>
      </c>
      <c r="DQ21" s="99"/>
      <c r="DR21" s="99"/>
      <c r="DS21" s="99"/>
      <c r="DT21" s="99"/>
      <c r="DU21" s="99"/>
      <c r="DV21" s="99"/>
      <c r="DW21" s="99"/>
      <c r="DX21" s="99"/>
      <c r="DY21" s="99"/>
      <c r="DZ21" s="99"/>
      <c r="EA21" s="99"/>
      <c r="EB21" s="99"/>
      <c r="EC21" s="99"/>
      <c r="EK21" s="15"/>
      <c r="EL21" s="15"/>
      <c r="EM21" s="15"/>
      <c r="EN21" s="15"/>
      <c r="EO21" s="15"/>
      <c r="EP21" s="15"/>
      <c r="EQ21" s="15"/>
      <c r="ER21" s="15"/>
      <c r="ES21" s="15"/>
      <c r="ET21" s="15"/>
      <c r="EU21" s="15"/>
      <c r="EV21" s="15"/>
      <c r="EW21" s="15"/>
      <c r="EX21" s="15"/>
      <c r="EY21" s="15"/>
      <c r="EZ21" s="138"/>
      <c r="FA21" s="15"/>
      <c r="FB21" s="15"/>
      <c r="FC21" s="15"/>
      <c r="FD21" s="15"/>
      <c r="FE21" s="15"/>
      <c r="FF21" s="15"/>
      <c r="FG21" s="15"/>
      <c r="FH21" s="15"/>
      <c r="FI21" s="15"/>
      <c r="FJ21" s="15"/>
      <c r="FK21" s="15"/>
      <c r="FL21" s="15"/>
      <c r="FO21" s="15"/>
      <c r="FP21" s="138"/>
      <c r="FQ21" s="138"/>
      <c r="FR21" s="55"/>
      <c r="FS21" s="55"/>
      <c r="FT21" s="138"/>
      <c r="FU21" s="138"/>
      <c r="FV21" s="138"/>
      <c r="FW21" s="55"/>
      <c r="FX21" s="204" t="s">
        <v>418</v>
      </c>
      <c r="FY21" s="55"/>
      <c r="FZ21" s="55"/>
      <c r="GA21" s="226" t="s">
        <v>51</v>
      </c>
      <c r="GB21" s="196" t="s">
        <v>287</v>
      </c>
      <c r="GC21" s="226" t="s">
        <v>551</v>
      </c>
      <c r="GD21" s="196" t="s">
        <v>585</v>
      </c>
      <c r="GE21" s="55"/>
      <c r="GF21" s="55"/>
      <c r="GG21" s="55"/>
      <c r="GH21" s="55"/>
      <c r="GI21" s="55"/>
      <c r="GJ21" s="55"/>
      <c r="GK21" s="55"/>
    </row>
    <row r="22" spans="1:199" ht="14.25" thickTop="1" thickBot="1">
      <c r="A22" s="201" t="s">
        <v>634</v>
      </c>
      <c r="B22" s="35" t="s">
        <v>269</v>
      </c>
      <c r="C22" s="35" t="s">
        <v>269</v>
      </c>
      <c r="D22" s="35" t="s">
        <v>269</v>
      </c>
      <c r="E22" s="35" t="s">
        <v>269</v>
      </c>
      <c r="F22" s="73" t="s">
        <v>449</v>
      </c>
      <c r="G22" s="73" t="s">
        <v>565</v>
      </c>
      <c r="H22" s="35" t="s">
        <v>269</v>
      </c>
      <c r="I22" s="35" t="s">
        <v>269</v>
      </c>
      <c r="J22" s="35" t="s">
        <v>269</v>
      </c>
      <c r="K22" s="35" t="s">
        <v>269</v>
      </c>
      <c r="L22" s="35" t="s">
        <v>269</v>
      </c>
      <c r="M22" s="35" t="s">
        <v>269</v>
      </c>
      <c r="N22" s="35" t="s">
        <v>269</v>
      </c>
      <c r="O22" s="35" t="s">
        <v>269</v>
      </c>
      <c r="P22" s="35" t="s">
        <v>269</v>
      </c>
      <c r="Q22" s="35" t="s">
        <v>269</v>
      </c>
      <c r="R22" s="35" t="s">
        <v>269</v>
      </c>
      <c r="S22" s="35" t="s">
        <v>269</v>
      </c>
      <c r="T22" s="35" t="s">
        <v>269</v>
      </c>
      <c r="U22" s="35" t="s">
        <v>269</v>
      </c>
      <c r="V22" s="35" t="s">
        <v>269</v>
      </c>
      <c r="W22" s="35" t="s">
        <v>269</v>
      </c>
      <c r="X22" s="35" t="s">
        <v>269</v>
      </c>
      <c r="Y22" s="35" t="s">
        <v>269</v>
      </c>
      <c r="Z22" s="35" t="s">
        <v>269</v>
      </c>
      <c r="AA22" s="35" t="s">
        <v>565</v>
      </c>
      <c r="AB22" s="35" t="s">
        <v>269</v>
      </c>
      <c r="AC22" s="35" t="s">
        <v>269</v>
      </c>
      <c r="AD22" s="35" t="s">
        <v>269</v>
      </c>
      <c r="AE22" s="35" t="s">
        <v>269</v>
      </c>
      <c r="AF22" s="35" t="s">
        <v>269</v>
      </c>
      <c r="AG22" s="35" t="s">
        <v>269</v>
      </c>
      <c r="AH22" s="35" t="s">
        <v>269</v>
      </c>
      <c r="AI22" s="35" t="s">
        <v>269</v>
      </c>
      <c r="AJ22" s="35" t="s">
        <v>269</v>
      </c>
      <c r="AK22" s="35" t="s">
        <v>269</v>
      </c>
      <c r="AL22" s="35" t="s">
        <v>269</v>
      </c>
      <c r="AM22" s="35" t="s">
        <v>464</v>
      </c>
      <c r="AN22" s="35" t="s">
        <v>464</v>
      </c>
      <c r="AO22" s="35" t="s">
        <v>269</v>
      </c>
      <c r="AP22" s="35" t="s">
        <v>269</v>
      </c>
      <c r="AQ22" s="35" t="s">
        <v>269</v>
      </c>
      <c r="AR22" s="35" t="s">
        <v>269</v>
      </c>
      <c r="AS22" s="35" t="s">
        <v>269</v>
      </c>
      <c r="AT22" s="35" t="s">
        <v>269</v>
      </c>
      <c r="AU22" s="35" t="s">
        <v>269</v>
      </c>
      <c r="AV22" s="35" t="s">
        <v>269</v>
      </c>
      <c r="AW22" s="35" t="s">
        <v>269</v>
      </c>
      <c r="AX22" s="35" t="s">
        <v>269</v>
      </c>
      <c r="AY22" s="35" t="s">
        <v>269</v>
      </c>
      <c r="AZ22" s="35" t="s">
        <v>269</v>
      </c>
      <c r="BA22" s="35" t="s">
        <v>269</v>
      </c>
      <c r="BB22" s="35" t="s">
        <v>269</v>
      </c>
      <c r="BC22" s="35" t="s">
        <v>269</v>
      </c>
      <c r="BD22" s="35" t="s">
        <v>449</v>
      </c>
      <c r="BE22" s="35" t="s">
        <v>269</v>
      </c>
      <c r="BF22" s="35" t="s">
        <v>269</v>
      </c>
      <c r="BG22" s="35" t="s">
        <v>269</v>
      </c>
      <c r="BH22" s="300" t="s">
        <v>269</v>
      </c>
      <c r="BI22" s="300" t="s">
        <v>269</v>
      </c>
      <c r="BJ22" s="35" t="s">
        <v>269</v>
      </c>
      <c r="BK22" s="35" t="s">
        <v>269</v>
      </c>
      <c r="BL22" s="35" t="s">
        <v>269</v>
      </c>
      <c r="BM22" s="35" t="s">
        <v>269</v>
      </c>
      <c r="BN22" s="35" t="s">
        <v>269</v>
      </c>
      <c r="BO22" s="35" t="s">
        <v>269</v>
      </c>
      <c r="BP22" s="35" t="s">
        <v>269</v>
      </c>
      <c r="BQ22" s="35" t="s">
        <v>269</v>
      </c>
      <c r="BR22" s="35" t="s">
        <v>269</v>
      </c>
      <c r="BS22" s="35" t="s">
        <v>269</v>
      </c>
      <c r="BT22" s="35" t="s">
        <v>269</v>
      </c>
      <c r="BU22" s="35" t="s">
        <v>269</v>
      </c>
      <c r="BV22" s="35" t="s">
        <v>269</v>
      </c>
      <c r="BW22" s="35" t="s">
        <v>269</v>
      </c>
      <c r="BX22" s="35" t="s">
        <v>269</v>
      </c>
      <c r="BY22" s="35" t="s">
        <v>269</v>
      </c>
      <c r="BZ22" s="35" t="s">
        <v>269</v>
      </c>
      <c r="CA22" s="314" t="s">
        <v>269</v>
      </c>
      <c r="CB22" s="35" t="s">
        <v>269</v>
      </c>
      <c r="CC22" s="35" t="s">
        <v>269</v>
      </c>
      <c r="CD22" s="35" t="s">
        <v>269</v>
      </c>
      <c r="CE22" s="35" t="s">
        <v>269</v>
      </c>
      <c r="CF22" s="35" t="s">
        <v>269</v>
      </c>
      <c r="CG22" s="35" t="s">
        <v>269</v>
      </c>
      <c r="CH22" s="35" t="s">
        <v>269</v>
      </c>
      <c r="CI22" s="35" t="s">
        <v>449</v>
      </c>
      <c r="CJ22" s="35" t="s">
        <v>449</v>
      </c>
      <c r="CK22" s="35" t="s">
        <v>449</v>
      </c>
      <c r="CL22" s="35" t="s">
        <v>269</v>
      </c>
      <c r="CM22" s="35" t="s">
        <v>269</v>
      </c>
      <c r="CN22" s="35" t="s">
        <v>464</v>
      </c>
      <c r="CO22" s="35" t="s">
        <v>464</v>
      </c>
      <c r="CP22" s="35" t="s">
        <v>464</v>
      </c>
      <c r="CQ22" s="35" t="s">
        <v>464</v>
      </c>
      <c r="CR22" s="35" t="s">
        <v>464</v>
      </c>
      <c r="CS22" s="35" t="s">
        <v>464</v>
      </c>
      <c r="CT22" s="35" t="s">
        <v>464</v>
      </c>
      <c r="CU22" s="35" t="s">
        <v>464</v>
      </c>
      <c r="CV22" s="35" t="s">
        <v>464</v>
      </c>
      <c r="CW22" s="35" t="s">
        <v>269</v>
      </c>
      <c r="CX22" s="35" t="s">
        <v>464</v>
      </c>
      <c r="CY22" s="35" t="s">
        <v>464</v>
      </c>
      <c r="CZ22" s="35" t="s">
        <v>464</v>
      </c>
      <c r="DA22" s="35" t="s">
        <v>464</v>
      </c>
      <c r="DB22" s="239" t="s">
        <v>464</v>
      </c>
      <c r="DC22" s="239" t="s">
        <v>464</v>
      </c>
      <c r="DD22" s="239" t="s">
        <v>464</v>
      </c>
      <c r="DE22" s="15"/>
      <c r="DF22" s="35" t="s">
        <v>269</v>
      </c>
      <c r="DG22" s="35" t="s">
        <v>269</v>
      </c>
      <c r="DH22" s="35" t="s">
        <v>269</v>
      </c>
      <c r="DI22" s="35" t="s">
        <v>464</v>
      </c>
      <c r="DJ22" s="239" t="s">
        <v>464</v>
      </c>
      <c r="DK22" s="239" t="s">
        <v>269</v>
      </c>
      <c r="DL22" s="239" t="s">
        <v>464</v>
      </c>
      <c r="DM22" s="35" t="s">
        <v>464</v>
      </c>
      <c r="DN22" s="35" t="s">
        <v>464</v>
      </c>
      <c r="DO22" s="35" t="s">
        <v>464</v>
      </c>
      <c r="DP22" s="35" t="s">
        <v>464</v>
      </c>
      <c r="DQ22" s="99"/>
      <c r="DR22" s="99"/>
      <c r="DS22" s="99"/>
      <c r="DT22" s="99"/>
      <c r="DU22" s="99"/>
      <c r="DV22" s="99"/>
      <c r="DW22" s="99"/>
      <c r="DX22" s="99"/>
      <c r="DY22" s="99"/>
      <c r="DZ22" s="99"/>
      <c r="EA22" s="99"/>
      <c r="EB22" s="99"/>
      <c r="EC22" s="99"/>
      <c r="EK22" s="15"/>
      <c r="EL22" s="15"/>
      <c r="EM22" s="15"/>
      <c r="EN22" s="15"/>
      <c r="EO22" s="15"/>
      <c r="EP22" s="15"/>
      <c r="EQ22" s="15"/>
      <c r="ER22" s="15"/>
      <c r="ES22" s="15"/>
      <c r="ET22" s="15"/>
      <c r="EU22" s="15"/>
      <c r="EV22" s="15"/>
      <c r="EW22" s="15"/>
      <c r="EX22" s="15"/>
      <c r="EY22" s="15"/>
      <c r="EZ22" s="138"/>
      <c r="FA22" s="15"/>
      <c r="FB22" s="15"/>
      <c r="FC22" s="15"/>
      <c r="FD22" s="15"/>
      <c r="FE22" s="15"/>
      <c r="FF22" s="15"/>
      <c r="FG22" s="15"/>
      <c r="FH22" s="15"/>
      <c r="FI22" s="15"/>
      <c r="FJ22" s="15"/>
      <c r="FK22" s="15"/>
      <c r="FL22" s="15"/>
      <c r="FO22" s="15"/>
      <c r="FP22" s="138"/>
      <c r="FQ22" s="138"/>
      <c r="FR22" s="55"/>
      <c r="FS22" s="55"/>
      <c r="FT22" s="138"/>
      <c r="FU22" s="138"/>
      <c r="FV22" s="138"/>
      <c r="FW22" s="55"/>
      <c r="FX22" s="55"/>
      <c r="FY22" s="55"/>
      <c r="FZ22" s="55"/>
      <c r="GA22" s="35" t="s">
        <v>269</v>
      </c>
      <c r="GB22" s="35" t="s">
        <v>269</v>
      </c>
      <c r="GC22" s="35" t="s">
        <v>269</v>
      </c>
      <c r="GD22" s="35" t="s">
        <v>269</v>
      </c>
      <c r="GE22" s="55"/>
      <c r="GF22" s="55"/>
      <c r="GG22" s="55"/>
      <c r="GH22" s="55"/>
      <c r="GI22" s="55"/>
      <c r="GJ22" s="55"/>
      <c r="GK22" s="55"/>
    </row>
    <row r="23" spans="1:199" ht="14.25" thickTop="1" thickBot="1">
      <c r="A23" s="201" t="s">
        <v>635</v>
      </c>
      <c r="B23" s="198" t="s">
        <v>663</v>
      </c>
      <c r="C23" s="198" t="s">
        <v>519</v>
      </c>
      <c r="D23" s="217" t="s">
        <v>405</v>
      </c>
      <c r="E23" s="198" t="s">
        <v>306</v>
      </c>
      <c r="F23" s="18" t="s">
        <v>28</v>
      </c>
      <c r="G23" s="133" t="s">
        <v>67</v>
      </c>
      <c r="H23" s="217" t="s">
        <v>168</v>
      </c>
      <c r="I23" s="196" t="s">
        <v>314</v>
      </c>
      <c r="J23" s="196" t="s">
        <v>87</v>
      </c>
      <c r="K23" s="196" t="s">
        <v>230</v>
      </c>
      <c r="L23" s="196" t="s">
        <v>144</v>
      </c>
      <c r="M23" s="196" t="s">
        <v>434</v>
      </c>
      <c r="N23" s="57" t="s">
        <v>183</v>
      </c>
      <c r="O23" s="57" t="s">
        <v>302</v>
      </c>
      <c r="P23" s="57" t="s">
        <v>580</v>
      </c>
      <c r="Q23" s="57" t="s">
        <v>156</v>
      </c>
      <c r="R23" s="57" t="s">
        <v>303</v>
      </c>
      <c r="S23" s="196" t="s">
        <v>164</v>
      </c>
      <c r="T23" s="196" t="s">
        <v>408</v>
      </c>
      <c r="U23" s="57" t="s">
        <v>372</v>
      </c>
      <c r="V23" s="196" t="s">
        <v>105</v>
      </c>
      <c r="W23" s="180" t="s">
        <v>529</v>
      </c>
      <c r="X23" s="180" t="s">
        <v>478</v>
      </c>
      <c r="Y23" s="180" t="s">
        <v>439</v>
      </c>
      <c r="Z23" s="180" t="s">
        <v>75</v>
      </c>
      <c r="AA23" s="57" t="s">
        <v>675</v>
      </c>
      <c r="AB23" s="196" t="s">
        <v>111</v>
      </c>
      <c r="AC23" s="196" t="s">
        <v>293</v>
      </c>
      <c r="AD23" s="196" t="s">
        <v>312</v>
      </c>
      <c r="AE23" s="196" t="s">
        <v>416</v>
      </c>
      <c r="AF23" s="196" t="s">
        <v>430</v>
      </c>
      <c r="AG23" s="196" t="s">
        <v>438</v>
      </c>
      <c r="AH23" s="57" t="s">
        <v>705</v>
      </c>
      <c r="AI23" s="196" t="s">
        <v>15</v>
      </c>
      <c r="AJ23" s="196" t="s">
        <v>560</v>
      </c>
      <c r="AK23" s="196" t="s">
        <v>9</v>
      </c>
      <c r="AL23" s="196" t="s">
        <v>575</v>
      </c>
      <c r="AM23" s="196" t="s">
        <v>417</v>
      </c>
      <c r="AN23" s="196" t="s">
        <v>374</v>
      </c>
      <c r="AO23" s="196" t="s">
        <v>353</v>
      </c>
      <c r="AP23" s="196" t="s">
        <v>247</v>
      </c>
      <c r="AQ23" s="196" t="s">
        <v>497</v>
      </c>
      <c r="AR23" s="196" t="s">
        <v>402</v>
      </c>
      <c r="AS23" s="196" t="s">
        <v>447</v>
      </c>
      <c r="AT23" s="196" t="s">
        <v>452</v>
      </c>
      <c r="AU23" s="226" t="s">
        <v>119</v>
      </c>
      <c r="AV23" s="226" t="s">
        <v>589</v>
      </c>
      <c r="AW23" s="226" t="s">
        <v>64</v>
      </c>
      <c r="AX23" s="196" t="s">
        <v>480</v>
      </c>
      <c r="AY23" s="196" t="s">
        <v>548</v>
      </c>
      <c r="AZ23" s="226" t="s">
        <v>322</v>
      </c>
      <c r="BA23" s="226" t="s">
        <v>261</v>
      </c>
      <c r="BB23" s="204" t="s">
        <v>770</v>
      </c>
      <c r="BC23" s="226" t="s">
        <v>55</v>
      </c>
      <c r="BD23" s="196" t="s">
        <v>636</v>
      </c>
      <c r="BE23" s="226" t="s">
        <v>375</v>
      </c>
      <c r="BF23" s="204" t="s">
        <v>771</v>
      </c>
      <c r="BG23" s="226" t="s">
        <v>594</v>
      </c>
      <c r="BH23" s="306" t="s">
        <v>612</v>
      </c>
      <c r="BI23" s="306" t="s">
        <v>613</v>
      </c>
      <c r="BJ23" s="226" t="s">
        <v>574</v>
      </c>
      <c r="BK23" s="204" t="s">
        <v>359</v>
      </c>
      <c r="BL23" s="226" t="s">
        <v>93</v>
      </c>
      <c r="BM23" s="226" t="s">
        <v>199</v>
      </c>
      <c r="BN23" s="226" t="s">
        <v>531</v>
      </c>
      <c r="BO23" s="226" t="s">
        <v>152</v>
      </c>
      <c r="BP23" s="204" t="s">
        <v>556</v>
      </c>
      <c r="BQ23" s="204" t="s">
        <v>499</v>
      </c>
      <c r="BR23" s="204" t="s">
        <v>210</v>
      </c>
      <c r="BS23" s="204" t="s">
        <v>163</v>
      </c>
      <c r="BT23" s="204" t="s">
        <v>201</v>
      </c>
      <c r="BU23" s="204" t="s">
        <v>54</v>
      </c>
      <c r="BV23" s="204" t="s">
        <v>133</v>
      </c>
      <c r="BW23" s="204" t="s">
        <v>234</v>
      </c>
      <c r="BX23" s="204" t="s">
        <v>56</v>
      </c>
      <c r="BY23" s="204" t="s">
        <v>441</v>
      </c>
      <c r="BZ23" s="204" t="s">
        <v>108</v>
      </c>
      <c r="CA23" s="309" t="s">
        <v>666</v>
      </c>
      <c r="CB23" s="204" t="s">
        <v>668</v>
      </c>
      <c r="CC23" s="204" t="s">
        <v>670</v>
      </c>
      <c r="CD23" s="204" t="s">
        <v>657</v>
      </c>
      <c r="CE23" s="204" t="s">
        <v>658</v>
      </c>
      <c r="CF23" s="204" t="s">
        <v>659</v>
      </c>
      <c r="CG23" s="204" t="s">
        <v>332</v>
      </c>
      <c r="CH23" s="204" t="s">
        <v>361</v>
      </c>
      <c r="CI23" s="204" t="s">
        <v>522</v>
      </c>
      <c r="CJ23" s="204" t="s">
        <v>563</v>
      </c>
      <c r="CK23" s="204" t="s">
        <v>414</v>
      </c>
      <c r="CL23" s="226" t="s">
        <v>72</v>
      </c>
      <c r="CM23" s="226" t="s">
        <v>35</v>
      </c>
      <c r="CN23" s="226" t="s">
        <v>637</v>
      </c>
      <c r="CO23" s="226" t="s">
        <v>638</v>
      </c>
      <c r="CP23" s="226" t="s">
        <v>639</v>
      </c>
      <c r="CQ23" s="226" t="s">
        <v>640</v>
      </c>
      <c r="CR23" s="226" t="s">
        <v>641</v>
      </c>
      <c r="CS23" s="226" t="s">
        <v>642</v>
      </c>
      <c r="CT23" s="204" t="s">
        <v>725</v>
      </c>
      <c r="CU23" s="226" t="s">
        <v>643</v>
      </c>
      <c r="CV23" s="226" t="s">
        <v>644</v>
      </c>
      <c r="CW23" s="204" t="s">
        <v>708</v>
      </c>
      <c r="CX23" s="226" t="s">
        <v>645</v>
      </c>
      <c r="CY23" s="226" t="s">
        <v>646</v>
      </c>
      <c r="CZ23" s="204" t="s">
        <v>647</v>
      </c>
      <c r="DA23" s="204" t="s">
        <v>648</v>
      </c>
      <c r="DB23" s="30" t="s">
        <v>649</v>
      </c>
      <c r="DC23" s="30" t="s">
        <v>650</v>
      </c>
      <c r="DD23" s="30" t="s">
        <v>651</v>
      </c>
      <c r="DE23" s="15"/>
      <c r="DF23" s="204" t="s">
        <v>21</v>
      </c>
      <c r="DG23" s="172" t="s">
        <v>328</v>
      </c>
      <c r="DH23" s="172" t="s">
        <v>454</v>
      </c>
      <c r="DI23" s="172" t="s">
        <v>758</v>
      </c>
      <c r="DJ23" s="30" t="s">
        <v>652</v>
      </c>
      <c r="DK23" s="30" t="s">
        <v>688</v>
      </c>
      <c r="DL23" s="30" t="s">
        <v>653</v>
      </c>
      <c r="DM23" s="30" t="s">
        <v>654</v>
      </c>
      <c r="DN23" s="30" t="s">
        <v>655</v>
      </c>
      <c r="DO23" s="204" t="s">
        <v>400</v>
      </c>
      <c r="DP23" s="204" t="s">
        <v>508</v>
      </c>
      <c r="DQ23" s="99"/>
      <c r="DR23" s="99"/>
      <c r="DS23" s="99"/>
      <c r="DT23" s="99"/>
      <c r="DU23" s="99"/>
      <c r="DV23" s="99"/>
      <c r="DW23" s="99"/>
      <c r="DX23" s="99"/>
      <c r="DY23" s="99"/>
      <c r="DZ23" s="99"/>
      <c r="EA23" s="99"/>
      <c r="EB23" s="99"/>
      <c r="EC23" s="99"/>
      <c r="EK23" s="15"/>
      <c r="EL23" s="15"/>
      <c r="EM23" s="15"/>
      <c r="EN23" s="15"/>
      <c r="EO23" s="15"/>
      <c r="EP23" s="15"/>
      <c r="EQ23" s="15"/>
      <c r="ER23" s="15"/>
      <c r="ES23" s="15"/>
      <c r="ET23" s="15"/>
      <c r="EU23" s="15"/>
      <c r="EV23" s="15"/>
      <c r="EW23" s="15"/>
      <c r="EX23" s="15"/>
      <c r="EY23" s="15"/>
      <c r="EZ23" s="138"/>
      <c r="FA23" s="15"/>
      <c r="FB23" s="15"/>
      <c r="FC23" s="15"/>
      <c r="FD23" s="15"/>
      <c r="FE23" s="15"/>
      <c r="FF23" s="15"/>
      <c r="FG23" s="15"/>
      <c r="FH23" s="15"/>
      <c r="FI23" s="15"/>
      <c r="FJ23" s="15"/>
      <c r="FK23" s="15"/>
      <c r="FL23" s="15"/>
      <c r="FO23" s="15"/>
      <c r="FP23" s="138"/>
      <c r="FQ23" s="138"/>
      <c r="FR23" s="55"/>
      <c r="FS23" s="55"/>
      <c r="FT23" s="138"/>
      <c r="FU23" s="138"/>
      <c r="FV23" s="138"/>
      <c r="FW23" s="55"/>
      <c r="FX23" s="55"/>
      <c r="FY23" s="55"/>
      <c r="FZ23" s="55"/>
      <c r="GA23" s="226" t="s">
        <v>51</v>
      </c>
      <c r="GB23" s="196" t="s">
        <v>287</v>
      </c>
      <c r="GC23" s="226" t="s">
        <v>551</v>
      </c>
      <c r="GD23" s="196" t="s">
        <v>585</v>
      </c>
      <c r="GE23" s="55"/>
      <c r="GF23" s="55"/>
      <c r="GG23" s="55"/>
      <c r="GH23" s="55"/>
      <c r="GI23" s="55"/>
      <c r="GJ23" s="55"/>
      <c r="GK23" s="55"/>
    </row>
    <row r="24" spans="1:199" ht="14.25" thickTop="1" thickBot="1">
      <c r="A24" s="201" t="s">
        <v>415</v>
      </c>
      <c r="B24" s="35" t="s">
        <v>269</v>
      </c>
      <c r="C24" s="35" t="s">
        <v>269</v>
      </c>
      <c r="D24" s="35" t="s">
        <v>269</v>
      </c>
      <c r="E24" s="35" t="s">
        <v>269</v>
      </c>
      <c r="F24" s="73" t="s">
        <v>449</v>
      </c>
      <c r="G24" s="73" t="s">
        <v>565</v>
      </c>
      <c r="H24" s="35" t="s">
        <v>269</v>
      </c>
      <c r="I24" s="35" t="s">
        <v>269</v>
      </c>
      <c r="J24" s="35" t="s">
        <v>269</v>
      </c>
      <c r="K24" s="35" t="s">
        <v>269</v>
      </c>
      <c r="L24" s="35" t="s">
        <v>269</v>
      </c>
      <c r="M24" s="35" t="s">
        <v>269</v>
      </c>
      <c r="N24" s="35" t="s">
        <v>269</v>
      </c>
      <c r="O24" s="35" t="s">
        <v>269</v>
      </c>
      <c r="P24" s="35" t="s">
        <v>269</v>
      </c>
      <c r="Q24" s="35" t="s">
        <v>269</v>
      </c>
      <c r="R24" s="35" t="s">
        <v>269</v>
      </c>
      <c r="S24" s="35" t="s">
        <v>269</v>
      </c>
      <c r="T24" s="35" t="s">
        <v>269</v>
      </c>
      <c r="U24" s="35" t="s">
        <v>269</v>
      </c>
      <c r="V24" s="35" t="s">
        <v>269</v>
      </c>
      <c r="W24" s="35" t="s">
        <v>269</v>
      </c>
      <c r="X24" s="35" t="s">
        <v>269</v>
      </c>
      <c r="Y24" s="35" t="s">
        <v>269</v>
      </c>
      <c r="Z24" s="35" t="s">
        <v>449</v>
      </c>
      <c r="AA24" s="35" t="s">
        <v>565</v>
      </c>
      <c r="AB24" s="35" t="s">
        <v>269</v>
      </c>
      <c r="AC24" s="35" t="s">
        <v>269</v>
      </c>
      <c r="AD24" s="35" t="s">
        <v>269</v>
      </c>
      <c r="AE24" s="35" t="s">
        <v>269</v>
      </c>
      <c r="AF24" s="35" t="s">
        <v>269</v>
      </c>
      <c r="AG24" s="35" t="s">
        <v>269</v>
      </c>
      <c r="AH24" s="35" t="s">
        <v>269</v>
      </c>
      <c r="AI24" s="35" t="s">
        <v>269</v>
      </c>
      <c r="AJ24" s="35" t="s">
        <v>269</v>
      </c>
      <c r="AK24" s="35" t="s">
        <v>269</v>
      </c>
      <c r="AL24" s="35" t="s">
        <v>269</v>
      </c>
      <c r="AM24" s="35" t="s">
        <v>464</v>
      </c>
      <c r="AN24" s="35" t="s">
        <v>464</v>
      </c>
      <c r="AO24" s="35" t="s">
        <v>269</v>
      </c>
      <c r="AP24" s="35" t="s">
        <v>269</v>
      </c>
      <c r="AQ24" s="35" t="s">
        <v>269</v>
      </c>
      <c r="AR24" s="35" t="s">
        <v>269</v>
      </c>
      <c r="AS24" s="35" t="s">
        <v>269</v>
      </c>
      <c r="AT24" s="35" t="s">
        <v>269</v>
      </c>
      <c r="AU24" s="35" t="s">
        <v>269</v>
      </c>
      <c r="AV24" s="35" t="s">
        <v>269</v>
      </c>
      <c r="AW24" s="35" t="s">
        <v>269</v>
      </c>
      <c r="AX24" s="35" t="s">
        <v>269</v>
      </c>
      <c r="AY24" s="35" t="s">
        <v>269</v>
      </c>
      <c r="AZ24" s="35" t="s">
        <v>269</v>
      </c>
      <c r="BA24" s="35" t="s">
        <v>269</v>
      </c>
      <c r="BB24" s="35" t="s">
        <v>269</v>
      </c>
      <c r="BC24" s="35" t="s">
        <v>269</v>
      </c>
      <c r="BD24" s="35" t="s">
        <v>269</v>
      </c>
      <c r="BE24" s="35" t="s">
        <v>269</v>
      </c>
      <c r="BF24" s="35" t="s">
        <v>269</v>
      </c>
      <c r="BG24" s="35" t="s">
        <v>269</v>
      </c>
      <c r="BH24" s="300" t="s">
        <v>269</v>
      </c>
      <c r="BI24" s="300" t="s">
        <v>269</v>
      </c>
      <c r="BJ24" s="35" t="s">
        <v>269</v>
      </c>
      <c r="BK24" s="35" t="s">
        <v>269</v>
      </c>
      <c r="BL24" s="35" t="s">
        <v>269</v>
      </c>
      <c r="BM24" s="35" t="s">
        <v>269</v>
      </c>
      <c r="BN24" s="35" t="s">
        <v>449</v>
      </c>
      <c r="BO24" s="35" t="s">
        <v>269</v>
      </c>
      <c r="BP24" s="35" t="s">
        <v>269</v>
      </c>
      <c r="BQ24" s="35" t="s">
        <v>269</v>
      </c>
      <c r="BR24" s="35" t="s">
        <v>269</v>
      </c>
      <c r="BS24" s="35" t="s">
        <v>269</v>
      </c>
      <c r="BT24" s="35" t="s">
        <v>269</v>
      </c>
      <c r="BU24" s="35" t="s">
        <v>269</v>
      </c>
      <c r="BV24" s="35" t="s">
        <v>269</v>
      </c>
      <c r="BW24" s="35" t="s">
        <v>269</v>
      </c>
      <c r="BX24" s="35" t="s">
        <v>269</v>
      </c>
      <c r="BY24" s="35" t="s">
        <v>269</v>
      </c>
      <c r="BZ24" s="35" t="s">
        <v>269</v>
      </c>
      <c r="CA24" s="314" t="s">
        <v>269</v>
      </c>
      <c r="CB24" s="35" t="s">
        <v>269</v>
      </c>
      <c r="CC24" s="35" t="s">
        <v>269</v>
      </c>
      <c r="CD24" s="35" t="s">
        <v>269</v>
      </c>
      <c r="CE24" s="35" t="s">
        <v>269</v>
      </c>
      <c r="CF24" s="35" t="s">
        <v>269</v>
      </c>
      <c r="CG24" s="35" t="s">
        <v>269</v>
      </c>
      <c r="CH24" s="35" t="s">
        <v>269</v>
      </c>
      <c r="CI24" s="35" t="s">
        <v>449</v>
      </c>
      <c r="CJ24" s="35" t="s">
        <v>449</v>
      </c>
      <c r="CK24" s="35" t="s">
        <v>449</v>
      </c>
      <c r="CL24" s="35" t="s">
        <v>269</v>
      </c>
      <c r="CM24" s="35" t="s">
        <v>269</v>
      </c>
      <c r="CN24" s="35" t="s">
        <v>464</v>
      </c>
      <c r="CO24" s="35" t="s">
        <v>464</v>
      </c>
      <c r="CP24" s="35" t="s">
        <v>464</v>
      </c>
      <c r="CQ24" s="35" t="s">
        <v>464</v>
      </c>
      <c r="CR24" s="35" t="s">
        <v>464</v>
      </c>
      <c r="CS24" s="35" t="s">
        <v>464</v>
      </c>
      <c r="CT24" s="35" t="s">
        <v>464</v>
      </c>
      <c r="CU24" s="35" t="s">
        <v>464</v>
      </c>
      <c r="CV24" s="35" t="s">
        <v>464</v>
      </c>
      <c r="CW24" s="35" t="s">
        <v>269</v>
      </c>
      <c r="CX24" s="35" t="s">
        <v>464</v>
      </c>
      <c r="CY24" s="35" t="s">
        <v>464</v>
      </c>
      <c r="CZ24" s="35" t="s">
        <v>464</v>
      </c>
      <c r="DA24" s="35" t="s">
        <v>464</v>
      </c>
      <c r="DB24" s="239" t="s">
        <v>464</v>
      </c>
      <c r="DC24" s="239" t="s">
        <v>464</v>
      </c>
      <c r="DD24" s="239" t="s">
        <v>464</v>
      </c>
      <c r="DE24" s="15"/>
      <c r="DF24" s="35" t="s">
        <v>269</v>
      </c>
      <c r="DG24" s="35" t="s">
        <v>269</v>
      </c>
      <c r="DH24" s="35" t="s">
        <v>269</v>
      </c>
      <c r="DI24" s="35" t="s">
        <v>464</v>
      </c>
      <c r="DJ24" s="239" t="s">
        <v>464</v>
      </c>
      <c r="DK24" s="239" t="s">
        <v>269</v>
      </c>
      <c r="DL24" s="239" t="s">
        <v>464</v>
      </c>
      <c r="DM24" s="35" t="s">
        <v>464</v>
      </c>
      <c r="DN24" s="35" t="s">
        <v>464</v>
      </c>
      <c r="DO24" s="35" t="s">
        <v>464</v>
      </c>
      <c r="DP24" s="35" t="s">
        <v>464</v>
      </c>
      <c r="DQ24" s="73" t="s">
        <v>464</v>
      </c>
      <c r="DR24" s="73" t="s">
        <v>464</v>
      </c>
      <c r="DS24" s="73" t="s">
        <v>464</v>
      </c>
      <c r="DT24" s="73" t="s">
        <v>464</v>
      </c>
      <c r="DU24" s="73" t="s">
        <v>464</v>
      </c>
      <c r="DV24" s="73" t="s">
        <v>464</v>
      </c>
      <c r="DW24" s="203"/>
      <c r="DX24" s="203"/>
      <c r="DY24" s="203"/>
      <c r="DZ24" s="203"/>
      <c r="EA24" s="203"/>
      <c r="EB24" s="203"/>
      <c r="EC24" s="203"/>
      <c r="EK24" s="275"/>
      <c r="EL24" s="275"/>
      <c r="EM24" s="275"/>
      <c r="EN24" s="275"/>
      <c r="EO24" s="275"/>
      <c r="EP24" s="275"/>
      <c r="EQ24" s="275"/>
      <c r="ER24" s="275"/>
      <c r="ES24" s="275"/>
      <c r="ET24" s="275"/>
      <c r="EU24" s="275"/>
      <c r="EV24" s="275"/>
      <c r="EW24" s="275"/>
      <c r="EX24" s="275"/>
      <c r="EY24" s="275"/>
      <c r="EZ24" s="138"/>
      <c r="FA24" s="275"/>
      <c r="FB24" s="275"/>
      <c r="FC24" s="275"/>
      <c r="FD24" s="275"/>
      <c r="FE24" s="275"/>
      <c r="FF24" s="275"/>
      <c r="FG24" s="275"/>
      <c r="FH24" s="275"/>
      <c r="FI24" s="275"/>
      <c r="FJ24" s="275"/>
      <c r="FK24" s="275"/>
      <c r="FL24" s="275"/>
      <c r="FO24" s="15"/>
      <c r="FP24" s="138"/>
      <c r="FQ24" s="275"/>
      <c r="FR24" s="55"/>
      <c r="FS24" s="55"/>
      <c r="FT24" s="275"/>
      <c r="FU24" s="275"/>
      <c r="FV24" s="275"/>
      <c r="FW24" s="55"/>
      <c r="FX24" s="55"/>
      <c r="FY24" s="275"/>
      <c r="FZ24" s="275"/>
      <c r="GA24" s="35" t="s">
        <v>269</v>
      </c>
      <c r="GB24" s="35" t="s">
        <v>269</v>
      </c>
      <c r="GC24" s="35" t="s">
        <v>269</v>
      </c>
      <c r="GD24" s="35" t="s">
        <v>269</v>
      </c>
      <c r="GE24" s="55"/>
      <c r="GF24" s="55"/>
      <c r="GG24" s="55"/>
      <c r="GH24" s="55"/>
      <c r="GI24" s="55"/>
      <c r="GJ24" s="55"/>
      <c r="GK24" s="55"/>
    </row>
    <row r="25" spans="1:199" ht="14.25" thickTop="1" thickBot="1">
      <c r="A25" s="201" t="s">
        <v>329</v>
      </c>
      <c r="B25" s="61" t="s">
        <v>663</v>
      </c>
      <c r="C25" s="61" t="s">
        <v>519</v>
      </c>
      <c r="D25" s="83" t="s">
        <v>405</v>
      </c>
      <c r="E25" s="61" t="s">
        <v>306</v>
      </c>
      <c r="F25" s="133" t="s">
        <v>28</v>
      </c>
      <c r="G25" s="133" t="s">
        <v>67</v>
      </c>
      <c r="H25" s="83" t="s">
        <v>168</v>
      </c>
      <c r="I25" s="57" t="s">
        <v>314</v>
      </c>
      <c r="J25" s="57" t="s">
        <v>87</v>
      </c>
      <c r="K25" s="57" t="s">
        <v>230</v>
      </c>
      <c r="L25" s="57" t="s">
        <v>144</v>
      </c>
      <c r="M25" s="57" t="s">
        <v>434</v>
      </c>
      <c r="N25" s="57" t="s">
        <v>183</v>
      </c>
      <c r="O25" s="57" t="s">
        <v>302</v>
      </c>
      <c r="P25" s="57" t="s">
        <v>580</v>
      </c>
      <c r="Q25" s="57" t="s">
        <v>156</v>
      </c>
      <c r="R25" s="57" t="s">
        <v>303</v>
      </c>
      <c r="S25" s="57" t="s">
        <v>164</v>
      </c>
      <c r="T25" s="57" t="s">
        <v>408</v>
      </c>
      <c r="U25" s="57" t="s">
        <v>372</v>
      </c>
      <c r="V25" s="57" t="s">
        <v>105</v>
      </c>
      <c r="W25" s="57" t="s">
        <v>529</v>
      </c>
      <c r="X25" s="57" t="s">
        <v>478</v>
      </c>
      <c r="Y25" s="57" t="s">
        <v>439</v>
      </c>
      <c r="Z25" s="57" t="s">
        <v>75</v>
      </c>
      <c r="AA25" s="57" t="s">
        <v>675</v>
      </c>
      <c r="AB25" s="57" t="s">
        <v>111</v>
      </c>
      <c r="AC25" s="57" t="s">
        <v>293</v>
      </c>
      <c r="AD25" s="57" t="s">
        <v>312</v>
      </c>
      <c r="AE25" s="57" t="s">
        <v>416</v>
      </c>
      <c r="AF25" s="57" t="s">
        <v>430</v>
      </c>
      <c r="AG25" s="57" t="s">
        <v>438</v>
      </c>
      <c r="AH25" s="57" t="s">
        <v>705</v>
      </c>
      <c r="AI25" s="57" t="s">
        <v>15</v>
      </c>
      <c r="AJ25" s="57" t="s">
        <v>560</v>
      </c>
      <c r="AK25" s="57" t="s">
        <v>9</v>
      </c>
      <c r="AL25" s="57" t="s">
        <v>575</v>
      </c>
      <c r="AM25" s="57" t="s">
        <v>417</v>
      </c>
      <c r="AN25" s="57" t="s">
        <v>374</v>
      </c>
      <c r="AO25" s="57" t="s">
        <v>353</v>
      </c>
      <c r="AP25" s="57" t="s">
        <v>247</v>
      </c>
      <c r="AQ25" s="57" t="s">
        <v>497</v>
      </c>
      <c r="AR25" s="57" t="s">
        <v>402</v>
      </c>
      <c r="AS25" s="57" t="s">
        <v>447</v>
      </c>
      <c r="AT25" s="57" t="s">
        <v>452</v>
      </c>
      <c r="AU25" s="204" t="s">
        <v>119</v>
      </c>
      <c r="AV25" s="204" t="s">
        <v>589</v>
      </c>
      <c r="AW25" s="204" t="s">
        <v>64</v>
      </c>
      <c r="AX25" s="57" t="s">
        <v>480</v>
      </c>
      <c r="AY25" s="57" t="s">
        <v>548</v>
      </c>
      <c r="AZ25" s="204" t="s">
        <v>322</v>
      </c>
      <c r="BA25" s="204" t="s">
        <v>261</v>
      </c>
      <c r="BB25" s="204" t="s">
        <v>770</v>
      </c>
      <c r="BC25" s="204" t="s">
        <v>55</v>
      </c>
      <c r="BD25" s="196" t="s">
        <v>531</v>
      </c>
      <c r="BE25" s="204" t="s">
        <v>375</v>
      </c>
      <c r="BF25" s="204" t="s">
        <v>771</v>
      </c>
      <c r="BG25" s="204" t="s">
        <v>594</v>
      </c>
      <c r="BH25" s="306" t="s">
        <v>612</v>
      </c>
      <c r="BI25" s="306" t="s">
        <v>613</v>
      </c>
      <c r="BJ25" s="204" t="s">
        <v>574</v>
      </c>
      <c r="BK25" s="204" t="s">
        <v>359</v>
      </c>
      <c r="BL25" s="204" t="s">
        <v>93</v>
      </c>
      <c r="BM25" s="204" t="s">
        <v>199</v>
      </c>
      <c r="BN25" s="204" t="s">
        <v>252</v>
      </c>
      <c r="BO25" s="204" t="s">
        <v>152</v>
      </c>
      <c r="BP25" s="204" t="s">
        <v>556</v>
      </c>
      <c r="BQ25" s="204" t="s">
        <v>499</v>
      </c>
      <c r="BR25" s="204" t="s">
        <v>210</v>
      </c>
      <c r="BS25" s="204" t="s">
        <v>163</v>
      </c>
      <c r="BT25" s="204" t="s">
        <v>201</v>
      </c>
      <c r="BU25" s="204" t="s">
        <v>54</v>
      </c>
      <c r="BV25" s="204" t="s">
        <v>133</v>
      </c>
      <c r="BW25" s="204" t="s">
        <v>234</v>
      </c>
      <c r="BX25" s="204" t="s">
        <v>56</v>
      </c>
      <c r="BY25" s="204" t="s">
        <v>441</v>
      </c>
      <c r="BZ25" s="204" t="s">
        <v>108</v>
      </c>
      <c r="CA25" s="309" t="s">
        <v>666</v>
      </c>
      <c r="CB25" s="204" t="s">
        <v>668</v>
      </c>
      <c r="CC25" s="204" t="s">
        <v>670</v>
      </c>
      <c r="CD25" s="204" t="s">
        <v>657</v>
      </c>
      <c r="CE25" s="204" t="s">
        <v>658</v>
      </c>
      <c r="CF25" s="204" t="s">
        <v>659</v>
      </c>
      <c r="CG25" s="204" t="s">
        <v>332</v>
      </c>
      <c r="CH25" s="204" t="s">
        <v>361</v>
      </c>
      <c r="CI25" s="204" t="s">
        <v>522</v>
      </c>
      <c r="CJ25" s="204" t="s">
        <v>563</v>
      </c>
      <c r="CK25" s="204" t="s">
        <v>414</v>
      </c>
      <c r="CL25" s="204" t="s">
        <v>72</v>
      </c>
      <c r="CM25" s="204" t="s">
        <v>35</v>
      </c>
      <c r="CN25" s="204" t="s">
        <v>461</v>
      </c>
      <c r="CO25" s="204" t="s">
        <v>84</v>
      </c>
      <c r="CP25" s="204" t="s">
        <v>543</v>
      </c>
      <c r="CQ25" s="204" t="s">
        <v>592</v>
      </c>
      <c r="CR25" s="204" t="s">
        <v>490</v>
      </c>
      <c r="CS25" s="204" t="s">
        <v>403</v>
      </c>
      <c r="CT25" s="204" t="s">
        <v>725</v>
      </c>
      <c r="CU25" s="204" t="s">
        <v>97</v>
      </c>
      <c r="CV25" s="204" t="s">
        <v>191</v>
      </c>
      <c r="CW25" s="204" t="s">
        <v>708</v>
      </c>
      <c r="CX25" s="204" t="s">
        <v>385</v>
      </c>
      <c r="CY25" s="204" t="s">
        <v>588</v>
      </c>
      <c r="CZ25" s="204" t="s">
        <v>155</v>
      </c>
      <c r="DA25" s="204" t="s">
        <v>590</v>
      </c>
      <c r="DB25" s="147" t="s">
        <v>362</v>
      </c>
      <c r="DC25" s="147" t="s">
        <v>171</v>
      </c>
      <c r="DD25" s="147" t="s">
        <v>429</v>
      </c>
      <c r="DE25" s="15"/>
      <c r="DF25" s="204" t="s">
        <v>21</v>
      </c>
      <c r="DG25" s="172" t="s">
        <v>328</v>
      </c>
      <c r="DH25" s="172" t="s">
        <v>454</v>
      </c>
      <c r="DI25" s="172" t="s">
        <v>758</v>
      </c>
      <c r="DJ25" s="147" t="s">
        <v>42</v>
      </c>
      <c r="DK25" s="147" t="s">
        <v>688</v>
      </c>
      <c r="DL25" s="147" t="s">
        <v>45</v>
      </c>
      <c r="DM25" s="204" t="s">
        <v>151</v>
      </c>
      <c r="DN25" s="204" t="s">
        <v>440</v>
      </c>
      <c r="DO25" s="204" t="s">
        <v>400</v>
      </c>
      <c r="DP25" s="204" t="s">
        <v>508</v>
      </c>
      <c r="DQ25" s="153" t="s">
        <v>65</v>
      </c>
      <c r="DR25" s="153" t="s">
        <v>271</v>
      </c>
      <c r="DS25" s="153" t="s">
        <v>13</v>
      </c>
      <c r="DT25" s="2" t="s">
        <v>472</v>
      </c>
      <c r="DU25" s="2" t="s">
        <v>11</v>
      </c>
      <c r="DV25" s="2" t="s">
        <v>586</v>
      </c>
      <c r="DW25" s="99"/>
      <c r="DX25" s="99"/>
      <c r="DY25" s="99"/>
      <c r="DZ25" s="99"/>
      <c r="EA25" s="99"/>
      <c r="EB25" s="99"/>
      <c r="EC25" s="99"/>
      <c r="EK25" s="15"/>
      <c r="EL25" s="15"/>
      <c r="EM25" s="15"/>
      <c r="EN25" s="15"/>
      <c r="EO25" s="15"/>
      <c r="EP25" s="15"/>
      <c r="EQ25" s="15"/>
      <c r="ER25" s="15"/>
      <c r="ES25" s="15"/>
      <c r="ET25" s="15"/>
      <c r="EU25" s="15"/>
      <c r="EV25" s="15"/>
      <c r="EW25" s="15"/>
      <c r="EX25" s="15"/>
      <c r="EY25" s="15"/>
      <c r="EZ25" s="138"/>
      <c r="FA25" s="15"/>
      <c r="FB25" s="15"/>
      <c r="FC25" s="15"/>
      <c r="FD25" s="15"/>
      <c r="FE25" s="15"/>
      <c r="FF25" s="15"/>
      <c r="FG25" s="15"/>
      <c r="FH25" s="15"/>
      <c r="FI25" s="15"/>
      <c r="FJ25" s="15"/>
      <c r="FK25" s="15"/>
      <c r="FL25" s="15"/>
      <c r="FO25" s="15"/>
      <c r="FP25" s="138"/>
      <c r="FQ25" s="138"/>
      <c r="FR25" s="55"/>
      <c r="FS25" s="55"/>
      <c r="FT25" s="138"/>
      <c r="FU25" s="138"/>
      <c r="FV25" s="138"/>
      <c r="FW25" s="55"/>
      <c r="FX25" s="55"/>
      <c r="FY25" s="55"/>
      <c r="FZ25" s="55"/>
      <c r="GA25" s="204" t="s">
        <v>51</v>
      </c>
      <c r="GB25" s="57" t="s">
        <v>287</v>
      </c>
      <c r="GC25" s="204" t="s">
        <v>551</v>
      </c>
      <c r="GD25" s="57" t="s">
        <v>585</v>
      </c>
      <c r="GE25" s="55"/>
      <c r="GF25" s="55"/>
      <c r="GG25" s="55"/>
      <c r="GH25" s="55"/>
      <c r="GI25" s="55"/>
      <c r="GJ25" s="55"/>
      <c r="GK25" s="55"/>
    </row>
    <row r="26" spans="1:199" ht="14.25" thickTop="1" thickBot="1">
      <c r="A26" s="201" t="s">
        <v>44</v>
      </c>
      <c r="B26" s="35" t="s">
        <v>269</v>
      </c>
      <c r="C26" s="35" t="s">
        <v>269</v>
      </c>
      <c r="D26" s="35" t="s">
        <v>269</v>
      </c>
      <c r="E26" s="35" t="s">
        <v>269</v>
      </c>
      <c r="F26" s="73" t="s">
        <v>449</v>
      </c>
      <c r="G26" s="73" t="s">
        <v>565</v>
      </c>
      <c r="H26" s="35" t="s">
        <v>269</v>
      </c>
      <c r="I26" s="35" t="s">
        <v>269</v>
      </c>
      <c r="J26" s="35" t="s">
        <v>269</v>
      </c>
      <c r="K26" s="35" t="s">
        <v>269</v>
      </c>
      <c r="L26" s="35" t="s">
        <v>269</v>
      </c>
      <c r="M26" s="35" t="s">
        <v>269</v>
      </c>
      <c r="N26" s="35" t="s">
        <v>269</v>
      </c>
      <c r="O26" s="35" t="s">
        <v>269</v>
      </c>
      <c r="P26" s="35" t="s">
        <v>269</v>
      </c>
      <c r="Q26" s="35" t="s">
        <v>269</v>
      </c>
      <c r="R26" s="35" t="s">
        <v>269</v>
      </c>
      <c r="S26" s="35" t="s">
        <v>269</v>
      </c>
      <c r="T26" s="35" t="s">
        <v>269</v>
      </c>
      <c r="U26" s="35" t="s">
        <v>269</v>
      </c>
      <c r="V26" s="35" t="s">
        <v>269</v>
      </c>
      <c r="W26" s="35" t="s">
        <v>269</v>
      </c>
      <c r="X26" s="35" t="s">
        <v>269</v>
      </c>
      <c r="Y26" s="35" t="s">
        <v>269</v>
      </c>
      <c r="Z26" s="35" t="s">
        <v>449</v>
      </c>
      <c r="AA26" s="35" t="s">
        <v>565</v>
      </c>
      <c r="AB26" s="35" t="s">
        <v>269</v>
      </c>
      <c r="AC26" s="35" t="s">
        <v>269</v>
      </c>
      <c r="AD26" s="35" t="s">
        <v>269</v>
      </c>
      <c r="AE26" s="35" t="s">
        <v>269</v>
      </c>
      <c r="AF26" s="35" t="s">
        <v>269</v>
      </c>
      <c r="AG26" s="35" t="s">
        <v>269</v>
      </c>
      <c r="AH26" s="35" t="s">
        <v>269</v>
      </c>
      <c r="AI26" s="35" t="s">
        <v>269</v>
      </c>
      <c r="AJ26" s="35" t="s">
        <v>269</v>
      </c>
      <c r="AK26" s="35" t="s">
        <v>269</v>
      </c>
      <c r="AL26" s="35" t="s">
        <v>269</v>
      </c>
      <c r="AM26" s="35" t="s">
        <v>464</v>
      </c>
      <c r="AN26" s="35" t="s">
        <v>464</v>
      </c>
      <c r="AO26" s="35" t="s">
        <v>269</v>
      </c>
      <c r="AP26" s="35" t="s">
        <v>269</v>
      </c>
      <c r="AQ26" s="35" t="s">
        <v>269</v>
      </c>
      <c r="AR26" s="35" t="s">
        <v>269</v>
      </c>
      <c r="AS26" s="35" t="s">
        <v>269</v>
      </c>
      <c r="AT26" s="35" t="s">
        <v>269</v>
      </c>
      <c r="AU26" s="35" t="s">
        <v>269</v>
      </c>
      <c r="AV26" s="35" t="s">
        <v>269</v>
      </c>
      <c r="AW26" s="35" t="s">
        <v>269</v>
      </c>
      <c r="AX26" s="35" t="s">
        <v>269</v>
      </c>
      <c r="AY26" s="35" t="s">
        <v>269</v>
      </c>
      <c r="AZ26" s="35" t="s">
        <v>269</v>
      </c>
      <c r="BA26" s="35" t="s">
        <v>269</v>
      </c>
      <c r="BB26" s="35" t="s">
        <v>269</v>
      </c>
      <c r="BC26" s="35" t="s">
        <v>269</v>
      </c>
      <c r="BD26" s="35" t="s">
        <v>269</v>
      </c>
      <c r="BE26" s="35" t="s">
        <v>269</v>
      </c>
      <c r="BF26" s="35" t="s">
        <v>269</v>
      </c>
      <c r="BG26" s="35" t="s">
        <v>269</v>
      </c>
      <c r="BH26" s="300" t="s">
        <v>269</v>
      </c>
      <c r="BI26" s="300" t="s">
        <v>269</v>
      </c>
      <c r="BJ26" s="35" t="s">
        <v>269</v>
      </c>
      <c r="BK26" s="35" t="s">
        <v>269</v>
      </c>
      <c r="BL26" s="35" t="s">
        <v>269</v>
      </c>
      <c r="BM26" s="35" t="s">
        <v>269</v>
      </c>
      <c r="BN26" s="35" t="s">
        <v>449</v>
      </c>
      <c r="BO26" s="35" t="s">
        <v>269</v>
      </c>
      <c r="BP26" s="35" t="s">
        <v>269</v>
      </c>
      <c r="BQ26" s="35" t="s">
        <v>269</v>
      </c>
      <c r="BR26" s="35" t="s">
        <v>269</v>
      </c>
      <c r="BS26" s="35" t="s">
        <v>269</v>
      </c>
      <c r="BT26" s="35" t="s">
        <v>269</v>
      </c>
      <c r="BU26" s="35" t="s">
        <v>269</v>
      </c>
      <c r="BV26" s="35" t="s">
        <v>269</v>
      </c>
      <c r="BW26" s="35" t="s">
        <v>269</v>
      </c>
      <c r="BX26" s="35" t="s">
        <v>269</v>
      </c>
      <c r="BY26" s="35" t="s">
        <v>464</v>
      </c>
      <c r="BZ26" s="35" t="s">
        <v>464</v>
      </c>
      <c r="CA26" s="314" t="s">
        <v>269</v>
      </c>
      <c r="CB26" s="35" t="s">
        <v>269</v>
      </c>
      <c r="CC26" s="35" t="s">
        <v>269</v>
      </c>
      <c r="CD26" s="35" t="s">
        <v>269</v>
      </c>
      <c r="CE26" s="35" t="s">
        <v>269</v>
      </c>
      <c r="CF26" s="35" t="s">
        <v>269</v>
      </c>
      <c r="CG26" s="35" t="s">
        <v>269</v>
      </c>
      <c r="CH26" s="35" t="s">
        <v>269</v>
      </c>
      <c r="CI26" s="35" t="s">
        <v>464</v>
      </c>
      <c r="CJ26" s="35" t="s">
        <v>464</v>
      </c>
      <c r="CK26" s="35" t="s">
        <v>464</v>
      </c>
      <c r="CL26" s="35" t="s">
        <v>269</v>
      </c>
      <c r="CM26" s="35" t="s">
        <v>269</v>
      </c>
      <c r="CN26" s="35" t="s">
        <v>464</v>
      </c>
      <c r="CO26" s="35" t="s">
        <v>464</v>
      </c>
      <c r="CP26" s="35" t="s">
        <v>464</v>
      </c>
      <c r="CQ26" s="35" t="s">
        <v>464</v>
      </c>
      <c r="CR26" s="35" t="s">
        <v>464</v>
      </c>
      <c r="CS26" s="35" t="s">
        <v>464</v>
      </c>
      <c r="CT26" s="35" t="s">
        <v>464</v>
      </c>
      <c r="CU26" s="35" t="s">
        <v>464</v>
      </c>
      <c r="CV26" s="35" t="s">
        <v>464</v>
      </c>
      <c r="CW26" s="35" t="s">
        <v>269</v>
      </c>
      <c r="CX26" s="35" t="s">
        <v>464</v>
      </c>
      <c r="CY26" s="35" t="s">
        <v>464</v>
      </c>
      <c r="CZ26" s="35" t="s">
        <v>464</v>
      </c>
      <c r="DA26" s="35" t="s">
        <v>464</v>
      </c>
      <c r="DB26" s="239" t="s">
        <v>464</v>
      </c>
      <c r="DC26" s="239" t="s">
        <v>464</v>
      </c>
      <c r="DD26" s="239" t="s">
        <v>464</v>
      </c>
      <c r="DE26" s="15"/>
      <c r="DF26" s="35" t="s">
        <v>269</v>
      </c>
      <c r="DG26" s="35" t="s">
        <v>269</v>
      </c>
      <c r="DH26" s="35" t="s">
        <v>269</v>
      </c>
      <c r="DI26" s="35" t="s">
        <v>464</v>
      </c>
      <c r="DJ26" s="239" t="s">
        <v>464</v>
      </c>
      <c r="DK26" s="239" t="s">
        <v>269</v>
      </c>
      <c r="DL26" s="239" t="s">
        <v>464</v>
      </c>
      <c r="DM26" s="35" t="s">
        <v>464</v>
      </c>
      <c r="DN26" s="35" t="s">
        <v>464</v>
      </c>
      <c r="DO26" s="35" t="s">
        <v>464</v>
      </c>
      <c r="DP26" s="35" t="s">
        <v>464</v>
      </c>
      <c r="DQ26" s="73" t="s">
        <v>464</v>
      </c>
      <c r="DR26" s="73" t="s">
        <v>464</v>
      </c>
      <c r="DS26" s="73" t="s">
        <v>464</v>
      </c>
      <c r="DT26" s="73" t="s">
        <v>464</v>
      </c>
      <c r="DU26" s="73" t="s">
        <v>464</v>
      </c>
      <c r="DV26" s="73" t="s">
        <v>464</v>
      </c>
      <c r="DW26" s="73" t="s">
        <v>464</v>
      </c>
      <c r="DX26" s="73" t="s">
        <v>464</v>
      </c>
      <c r="DY26" s="73" t="s">
        <v>464</v>
      </c>
      <c r="DZ26" s="73" t="s">
        <v>464</v>
      </c>
      <c r="EA26" s="73" t="s">
        <v>464</v>
      </c>
      <c r="EB26" s="73" t="s">
        <v>464</v>
      </c>
      <c r="EC26" s="73" t="s">
        <v>464</v>
      </c>
      <c r="ED26" s="35" t="s">
        <v>269</v>
      </c>
      <c r="EE26" s="35" t="s">
        <v>269</v>
      </c>
      <c r="EF26" s="35" t="s">
        <v>464</v>
      </c>
      <c r="EG26" s="35" t="s">
        <v>464</v>
      </c>
      <c r="EH26" s="35" t="s">
        <v>464</v>
      </c>
      <c r="EI26" s="35" t="s">
        <v>464</v>
      </c>
      <c r="EJ26" s="35" t="s">
        <v>464</v>
      </c>
      <c r="EK26" s="15"/>
      <c r="EL26" s="15"/>
      <c r="EM26" s="35" t="s">
        <v>269</v>
      </c>
      <c r="EN26" s="15"/>
      <c r="EO26" s="15"/>
      <c r="EP26" s="15"/>
      <c r="EQ26" s="15"/>
      <c r="ER26" s="15"/>
      <c r="ES26" s="15"/>
      <c r="ET26" s="15"/>
      <c r="EU26" s="15"/>
      <c r="EV26" s="15"/>
      <c r="EW26" s="15"/>
      <c r="EX26" s="15"/>
      <c r="EY26" s="15"/>
      <c r="EZ26" s="138"/>
      <c r="FA26" s="15"/>
      <c r="FB26" s="15"/>
      <c r="FC26" s="15"/>
      <c r="FD26" s="15"/>
      <c r="FE26" s="15"/>
      <c r="FF26" s="15"/>
      <c r="FG26" s="15"/>
      <c r="FH26" s="15"/>
      <c r="FI26" s="15"/>
      <c r="FJ26" s="15"/>
      <c r="FK26" s="15"/>
      <c r="FL26" s="35" t="s">
        <v>269</v>
      </c>
      <c r="FM26" s="35" t="s">
        <v>269</v>
      </c>
      <c r="FN26" s="35" t="s">
        <v>269</v>
      </c>
      <c r="FO26" s="35" t="s">
        <v>464</v>
      </c>
      <c r="FP26" s="35" t="s">
        <v>464</v>
      </c>
      <c r="FQ26" s="35" t="s">
        <v>565</v>
      </c>
      <c r="FR26" s="55"/>
      <c r="FS26" s="55"/>
      <c r="FT26" s="35" t="s">
        <v>269</v>
      </c>
      <c r="FU26" s="35" t="s">
        <v>269</v>
      </c>
      <c r="FV26" s="35" t="s">
        <v>464</v>
      </c>
      <c r="FW26" s="55"/>
      <c r="FX26" s="55"/>
      <c r="FY26" s="55"/>
      <c r="FZ26" s="55"/>
      <c r="GA26" s="35" t="s">
        <v>269</v>
      </c>
      <c r="GB26" s="35" t="s">
        <v>269</v>
      </c>
      <c r="GC26" s="35" t="s">
        <v>269</v>
      </c>
      <c r="GD26" s="35" t="s">
        <v>269</v>
      </c>
      <c r="GE26" s="55"/>
      <c r="GF26" s="55"/>
      <c r="GG26" s="55"/>
      <c r="GH26" s="55"/>
      <c r="GI26" s="55"/>
      <c r="GJ26" s="55"/>
      <c r="GK26" s="55"/>
    </row>
    <row r="27" spans="1:199" ht="14.25" thickTop="1" thickBot="1">
      <c r="A27" s="201" t="s">
        <v>49</v>
      </c>
      <c r="B27" s="61" t="s">
        <v>663</v>
      </c>
      <c r="C27" s="61" t="s">
        <v>519</v>
      </c>
      <c r="D27" s="83" t="s">
        <v>405</v>
      </c>
      <c r="E27" s="61" t="s">
        <v>306</v>
      </c>
      <c r="F27" s="133" t="s">
        <v>28</v>
      </c>
      <c r="G27" s="133" t="s">
        <v>67</v>
      </c>
      <c r="H27" s="83" t="s">
        <v>168</v>
      </c>
      <c r="I27" s="57" t="s">
        <v>314</v>
      </c>
      <c r="J27" s="57" t="s">
        <v>87</v>
      </c>
      <c r="K27" s="57" t="s">
        <v>230</v>
      </c>
      <c r="L27" s="57" t="s">
        <v>144</v>
      </c>
      <c r="M27" s="57" t="s">
        <v>434</v>
      </c>
      <c r="N27" s="57" t="s">
        <v>183</v>
      </c>
      <c r="O27" s="57" t="s">
        <v>302</v>
      </c>
      <c r="P27" s="57" t="s">
        <v>580</v>
      </c>
      <c r="Q27" s="57" t="s">
        <v>156</v>
      </c>
      <c r="R27" s="57" t="s">
        <v>303</v>
      </c>
      <c r="S27" s="57" t="s">
        <v>164</v>
      </c>
      <c r="T27" s="57" t="s">
        <v>408</v>
      </c>
      <c r="U27" s="57" t="s">
        <v>372</v>
      </c>
      <c r="V27" s="57" t="s">
        <v>105</v>
      </c>
      <c r="W27" s="57" t="s">
        <v>529</v>
      </c>
      <c r="X27" s="57" t="s">
        <v>478</v>
      </c>
      <c r="Y27" s="57" t="s">
        <v>439</v>
      </c>
      <c r="Z27" s="57" t="s">
        <v>75</v>
      </c>
      <c r="AA27" s="57" t="s">
        <v>675</v>
      </c>
      <c r="AB27" s="57" t="s">
        <v>111</v>
      </c>
      <c r="AC27" s="57" t="s">
        <v>293</v>
      </c>
      <c r="AD27" s="57" t="s">
        <v>312</v>
      </c>
      <c r="AE27" s="57" t="s">
        <v>416</v>
      </c>
      <c r="AF27" s="57" t="s">
        <v>430</v>
      </c>
      <c r="AG27" s="57" t="s">
        <v>438</v>
      </c>
      <c r="AH27" s="57" t="s">
        <v>705</v>
      </c>
      <c r="AI27" s="57" t="s">
        <v>15</v>
      </c>
      <c r="AJ27" s="57" t="s">
        <v>560</v>
      </c>
      <c r="AK27" s="57" t="s">
        <v>9</v>
      </c>
      <c r="AL27" s="57" t="s">
        <v>575</v>
      </c>
      <c r="AM27" s="57" t="s">
        <v>417</v>
      </c>
      <c r="AN27" s="57" t="s">
        <v>374</v>
      </c>
      <c r="AO27" s="57" t="s">
        <v>353</v>
      </c>
      <c r="AP27" s="57" t="s">
        <v>247</v>
      </c>
      <c r="AQ27" s="57" t="s">
        <v>497</v>
      </c>
      <c r="AR27" s="57" t="s">
        <v>402</v>
      </c>
      <c r="AS27" s="57" t="s">
        <v>447</v>
      </c>
      <c r="AT27" s="57" t="s">
        <v>452</v>
      </c>
      <c r="AU27" s="204" t="s">
        <v>119</v>
      </c>
      <c r="AV27" s="204" t="s">
        <v>589</v>
      </c>
      <c r="AW27" s="204" t="s">
        <v>64</v>
      </c>
      <c r="AX27" s="57" t="s">
        <v>480</v>
      </c>
      <c r="AY27" s="57" t="s">
        <v>548</v>
      </c>
      <c r="AZ27" s="204" t="s">
        <v>322</v>
      </c>
      <c r="BA27" s="204" t="s">
        <v>261</v>
      </c>
      <c r="BB27" s="204" t="s">
        <v>770</v>
      </c>
      <c r="BC27" s="204" t="s">
        <v>55</v>
      </c>
      <c r="BD27" s="196" t="s">
        <v>531</v>
      </c>
      <c r="BE27" s="204" t="s">
        <v>375</v>
      </c>
      <c r="BF27" s="204" t="s">
        <v>771</v>
      </c>
      <c r="BG27" s="204" t="s">
        <v>594</v>
      </c>
      <c r="BH27" s="306" t="s">
        <v>612</v>
      </c>
      <c r="BI27" s="306" t="s">
        <v>613</v>
      </c>
      <c r="BJ27" s="204" t="s">
        <v>574</v>
      </c>
      <c r="BK27" s="204" t="s">
        <v>359</v>
      </c>
      <c r="BL27" s="204" t="s">
        <v>93</v>
      </c>
      <c r="BM27" s="204" t="s">
        <v>199</v>
      </c>
      <c r="BN27" s="204" t="s">
        <v>252</v>
      </c>
      <c r="BO27" s="204" t="s">
        <v>152</v>
      </c>
      <c r="BP27" s="204" t="s">
        <v>556</v>
      </c>
      <c r="BQ27" s="204" t="s">
        <v>499</v>
      </c>
      <c r="BR27" s="204" t="s">
        <v>210</v>
      </c>
      <c r="BS27" s="204" t="s">
        <v>163</v>
      </c>
      <c r="BT27" s="204" t="s">
        <v>201</v>
      </c>
      <c r="BU27" s="204" t="s">
        <v>54</v>
      </c>
      <c r="BV27" s="204" t="s">
        <v>133</v>
      </c>
      <c r="BW27" s="204" t="s">
        <v>234</v>
      </c>
      <c r="BX27" s="204" t="s">
        <v>56</v>
      </c>
      <c r="BY27" s="204" t="s">
        <v>441</v>
      </c>
      <c r="BZ27" s="204" t="s">
        <v>108</v>
      </c>
      <c r="CA27" s="309" t="s">
        <v>666</v>
      </c>
      <c r="CB27" s="204" t="s">
        <v>668</v>
      </c>
      <c r="CC27" s="204" t="s">
        <v>670</v>
      </c>
      <c r="CD27" s="204" t="s">
        <v>657</v>
      </c>
      <c r="CE27" s="204" t="s">
        <v>658</v>
      </c>
      <c r="CF27" s="204" t="s">
        <v>659</v>
      </c>
      <c r="CG27" s="204" t="s">
        <v>332</v>
      </c>
      <c r="CH27" s="204" t="s">
        <v>361</v>
      </c>
      <c r="CI27" s="204" t="s">
        <v>522</v>
      </c>
      <c r="CJ27" s="204" t="s">
        <v>563</v>
      </c>
      <c r="CK27" s="204" t="s">
        <v>414</v>
      </c>
      <c r="CL27" s="204" t="s">
        <v>72</v>
      </c>
      <c r="CM27" s="204" t="s">
        <v>35</v>
      </c>
      <c r="CN27" s="204" t="s">
        <v>461</v>
      </c>
      <c r="CO27" s="204" t="s">
        <v>84</v>
      </c>
      <c r="CP27" s="204" t="s">
        <v>543</v>
      </c>
      <c r="CQ27" s="204" t="s">
        <v>592</v>
      </c>
      <c r="CR27" s="204" t="s">
        <v>490</v>
      </c>
      <c r="CS27" s="204" t="s">
        <v>403</v>
      </c>
      <c r="CT27" s="204" t="s">
        <v>725</v>
      </c>
      <c r="CU27" s="204" t="s">
        <v>97</v>
      </c>
      <c r="CV27" s="204" t="s">
        <v>191</v>
      </c>
      <c r="CW27" s="204" t="s">
        <v>708</v>
      </c>
      <c r="CX27" s="204" t="s">
        <v>385</v>
      </c>
      <c r="CY27" s="204" t="s">
        <v>588</v>
      </c>
      <c r="CZ27" s="204" t="s">
        <v>155</v>
      </c>
      <c r="DA27" s="204" t="s">
        <v>590</v>
      </c>
      <c r="DB27" s="147" t="s">
        <v>362</v>
      </c>
      <c r="DC27" s="147" t="s">
        <v>171</v>
      </c>
      <c r="DD27" s="147" t="s">
        <v>429</v>
      </c>
      <c r="DF27" s="204" t="s">
        <v>21</v>
      </c>
      <c r="DG27" s="172" t="s">
        <v>328</v>
      </c>
      <c r="DH27" s="172" t="s">
        <v>454</v>
      </c>
      <c r="DI27" s="172" t="s">
        <v>758</v>
      </c>
      <c r="DJ27" s="147" t="s">
        <v>85</v>
      </c>
      <c r="DK27" s="147" t="s">
        <v>688</v>
      </c>
      <c r="DL27" s="147" t="s">
        <v>45</v>
      </c>
      <c r="DM27" s="204" t="s">
        <v>151</v>
      </c>
      <c r="DN27" s="204" t="s">
        <v>440</v>
      </c>
      <c r="DO27" s="204" t="s">
        <v>400</v>
      </c>
      <c r="DP27" s="204" t="s">
        <v>508</v>
      </c>
      <c r="DQ27" s="153" t="s">
        <v>65</v>
      </c>
      <c r="DR27" s="153" t="s">
        <v>271</v>
      </c>
      <c r="DS27" s="153" t="s">
        <v>13</v>
      </c>
      <c r="DT27" s="153" t="s">
        <v>472</v>
      </c>
      <c r="DU27" s="153" t="s">
        <v>11</v>
      </c>
      <c r="DV27" s="153" t="s">
        <v>586</v>
      </c>
      <c r="DW27" s="153" t="s">
        <v>113</v>
      </c>
      <c r="DX27" s="153" t="s">
        <v>298</v>
      </c>
      <c r="DY27" s="153" t="s">
        <v>131</v>
      </c>
      <c r="DZ27" s="153" t="s">
        <v>458</v>
      </c>
      <c r="EA27" s="153" t="s">
        <v>444</v>
      </c>
      <c r="EB27" s="153" t="s">
        <v>14</v>
      </c>
      <c r="EC27" s="153" t="s">
        <v>172</v>
      </c>
      <c r="ED27" s="204" t="s">
        <v>679</v>
      </c>
      <c r="EE27" s="204" t="s">
        <v>253</v>
      </c>
      <c r="EF27" s="204" t="s">
        <v>672</v>
      </c>
      <c r="EG27" s="204" t="s">
        <v>724</v>
      </c>
      <c r="EH27" s="204" t="s">
        <v>716</v>
      </c>
      <c r="EI27" s="204" t="s">
        <v>0</v>
      </c>
      <c r="EJ27" s="204" t="s">
        <v>349</v>
      </c>
      <c r="EM27" s="172" t="s">
        <v>690</v>
      </c>
      <c r="FL27" s="172" t="s">
        <v>500</v>
      </c>
      <c r="FM27" s="204" t="s">
        <v>576</v>
      </c>
      <c r="FN27" s="204" t="s">
        <v>126</v>
      </c>
      <c r="FO27" s="172" t="s">
        <v>537</v>
      </c>
      <c r="FP27" s="204" t="s">
        <v>492</v>
      </c>
      <c r="FQ27" s="204" t="s">
        <v>540</v>
      </c>
      <c r="FT27" s="204" t="s">
        <v>720</v>
      </c>
      <c r="FU27" s="204" t="s">
        <v>721</v>
      </c>
      <c r="FV27" s="204" t="s">
        <v>723</v>
      </c>
      <c r="GA27" s="204" t="s">
        <v>51</v>
      </c>
      <c r="GB27" s="57" t="s">
        <v>287</v>
      </c>
      <c r="GC27" s="204" t="s">
        <v>551</v>
      </c>
      <c r="GD27" s="57" t="s">
        <v>585</v>
      </c>
    </row>
    <row r="28" spans="1:199" ht="13.5" thickTop="1">
      <c r="A28" s="201"/>
      <c r="B28" s="220"/>
      <c r="C28" s="220"/>
      <c r="D28" s="15"/>
      <c r="E28" s="15"/>
      <c r="F28" s="8"/>
      <c r="G28" s="8"/>
      <c r="H28" s="15"/>
      <c r="I28" s="15"/>
      <c r="J28" s="15"/>
      <c r="K28" s="15"/>
      <c r="L28" s="15"/>
      <c r="M28" s="15"/>
      <c r="N28" s="15"/>
      <c r="O28" s="15"/>
      <c r="P28" s="15"/>
      <c r="Q28" s="15"/>
      <c r="R28" s="15"/>
      <c r="S28" s="55"/>
      <c r="T28" s="55"/>
      <c r="U28" s="55"/>
      <c r="V28" s="55"/>
      <c r="W28" s="55"/>
      <c r="X28" s="55"/>
      <c r="Y28" s="55"/>
      <c r="Z28" s="55"/>
      <c r="AA28" s="55"/>
      <c r="AB28" s="55"/>
      <c r="AC28" s="15"/>
      <c r="AD28" s="15"/>
      <c r="AE28" s="15"/>
      <c r="AF28" s="15"/>
      <c r="AG28" s="15"/>
      <c r="AH28" s="15"/>
      <c r="AI28" s="15"/>
      <c r="AJ28" s="15"/>
      <c r="AK28" s="15"/>
      <c r="AL28" s="15"/>
      <c r="AM28" s="55"/>
      <c r="AN28" s="55"/>
      <c r="AO28" s="15"/>
      <c r="AP28" s="15"/>
      <c r="AQ28" s="15"/>
      <c r="AR28" s="15"/>
      <c r="AS28" s="15"/>
      <c r="AT28" s="15"/>
      <c r="AU28" s="55"/>
      <c r="AV28" s="55"/>
      <c r="AW28" s="15"/>
      <c r="AX28" s="55"/>
      <c r="AY28" s="55"/>
      <c r="AZ28" s="103"/>
      <c r="BA28" s="21"/>
      <c r="BB28" s="21"/>
      <c r="BC28" s="21"/>
      <c r="BD28" s="55"/>
      <c r="BE28" s="21"/>
      <c r="BF28" s="21"/>
      <c r="BG28" s="21"/>
      <c r="BH28" s="305"/>
      <c r="BI28" s="305"/>
      <c r="BJ28" s="21"/>
      <c r="BK28" s="21"/>
      <c r="BL28" s="15"/>
      <c r="BM28" s="55"/>
      <c r="BN28" s="55"/>
      <c r="BO28" s="55"/>
      <c r="BP28" s="15"/>
      <c r="BQ28" s="15"/>
      <c r="BR28" s="55"/>
      <c r="BS28" s="55"/>
      <c r="BT28" s="55"/>
      <c r="BU28" s="55"/>
      <c r="BV28" s="15"/>
      <c r="BW28" s="15"/>
      <c r="BX28" s="15"/>
      <c r="BY28" s="15"/>
      <c r="BZ28" s="15"/>
      <c r="CA28" s="315"/>
      <c r="CB28" s="55"/>
      <c r="CC28" s="55"/>
      <c r="CD28" s="55"/>
      <c r="CE28" s="55"/>
      <c r="CF28" s="55"/>
      <c r="CG28" s="55"/>
      <c r="CM28" s="55"/>
      <c r="CN28" s="55"/>
      <c r="CO28" s="138"/>
      <c r="CP28" s="15"/>
      <c r="CQ28" s="15"/>
      <c r="CR28" s="15"/>
      <c r="CS28" s="15"/>
      <c r="CT28" s="15"/>
      <c r="CU28" s="15"/>
      <c r="CV28" s="15"/>
      <c r="CW28" s="15"/>
      <c r="CX28" s="15"/>
      <c r="CY28" s="15"/>
      <c r="CZ28" s="15"/>
      <c r="DA28" s="15"/>
      <c r="DB28" s="15"/>
      <c r="DC28" s="15"/>
      <c r="DD28" s="15"/>
      <c r="DJ28" s="15"/>
      <c r="DK28" s="15"/>
      <c r="DL28" s="15"/>
      <c r="DM28" s="15"/>
      <c r="DQ28" s="99"/>
      <c r="DR28" s="99"/>
      <c r="DS28" s="99"/>
      <c r="DT28" s="99"/>
      <c r="DU28" s="99"/>
      <c r="DV28" s="99"/>
      <c r="DW28" s="99"/>
      <c r="DX28" s="99"/>
      <c r="DY28" s="99"/>
      <c r="DZ28" s="99"/>
      <c r="EA28" s="99"/>
      <c r="EB28" s="99"/>
      <c r="EC28" s="99"/>
      <c r="EM28" s="15"/>
      <c r="EQ28" s="15"/>
      <c r="ER28" s="15"/>
      <c r="ES28" s="15"/>
      <c r="ET28" s="15"/>
      <c r="EU28" s="15"/>
      <c r="EV28" s="15"/>
      <c r="EW28" s="15"/>
      <c r="EX28" s="15"/>
      <c r="EY28" s="15"/>
      <c r="EZ28" s="138"/>
      <c r="FA28" s="15"/>
      <c r="FB28" s="15"/>
      <c r="FC28" s="15"/>
      <c r="FD28" s="15"/>
      <c r="FE28" s="15"/>
      <c r="FF28" s="15"/>
      <c r="FG28" s="15"/>
      <c r="FH28" s="15"/>
      <c r="FI28" s="15"/>
      <c r="FJ28" s="15"/>
      <c r="FK28" s="15"/>
      <c r="FL28" s="15"/>
      <c r="FM28" s="15"/>
      <c r="FN28" s="15"/>
      <c r="FO28" s="15"/>
      <c r="FP28" s="138"/>
      <c r="FQ28" s="138"/>
      <c r="FR28" s="55"/>
      <c r="FS28" s="55"/>
      <c r="FT28" s="138"/>
      <c r="FU28" s="138"/>
      <c r="FV28" s="138"/>
      <c r="FW28" s="55"/>
      <c r="FX28" s="55"/>
      <c r="FY28" s="55"/>
      <c r="FZ28" s="55"/>
      <c r="GA28" s="21"/>
      <c r="GB28" s="55"/>
      <c r="GC28" s="21"/>
      <c r="GD28" s="55"/>
      <c r="GE28" s="55"/>
      <c r="GF28" s="55"/>
      <c r="GG28" s="55"/>
      <c r="GH28" s="55"/>
      <c r="GI28" s="55"/>
      <c r="GJ28" s="55"/>
      <c r="GK28" s="55"/>
    </row>
    <row r="29" spans="1:199">
      <c r="A29" s="201"/>
      <c r="B29" s="220"/>
      <c r="C29" s="220"/>
      <c r="D29" s="15"/>
      <c r="E29" s="15"/>
      <c r="F29" s="8"/>
      <c r="G29" s="8"/>
      <c r="H29" s="15"/>
      <c r="I29" s="15"/>
      <c r="J29" s="15"/>
      <c r="K29" s="15"/>
      <c r="L29" s="15"/>
      <c r="M29" s="15"/>
      <c r="N29" s="15"/>
      <c r="O29" s="15"/>
      <c r="P29" s="15"/>
      <c r="Q29" s="15"/>
      <c r="R29" s="15"/>
      <c r="S29" s="55"/>
      <c r="T29" s="55"/>
      <c r="U29" s="55"/>
      <c r="V29" s="55"/>
      <c r="W29" s="55"/>
      <c r="X29" s="55"/>
      <c r="Y29" s="55"/>
      <c r="Z29" s="55"/>
      <c r="AA29" s="55"/>
      <c r="AB29" s="55"/>
      <c r="AC29" s="15"/>
      <c r="AD29" s="15"/>
      <c r="AE29" s="15"/>
      <c r="AF29" s="15"/>
      <c r="AG29" s="15"/>
      <c r="AH29" s="15"/>
      <c r="AI29" s="15"/>
      <c r="AJ29" s="15"/>
      <c r="AK29" s="15"/>
      <c r="AL29" s="15"/>
      <c r="AM29" s="55"/>
      <c r="AN29" s="55"/>
      <c r="AO29" s="15"/>
      <c r="AP29" s="15"/>
      <c r="AQ29" s="15"/>
      <c r="AR29" s="15"/>
      <c r="AS29" s="15"/>
      <c r="AT29" s="15"/>
      <c r="AU29" s="55"/>
      <c r="AV29" s="55"/>
      <c r="AW29" s="15"/>
      <c r="AX29" s="55"/>
      <c r="AY29" s="55"/>
      <c r="AZ29" s="103"/>
      <c r="BA29" s="21"/>
      <c r="BB29" s="21"/>
      <c r="BC29" s="21"/>
      <c r="BD29" s="55"/>
      <c r="BE29" s="21"/>
      <c r="BF29" s="21"/>
      <c r="BG29" s="21"/>
      <c r="BH29" s="305"/>
      <c r="BI29" s="305"/>
      <c r="BJ29" s="21"/>
      <c r="BK29" s="21"/>
      <c r="BL29" s="15"/>
      <c r="BM29" s="55"/>
      <c r="BN29" s="55"/>
      <c r="BO29" s="55"/>
      <c r="BP29" s="15"/>
      <c r="BQ29" s="15"/>
      <c r="BR29" s="55"/>
      <c r="BS29" s="55"/>
      <c r="BT29" s="55"/>
      <c r="BU29" s="55"/>
      <c r="BV29" s="15"/>
      <c r="BW29" s="15"/>
      <c r="BX29" s="15"/>
      <c r="BY29" s="15"/>
      <c r="BZ29" s="15"/>
      <c r="CA29" s="315"/>
      <c r="CB29" s="55"/>
      <c r="CC29" s="55"/>
      <c r="CD29" s="55"/>
      <c r="CE29" s="55"/>
      <c r="CF29" s="55"/>
      <c r="CG29" s="55"/>
      <c r="CM29" s="55"/>
      <c r="CN29" s="55"/>
      <c r="CO29" s="138"/>
      <c r="DE29" t="str">
        <f>[1]!ErrorCode(DE35)</f>
        <v>Error # - Error not found</v>
      </c>
      <c r="DQ29" s="99"/>
      <c r="DR29" s="99"/>
      <c r="DS29" s="99"/>
      <c r="DT29" s="99"/>
      <c r="DU29" s="99"/>
      <c r="DV29" s="99"/>
      <c r="DW29" s="99"/>
      <c r="DX29" s="99"/>
      <c r="DY29" s="99"/>
      <c r="DZ29" s="99"/>
      <c r="EA29" s="99"/>
      <c r="EB29" s="99"/>
      <c r="EC29" s="99"/>
      <c r="EM29" s="15"/>
      <c r="EQ29" s="15"/>
      <c r="ER29" s="15"/>
      <c r="ES29" s="15"/>
      <c r="ET29" s="15"/>
      <c r="EU29" s="15"/>
      <c r="EV29" s="15"/>
      <c r="EW29" s="15"/>
      <c r="EX29" s="15"/>
      <c r="EY29" s="15"/>
      <c r="EZ29" s="138"/>
      <c r="FA29" s="15"/>
      <c r="FB29" s="15"/>
      <c r="FC29" s="15"/>
      <c r="FD29" s="15"/>
      <c r="FE29" s="15"/>
      <c r="FF29" s="15"/>
      <c r="FG29" s="15"/>
      <c r="FH29" s="15"/>
      <c r="FI29" s="15"/>
      <c r="FJ29" s="15"/>
      <c r="FK29" s="15"/>
      <c r="FL29" s="15"/>
      <c r="FO29" s="15"/>
      <c r="FP29" s="138"/>
      <c r="FQ29" s="138"/>
      <c r="FR29" s="55"/>
      <c r="FS29" s="55"/>
      <c r="FT29" s="138"/>
      <c r="FU29" s="138"/>
      <c r="FV29" s="138"/>
      <c r="FW29" s="55"/>
      <c r="FX29" s="55"/>
      <c r="FY29" s="55"/>
      <c r="FZ29" s="55"/>
      <c r="GA29" s="21"/>
      <c r="GB29" s="55"/>
      <c r="GC29" s="21"/>
      <c r="GD29" s="55"/>
      <c r="GE29" s="55"/>
      <c r="GF29" s="55"/>
      <c r="GG29" s="55"/>
      <c r="GH29" s="55"/>
      <c r="GI29" s="55"/>
      <c r="GJ29" s="55"/>
      <c r="GK29" s="55"/>
    </row>
    <row r="30" spans="1:199">
      <c r="A30" s="246"/>
      <c r="B30" s="168"/>
      <c r="C30" s="168">
        <f>COUNTIF(C34:C119,"2")</f>
        <v>0</v>
      </c>
      <c r="D30" s="163"/>
      <c r="E30" s="163"/>
      <c r="F30" s="36"/>
      <c r="G30" s="36"/>
      <c r="H30" s="163"/>
      <c r="I30" s="15"/>
      <c r="J30" s="15"/>
      <c r="K30" s="15"/>
      <c r="L30" s="15"/>
      <c r="M30" s="15"/>
      <c r="N30" s="15"/>
      <c r="O30" s="15"/>
      <c r="P30" s="15"/>
      <c r="Q30" s="15"/>
      <c r="R30" s="15"/>
      <c r="S30" s="15"/>
      <c r="T30" s="15"/>
      <c r="U30" s="15"/>
      <c r="V30" s="15"/>
      <c r="W30" s="15"/>
      <c r="X30" s="15"/>
      <c r="Y30" s="15"/>
      <c r="Z30" s="15"/>
      <c r="AA30" s="15"/>
      <c r="AB30" s="15"/>
      <c r="AC30" s="194" t="s">
        <v>325</v>
      </c>
      <c r="AD30" s="15"/>
      <c r="AE30" s="15"/>
      <c r="AF30" s="15"/>
      <c r="AG30" s="15"/>
      <c r="AH30" s="15"/>
      <c r="AI30" s="15"/>
      <c r="AJ30" s="15"/>
      <c r="AK30" s="15"/>
      <c r="AL30" s="15"/>
      <c r="AM30" s="248" t="s">
        <v>254</v>
      </c>
      <c r="AN30" s="15"/>
      <c r="AO30" s="248" t="s">
        <v>456</v>
      </c>
      <c r="AP30" s="15"/>
      <c r="AQ30" s="15"/>
      <c r="AR30" s="15"/>
      <c r="AS30" s="15"/>
      <c r="AT30" s="248" t="s">
        <v>436</v>
      </c>
      <c r="AU30" s="15"/>
      <c r="AV30" s="248" t="s">
        <v>470</v>
      </c>
      <c r="AW30" s="248" t="s">
        <v>175</v>
      </c>
      <c r="AX30" s="15"/>
      <c r="AY30" s="15"/>
      <c r="AZ30" s="162"/>
      <c r="BA30" s="222"/>
      <c r="BB30" s="222"/>
      <c r="BC30" s="103"/>
      <c r="BD30" s="15"/>
      <c r="BE30" s="284"/>
      <c r="BF30" s="284"/>
      <c r="BG30" s="103"/>
      <c r="BH30" s="299"/>
      <c r="BI30" s="299"/>
      <c r="BJ30" s="222"/>
      <c r="BK30" s="222"/>
      <c r="BL30" s="222" t="s">
        <v>241</v>
      </c>
      <c r="BM30" s="15"/>
      <c r="BN30" s="15"/>
      <c r="BO30" s="15"/>
      <c r="BP30" s="15"/>
      <c r="BQ30" s="15"/>
      <c r="BR30" s="15"/>
      <c r="BS30" s="15"/>
      <c r="BT30" s="15"/>
      <c r="BU30" s="15"/>
      <c r="BV30" s="15"/>
      <c r="BW30" s="15"/>
      <c r="BX30" s="15"/>
      <c r="BY30" s="15"/>
      <c r="BZ30" s="15"/>
      <c r="CA30" s="315"/>
      <c r="CB30" s="15"/>
      <c r="CC30" s="15"/>
      <c r="CD30" s="15"/>
      <c r="CE30" s="15"/>
      <c r="CF30" s="15"/>
      <c r="CG30" s="15"/>
      <c r="CH30" s="103"/>
      <c r="CI30" s="15"/>
      <c r="CJ30" s="15"/>
      <c r="CK30" s="15"/>
      <c r="CL30" s="15"/>
      <c r="CM30" s="15"/>
      <c r="CN30" s="222" t="s">
        <v>212</v>
      </c>
      <c r="CO30" s="15"/>
      <c r="CP30" s="15"/>
      <c r="CQ30" s="15"/>
      <c r="CR30" s="15"/>
      <c r="CS30" s="15"/>
      <c r="CT30" s="15"/>
      <c r="CU30" s="15"/>
      <c r="CV30" s="15"/>
      <c r="CW30" s="15"/>
      <c r="CX30" s="103"/>
      <c r="CY30" s="103"/>
      <c r="CZ30" s="103"/>
      <c r="DA30" s="103"/>
      <c r="DB30" s="162"/>
      <c r="DC30" s="162"/>
      <c r="DD30" s="162"/>
      <c r="DE30" s="15"/>
      <c r="DF30" s="222" t="s">
        <v>435</v>
      </c>
      <c r="DG30" s="15"/>
      <c r="DH30" s="15"/>
      <c r="DI30" s="15"/>
      <c r="DJ30" s="162"/>
      <c r="DK30" s="162"/>
      <c r="DL30" s="162"/>
      <c r="DM30" s="103"/>
      <c r="DN30" s="103"/>
      <c r="DQ30" s="230"/>
      <c r="DR30" s="230"/>
      <c r="DS30" s="230"/>
      <c r="DT30" s="230"/>
      <c r="DU30" s="230"/>
      <c r="DV30" s="230"/>
      <c r="DW30" s="230"/>
      <c r="DX30" s="230"/>
      <c r="DY30" s="230"/>
      <c r="DZ30" s="230"/>
      <c r="EA30" s="230"/>
      <c r="EB30" s="230"/>
      <c r="EC30" s="230"/>
      <c r="ED30" s="103"/>
      <c r="EE30" s="103"/>
      <c r="EK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0"/>
      <c r="FQ30" s="10"/>
      <c r="FR30" s="15"/>
      <c r="FS30" s="15"/>
      <c r="FT30" s="10"/>
      <c r="FU30" s="10"/>
      <c r="FV30" s="10"/>
      <c r="FW30" s="15"/>
      <c r="FX30" s="15"/>
      <c r="FY30" s="15"/>
      <c r="FZ30" s="15"/>
      <c r="GA30" s="103"/>
      <c r="GB30" s="15"/>
      <c r="GC30" s="103"/>
      <c r="GD30" s="15"/>
      <c r="GE30" s="15"/>
      <c r="GF30" s="15"/>
      <c r="GG30" s="15"/>
      <c r="GH30" s="15"/>
      <c r="GI30" s="15"/>
      <c r="GJ30" s="15"/>
      <c r="GK30" s="15"/>
    </row>
    <row r="31" spans="1:199" s="52" customFormat="1" ht="115.5" thickBot="1">
      <c r="A31" s="197"/>
      <c r="B31" s="231"/>
      <c r="C31" s="231"/>
      <c r="D31" s="95"/>
      <c r="E31" s="95"/>
      <c r="F31" s="212"/>
      <c r="G31" s="212"/>
      <c r="H31" s="95" t="s">
        <v>145</v>
      </c>
      <c r="I31" s="95" t="s">
        <v>355</v>
      </c>
      <c r="J31" s="95" t="s">
        <v>79</v>
      </c>
      <c r="K31" s="95" t="s">
        <v>336</v>
      </c>
      <c r="L31" s="95" t="s">
        <v>345</v>
      </c>
      <c r="M31" s="95" t="s">
        <v>267</v>
      </c>
      <c r="N31" s="95" t="s">
        <v>225</v>
      </c>
      <c r="O31" s="95" t="s">
        <v>428</v>
      </c>
      <c r="P31" s="95" t="s">
        <v>262</v>
      </c>
      <c r="Q31" s="95" t="s">
        <v>228</v>
      </c>
      <c r="R31" s="95" t="s">
        <v>3</v>
      </c>
      <c r="S31" s="95" t="s">
        <v>533</v>
      </c>
      <c r="T31" s="95" t="s">
        <v>196</v>
      </c>
      <c r="U31" s="95" t="s">
        <v>469</v>
      </c>
      <c r="V31" s="95" t="s">
        <v>398</v>
      </c>
      <c r="W31" s="95" t="s">
        <v>281</v>
      </c>
      <c r="X31" s="95" t="s">
        <v>460</v>
      </c>
      <c r="Y31" s="95" t="s">
        <v>498</v>
      </c>
      <c r="Z31" s="95" t="s">
        <v>292</v>
      </c>
      <c r="AA31" s="95" t="s">
        <v>674</v>
      </c>
      <c r="AB31" s="95" t="s">
        <v>265</v>
      </c>
      <c r="AC31" s="95" t="s">
        <v>683</v>
      </c>
      <c r="AD31" s="95" t="s">
        <v>684</v>
      </c>
      <c r="AE31" s="95" t="s">
        <v>115</v>
      </c>
      <c r="AF31" s="95" t="s">
        <v>369</v>
      </c>
      <c r="AG31" s="95" t="s">
        <v>473</v>
      </c>
      <c r="AH31" s="95"/>
      <c r="AI31" s="95" t="s">
        <v>453</v>
      </c>
      <c r="AJ31" s="95" t="s">
        <v>10</v>
      </c>
      <c r="AK31" s="95" t="s">
        <v>190</v>
      </c>
      <c r="AL31" s="95" t="s">
        <v>135</v>
      </c>
      <c r="AM31" s="95" t="s">
        <v>128</v>
      </c>
      <c r="AN31" s="95" t="s">
        <v>505</v>
      </c>
      <c r="AO31" s="95" t="s">
        <v>297</v>
      </c>
      <c r="AP31" s="95" t="s">
        <v>552</v>
      </c>
      <c r="AQ31" s="95" t="s">
        <v>554</v>
      </c>
      <c r="AR31" s="95" t="s">
        <v>88</v>
      </c>
      <c r="AS31" s="95" t="s">
        <v>373</v>
      </c>
      <c r="AT31" s="95" t="s">
        <v>240</v>
      </c>
      <c r="AU31" s="95" t="s">
        <v>566</v>
      </c>
      <c r="AV31" s="95" t="s">
        <v>120</v>
      </c>
      <c r="AW31" s="95" t="s">
        <v>198</v>
      </c>
      <c r="AX31" s="95" t="s">
        <v>475</v>
      </c>
      <c r="AY31" s="95" t="s">
        <v>399</v>
      </c>
      <c r="AZ31" s="140" t="s">
        <v>487</v>
      </c>
      <c r="BA31" s="95" t="s">
        <v>343</v>
      </c>
      <c r="BB31" s="95" t="s">
        <v>772</v>
      </c>
      <c r="BC31" s="95" t="s">
        <v>309</v>
      </c>
      <c r="BD31" s="95" t="s">
        <v>611</v>
      </c>
      <c r="BE31" s="95" t="s">
        <v>493</v>
      </c>
      <c r="BF31" s="95" t="s">
        <v>773</v>
      </c>
      <c r="BG31" s="95" t="s">
        <v>573</v>
      </c>
      <c r="BH31" s="273" t="s">
        <v>715</v>
      </c>
      <c r="BI31" s="273" t="s">
        <v>714</v>
      </c>
      <c r="BJ31" s="95" t="s">
        <v>310</v>
      </c>
      <c r="BK31" s="95" t="s">
        <v>395</v>
      </c>
      <c r="BL31" s="95" t="s">
        <v>170</v>
      </c>
      <c r="BM31" s="95" t="s">
        <v>139</v>
      </c>
      <c r="BN31" s="95" t="s">
        <v>27</v>
      </c>
      <c r="BO31" s="95" t="s">
        <v>564</v>
      </c>
      <c r="BP31" s="95" t="s">
        <v>379</v>
      </c>
      <c r="BQ31" s="75" t="s">
        <v>178</v>
      </c>
      <c r="BR31" s="95" t="s">
        <v>41</v>
      </c>
      <c r="BS31" s="95" t="s">
        <v>98</v>
      </c>
      <c r="BT31" s="95" t="s">
        <v>232</v>
      </c>
      <c r="BU31" s="95" t="s">
        <v>193</v>
      </c>
      <c r="BV31" s="95" t="s">
        <v>354</v>
      </c>
      <c r="BW31" s="95" t="s">
        <v>16</v>
      </c>
      <c r="BX31" s="95" t="s">
        <v>200</v>
      </c>
      <c r="BY31" s="95" t="s">
        <v>523</v>
      </c>
      <c r="BZ31" s="95" t="s">
        <v>367</v>
      </c>
      <c r="CA31" s="316" t="s">
        <v>667</v>
      </c>
      <c r="CB31" s="95" t="s">
        <v>669</v>
      </c>
      <c r="CC31" s="95" t="s">
        <v>671</v>
      </c>
      <c r="CD31" s="95" t="s">
        <v>660</v>
      </c>
      <c r="CE31" s="95" t="s">
        <v>661</v>
      </c>
      <c r="CF31" s="95" t="s">
        <v>662</v>
      </c>
      <c r="CG31" s="95" t="s">
        <v>102</v>
      </c>
      <c r="CH31" s="95" t="s">
        <v>697</v>
      </c>
      <c r="CI31" s="95" t="s">
        <v>268</v>
      </c>
      <c r="CJ31" s="95" t="s">
        <v>231</v>
      </c>
      <c r="CK31" s="95" t="s">
        <v>341</v>
      </c>
      <c r="CL31" s="95" t="s">
        <v>459</v>
      </c>
      <c r="CM31" s="95" t="s">
        <v>419</v>
      </c>
      <c r="CN31" s="140" t="s">
        <v>62</v>
      </c>
      <c r="CO31" s="140" t="s">
        <v>148</v>
      </c>
      <c r="CP31" s="140" t="s">
        <v>8</v>
      </c>
      <c r="CQ31" s="140" t="s">
        <v>484</v>
      </c>
      <c r="CR31" s="140" t="s">
        <v>248</v>
      </c>
      <c r="CS31" s="95" t="s">
        <v>182</v>
      </c>
      <c r="CT31" s="95" t="s">
        <v>726</v>
      </c>
      <c r="CU31" s="140" t="s">
        <v>63</v>
      </c>
      <c r="CV31" s="140" t="s">
        <v>753</v>
      </c>
      <c r="CW31" s="140" t="s">
        <v>709</v>
      </c>
      <c r="CX31" s="95" t="s">
        <v>74</v>
      </c>
      <c r="CY31" s="95" t="s">
        <v>238</v>
      </c>
      <c r="CZ31" s="95" t="s">
        <v>74</v>
      </c>
      <c r="DA31" s="95" t="s">
        <v>238</v>
      </c>
      <c r="DB31" s="140" t="s">
        <v>347</v>
      </c>
      <c r="DC31" s="140" t="s">
        <v>568</v>
      </c>
      <c r="DD31" s="140" t="s">
        <v>260</v>
      </c>
      <c r="DE31" s="95" t="s">
        <v>61</v>
      </c>
      <c r="DF31" s="95" t="s">
        <v>47</v>
      </c>
      <c r="DG31" s="95" t="s">
        <v>20</v>
      </c>
      <c r="DH31" s="279" t="s">
        <v>757</v>
      </c>
      <c r="DI31" s="279" t="s">
        <v>759</v>
      </c>
      <c r="DJ31" s="279" t="s">
        <v>760</v>
      </c>
      <c r="DK31" s="279" t="s">
        <v>691</v>
      </c>
      <c r="DL31" s="140" t="s">
        <v>165</v>
      </c>
      <c r="DM31" s="95" t="s">
        <v>544</v>
      </c>
      <c r="DN31" s="95" t="s">
        <v>315</v>
      </c>
      <c r="DO31" s="95" t="s">
        <v>597</v>
      </c>
      <c r="DP31" s="95" t="s">
        <v>318</v>
      </c>
      <c r="DQ31" s="212" t="s">
        <v>33</v>
      </c>
      <c r="DR31" s="212" t="s">
        <v>22</v>
      </c>
      <c r="DS31" s="212" t="s">
        <v>224</v>
      </c>
      <c r="DT31" s="212" t="s">
        <v>545</v>
      </c>
      <c r="DU31" s="212" t="s">
        <v>582</v>
      </c>
      <c r="DV31" s="212" t="s">
        <v>348</v>
      </c>
      <c r="DW31" s="212" t="s">
        <v>221</v>
      </c>
      <c r="DX31" s="212" t="s">
        <v>507</v>
      </c>
      <c r="DY31" s="212" t="s">
        <v>412</v>
      </c>
      <c r="DZ31" s="212" t="s">
        <v>421</v>
      </c>
      <c r="EA31" s="212" t="s">
        <v>463</v>
      </c>
      <c r="EB31" s="212" t="s">
        <v>437</v>
      </c>
      <c r="EC31" s="212" t="s">
        <v>89</v>
      </c>
      <c r="ED31" s="95" t="s">
        <v>698</v>
      </c>
      <c r="EE31" s="95" t="s">
        <v>598</v>
      </c>
      <c r="EF31" s="95" t="s">
        <v>477</v>
      </c>
      <c r="EG31" s="95"/>
      <c r="EH31" s="95" t="s">
        <v>729</v>
      </c>
      <c r="EI31" s="95" t="s">
        <v>593</v>
      </c>
      <c r="EJ31" s="95" t="s">
        <v>114</v>
      </c>
      <c r="EK31" s="95" t="s">
        <v>194</v>
      </c>
      <c r="EL31" s="278" t="s">
        <v>692</v>
      </c>
      <c r="EM31" s="278" t="s">
        <v>693</v>
      </c>
      <c r="EN31" s="95" t="s">
        <v>316</v>
      </c>
      <c r="EO31" s="95" t="s">
        <v>448</v>
      </c>
      <c r="EP31" s="95" t="s">
        <v>5</v>
      </c>
      <c r="EQ31" s="95" t="s">
        <v>294</v>
      </c>
      <c r="ER31" s="95" t="s">
        <v>595</v>
      </c>
      <c r="ES31" s="95" t="s">
        <v>534</v>
      </c>
      <c r="ET31" s="95" t="s">
        <v>60</v>
      </c>
      <c r="EU31" s="95" t="s">
        <v>501</v>
      </c>
      <c r="EV31" s="95" t="s">
        <v>471</v>
      </c>
      <c r="EW31" s="95" t="s">
        <v>382</v>
      </c>
      <c r="EX31" s="95" t="s">
        <v>311</v>
      </c>
      <c r="EY31" s="95" t="s">
        <v>264</v>
      </c>
      <c r="EZ31" s="95" t="s">
        <v>220</v>
      </c>
      <c r="FA31" s="95" t="s">
        <v>326</v>
      </c>
      <c r="FB31" s="278" t="s">
        <v>761</v>
      </c>
      <c r="FC31" s="95" t="s">
        <v>451</v>
      </c>
      <c r="FD31" s="95" t="s">
        <v>481</v>
      </c>
      <c r="FE31" s="95" t="s">
        <v>521</v>
      </c>
      <c r="FF31" s="95" t="s">
        <v>344</v>
      </c>
      <c r="FG31" s="95" t="s">
        <v>485</v>
      </c>
      <c r="FH31" s="278" t="s">
        <v>762</v>
      </c>
      <c r="FI31" s="95" t="s">
        <v>559</v>
      </c>
      <c r="FJ31" s="95" t="s">
        <v>82</v>
      </c>
      <c r="FK31" s="95" t="s">
        <v>442</v>
      </c>
      <c r="FL31" s="95" t="s">
        <v>378</v>
      </c>
      <c r="FM31" s="140" t="s">
        <v>482</v>
      </c>
      <c r="FN31" s="140" t="s">
        <v>81</v>
      </c>
      <c r="FO31" s="95" t="s">
        <v>285</v>
      </c>
      <c r="FP31" s="95" t="s">
        <v>596</v>
      </c>
      <c r="FQ31" s="95" t="s">
        <v>250</v>
      </c>
      <c r="FR31" s="95" t="s">
        <v>141</v>
      </c>
      <c r="FS31" s="95" t="s">
        <v>465</v>
      </c>
      <c r="FT31" s="95" t="s">
        <v>718</v>
      </c>
      <c r="FU31" s="95" t="s">
        <v>719</v>
      </c>
      <c r="FV31" s="95" t="s">
        <v>763</v>
      </c>
      <c r="FW31" s="95" t="s">
        <v>204</v>
      </c>
      <c r="FX31" s="95" t="s">
        <v>277</v>
      </c>
      <c r="FY31" s="95" t="s">
        <v>4</v>
      </c>
      <c r="FZ31" s="95" t="s">
        <v>58</v>
      </c>
      <c r="GA31" s="95" t="s">
        <v>270</v>
      </c>
      <c r="GB31" s="95" t="s">
        <v>53</v>
      </c>
      <c r="GC31" s="95" t="s">
        <v>377</v>
      </c>
      <c r="GD31" s="95" t="s">
        <v>338</v>
      </c>
      <c r="GE31" s="95" t="s">
        <v>263</v>
      </c>
      <c r="GF31" s="95" t="s">
        <v>494</v>
      </c>
      <c r="GG31" s="95" t="s">
        <v>159</v>
      </c>
      <c r="GH31" s="95" t="s">
        <v>409</v>
      </c>
      <c r="GI31" s="95" t="s">
        <v>103</v>
      </c>
      <c r="GJ31" s="95" t="s">
        <v>431</v>
      </c>
      <c r="GK31" s="95" t="s">
        <v>381</v>
      </c>
      <c r="GL31" s="95" t="s">
        <v>699</v>
      </c>
      <c r="GM31" s="95" t="s">
        <v>700</v>
      </c>
      <c r="GN31" s="95" t="s">
        <v>701</v>
      </c>
      <c r="GO31" s="95" t="s">
        <v>702</v>
      </c>
      <c r="GP31" s="95" t="s">
        <v>703</v>
      </c>
      <c r="GQ31" s="95" t="s">
        <v>704</v>
      </c>
    </row>
    <row r="32" spans="1:199" ht="13.5" customHeight="1" thickTop="1" thickBot="1">
      <c r="A32" s="70" t="s">
        <v>117</v>
      </c>
      <c r="B32" s="35" t="s">
        <v>269</v>
      </c>
      <c r="C32" s="35" t="s">
        <v>269</v>
      </c>
      <c r="D32" s="35" t="s">
        <v>269</v>
      </c>
      <c r="E32" s="35" t="s">
        <v>269</v>
      </c>
      <c r="F32" s="73" t="s">
        <v>449</v>
      </c>
      <c r="G32" s="73" t="s">
        <v>565</v>
      </c>
      <c r="H32" s="35" t="s">
        <v>269</v>
      </c>
      <c r="I32" s="35" t="s">
        <v>269</v>
      </c>
      <c r="J32" s="35" t="s">
        <v>269</v>
      </c>
      <c r="K32" s="35" t="s">
        <v>269</v>
      </c>
      <c r="L32" s="35" t="s">
        <v>269</v>
      </c>
      <c r="M32" s="35" t="s">
        <v>269</v>
      </c>
      <c r="N32" s="35" t="s">
        <v>269</v>
      </c>
      <c r="O32" s="35" t="s">
        <v>269</v>
      </c>
      <c r="P32" s="35" t="s">
        <v>269</v>
      </c>
      <c r="Q32" s="35" t="s">
        <v>269</v>
      </c>
      <c r="R32" s="35" t="s">
        <v>269</v>
      </c>
      <c r="S32" s="35" t="s">
        <v>269</v>
      </c>
      <c r="T32" s="35" t="s">
        <v>269</v>
      </c>
      <c r="U32" s="35" t="s">
        <v>269</v>
      </c>
      <c r="V32" s="35" t="s">
        <v>269</v>
      </c>
      <c r="W32" s="35" t="s">
        <v>269</v>
      </c>
      <c r="X32" s="35" t="s">
        <v>269</v>
      </c>
      <c r="Y32" s="35" t="s">
        <v>269</v>
      </c>
      <c r="Z32" s="35" t="s">
        <v>464</v>
      </c>
      <c r="AA32" s="35" t="s">
        <v>565</v>
      </c>
      <c r="AB32" s="35" t="s">
        <v>269</v>
      </c>
      <c r="AC32" s="35" t="s">
        <v>464</v>
      </c>
      <c r="AD32" s="35" t="s">
        <v>464</v>
      </c>
      <c r="AE32" s="35" t="s">
        <v>464</v>
      </c>
      <c r="AF32" s="35" t="s">
        <v>464</v>
      </c>
      <c r="AG32" s="35" t="s">
        <v>269</v>
      </c>
      <c r="AH32" s="35" t="s">
        <v>464</v>
      </c>
      <c r="AI32" s="35" t="s">
        <v>269</v>
      </c>
      <c r="AJ32" s="35" t="s">
        <v>269</v>
      </c>
      <c r="AK32" s="35" t="s">
        <v>269</v>
      </c>
      <c r="AL32" s="35" t="s">
        <v>269</v>
      </c>
      <c r="AM32" s="35" t="s">
        <v>464</v>
      </c>
      <c r="AN32" s="35" t="s">
        <v>464</v>
      </c>
      <c r="AO32" s="35" t="s">
        <v>464</v>
      </c>
      <c r="AP32" s="35" t="s">
        <v>269</v>
      </c>
      <c r="AQ32" s="35" t="s">
        <v>464</v>
      </c>
      <c r="AR32" s="35" t="s">
        <v>269</v>
      </c>
      <c r="AS32" s="35" t="s">
        <v>464</v>
      </c>
      <c r="AT32" s="35" t="s">
        <v>464</v>
      </c>
      <c r="AU32" s="35" t="s">
        <v>464</v>
      </c>
      <c r="AV32" s="35" t="s">
        <v>464</v>
      </c>
      <c r="AW32" s="35" t="s">
        <v>464</v>
      </c>
      <c r="AX32" s="35" t="s">
        <v>464</v>
      </c>
      <c r="AY32" s="35" t="s">
        <v>464</v>
      </c>
      <c r="AZ32" s="239" t="s">
        <v>464</v>
      </c>
      <c r="BA32" s="35" t="s">
        <v>464</v>
      </c>
      <c r="BB32" s="35" t="s">
        <v>464</v>
      </c>
      <c r="BC32" s="35" t="s">
        <v>464</v>
      </c>
      <c r="BD32" s="35" t="s">
        <v>464</v>
      </c>
      <c r="BE32" s="35" t="s">
        <v>464</v>
      </c>
      <c r="BF32" s="35" t="s">
        <v>464</v>
      </c>
      <c r="BG32" s="35" t="s">
        <v>464</v>
      </c>
      <c r="BH32" s="300" t="s">
        <v>269</v>
      </c>
      <c r="BI32" s="300" t="s">
        <v>464</v>
      </c>
      <c r="BJ32" s="35" t="s">
        <v>269</v>
      </c>
      <c r="BK32" s="35" t="s">
        <v>269</v>
      </c>
      <c r="BL32" s="35" t="s">
        <v>464</v>
      </c>
      <c r="BM32" s="35" t="s">
        <v>464</v>
      </c>
      <c r="BN32" s="35" t="s">
        <v>565</v>
      </c>
      <c r="BO32" s="35" t="s">
        <v>464</v>
      </c>
      <c r="BP32" s="35" t="s">
        <v>464</v>
      </c>
      <c r="BQ32" s="35" t="s">
        <v>464</v>
      </c>
      <c r="BR32" s="35" t="s">
        <v>464</v>
      </c>
      <c r="BS32" s="35" t="s">
        <v>464</v>
      </c>
      <c r="BT32" s="35" t="s">
        <v>464</v>
      </c>
      <c r="BU32" s="35" t="s">
        <v>464</v>
      </c>
      <c r="BV32" s="35" t="s">
        <v>269</v>
      </c>
      <c r="BW32" s="35" t="s">
        <v>269</v>
      </c>
      <c r="BX32" s="35" t="s">
        <v>269</v>
      </c>
      <c r="BY32" s="35" t="s">
        <v>464</v>
      </c>
      <c r="BZ32" s="35" t="s">
        <v>464</v>
      </c>
      <c r="CA32" s="314" t="s">
        <v>464</v>
      </c>
      <c r="CB32" s="35" t="s">
        <v>464</v>
      </c>
      <c r="CC32" s="35" t="s">
        <v>464</v>
      </c>
      <c r="CD32" s="35" t="s">
        <v>464</v>
      </c>
      <c r="CE32" s="35" t="s">
        <v>464</v>
      </c>
      <c r="CF32" s="35" t="s">
        <v>464</v>
      </c>
      <c r="CG32" s="35" t="s">
        <v>269</v>
      </c>
      <c r="CH32" s="35" t="s">
        <v>269</v>
      </c>
      <c r="CI32" s="35" t="s">
        <v>565</v>
      </c>
      <c r="CJ32" s="35" t="s">
        <v>565</v>
      </c>
      <c r="CK32" s="35" t="s">
        <v>565</v>
      </c>
      <c r="CL32" s="35" t="s">
        <v>464</v>
      </c>
      <c r="CM32" s="35" t="s">
        <v>464</v>
      </c>
      <c r="CN32" s="35" t="s">
        <v>464</v>
      </c>
      <c r="CO32" s="35" t="s">
        <v>464</v>
      </c>
      <c r="CP32" s="35" t="s">
        <v>464</v>
      </c>
      <c r="CQ32" s="35" t="s">
        <v>464</v>
      </c>
      <c r="CR32" s="35" t="s">
        <v>464</v>
      </c>
      <c r="CS32" s="35" t="s">
        <v>464</v>
      </c>
      <c r="CT32" s="35" t="s">
        <v>464</v>
      </c>
      <c r="CU32" s="35" t="s">
        <v>464</v>
      </c>
      <c r="CV32" s="35" t="s">
        <v>464</v>
      </c>
      <c r="CW32" s="35" t="s">
        <v>464</v>
      </c>
      <c r="CX32" s="35" t="s">
        <v>464</v>
      </c>
      <c r="CY32" s="35" t="s">
        <v>464</v>
      </c>
      <c r="CZ32" s="35" t="s">
        <v>464</v>
      </c>
      <c r="DA32" s="35" t="s">
        <v>464</v>
      </c>
      <c r="DB32" s="239" t="s">
        <v>464</v>
      </c>
      <c r="DC32" s="239" t="s">
        <v>464</v>
      </c>
      <c r="DD32" s="239" t="s">
        <v>464</v>
      </c>
      <c r="DE32" s="35" t="s">
        <v>464</v>
      </c>
      <c r="DF32" s="35" t="s">
        <v>464</v>
      </c>
      <c r="DG32" s="35" t="s">
        <v>464</v>
      </c>
      <c r="DH32" s="35" t="s">
        <v>464</v>
      </c>
      <c r="DI32" s="35" t="s">
        <v>464</v>
      </c>
      <c r="DJ32" s="239" t="s">
        <v>464</v>
      </c>
      <c r="DK32" s="239" t="s">
        <v>464</v>
      </c>
      <c r="DL32" s="239" t="s">
        <v>464</v>
      </c>
      <c r="DM32" s="35" t="s">
        <v>464</v>
      </c>
      <c r="DN32" s="35" t="s">
        <v>464</v>
      </c>
      <c r="DO32" s="35" t="s">
        <v>464</v>
      </c>
      <c r="DP32" s="35" t="s">
        <v>464</v>
      </c>
      <c r="DQ32" s="73" t="s">
        <v>578</v>
      </c>
      <c r="DR32" s="73" t="s">
        <v>578</v>
      </c>
      <c r="DS32" s="73" t="s">
        <v>578</v>
      </c>
      <c r="DT32" s="73" t="s">
        <v>578</v>
      </c>
      <c r="DU32" s="73" t="s">
        <v>578</v>
      </c>
      <c r="DV32" s="73" t="s">
        <v>578</v>
      </c>
      <c r="DW32" s="73" t="s">
        <v>464</v>
      </c>
      <c r="DX32" s="73" t="s">
        <v>464</v>
      </c>
      <c r="DY32" s="73" t="s">
        <v>464</v>
      </c>
      <c r="DZ32" s="73" t="s">
        <v>464</v>
      </c>
      <c r="EA32" s="73" t="s">
        <v>464</v>
      </c>
      <c r="EB32" s="73" t="s">
        <v>464</v>
      </c>
      <c r="EC32" s="73" t="s">
        <v>464</v>
      </c>
      <c r="ED32" s="35" t="s">
        <v>269</v>
      </c>
      <c r="EE32" s="35" t="s">
        <v>269</v>
      </c>
      <c r="EF32" s="35" t="s">
        <v>449</v>
      </c>
      <c r="EG32" s="35" t="s">
        <v>464</v>
      </c>
      <c r="EH32" s="35" t="s">
        <v>449</v>
      </c>
      <c r="EI32" s="35" t="s">
        <v>449</v>
      </c>
      <c r="EJ32" s="35" t="s">
        <v>449</v>
      </c>
      <c r="EK32" s="35" t="s">
        <v>464</v>
      </c>
      <c r="EL32" s="35" t="s">
        <v>464</v>
      </c>
      <c r="EM32" s="35" t="s">
        <v>464</v>
      </c>
      <c r="EN32" s="35" t="s">
        <v>464</v>
      </c>
      <c r="EO32" s="35" t="s">
        <v>464</v>
      </c>
      <c r="EP32" s="35" t="s">
        <v>464</v>
      </c>
      <c r="EQ32" s="35" t="s">
        <v>464</v>
      </c>
      <c r="ER32" s="35" t="s">
        <v>464</v>
      </c>
      <c r="ES32" s="35" t="s">
        <v>464</v>
      </c>
      <c r="ET32" s="35" t="s">
        <v>464</v>
      </c>
      <c r="EU32" s="35" t="s">
        <v>464</v>
      </c>
      <c r="EV32" s="35" t="s">
        <v>464</v>
      </c>
      <c r="EW32" s="35" t="s">
        <v>464</v>
      </c>
      <c r="EX32" s="35" t="s">
        <v>464</v>
      </c>
      <c r="EY32" s="35" t="s">
        <v>464</v>
      </c>
      <c r="EZ32" s="35" t="s">
        <v>464</v>
      </c>
      <c r="FA32" s="35" t="s">
        <v>464</v>
      </c>
      <c r="FB32" s="35" t="s">
        <v>464</v>
      </c>
      <c r="FC32" s="35" t="s">
        <v>464</v>
      </c>
      <c r="FD32" s="35" t="s">
        <v>464</v>
      </c>
      <c r="FE32" s="35" t="s">
        <v>464</v>
      </c>
      <c r="FF32" s="35" t="s">
        <v>464</v>
      </c>
      <c r="FG32" s="35" t="s">
        <v>464</v>
      </c>
      <c r="FH32" s="35" t="s">
        <v>464</v>
      </c>
      <c r="FI32" s="35" t="s">
        <v>464</v>
      </c>
      <c r="FJ32" s="35" t="s">
        <v>464</v>
      </c>
      <c r="FK32" s="35" t="s">
        <v>464</v>
      </c>
      <c r="FL32" s="35" t="s">
        <v>464</v>
      </c>
      <c r="FM32" s="35" t="s">
        <v>464</v>
      </c>
      <c r="FN32" s="35" t="s">
        <v>464</v>
      </c>
      <c r="FO32" s="35" t="s">
        <v>464</v>
      </c>
      <c r="FP32" s="35" t="s">
        <v>464</v>
      </c>
      <c r="FQ32" s="35" t="s">
        <v>565</v>
      </c>
      <c r="FR32" s="35" t="s">
        <v>269</v>
      </c>
      <c r="FS32" s="35" t="s">
        <v>269</v>
      </c>
      <c r="FT32" s="35" t="s">
        <v>269</v>
      </c>
      <c r="FU32" s="35" t="s">
        <v>269</v>
      </c>
      <c r="FV32" s="35" t="s">
        <v>464</v>
      </c>
      <c r="FW32" s="35" t="s">
        <v>464</v>
      </c>
      <c r="FX32" s="35" t="s">
        <v>464</v>
      </c>
      <c r="FY32" s="35" t="s">
        <v>464</v>
      </c>
      <c r="FZ32" s="35" t="s">
        <v>464</v>
      </c>
      <c r="GA32" s="35" t="s">
        <v>464</v>
      </c>
      <c r="GB32" s="35" t="s">
        <v>464</v>
      </c>
      <c r="GC32" s="35" t="s">
        <v>464</v>
      </c>
      <c r="GD32" s="35" t="s">
        <v>464</v>
      </c>
      <c r="GE32" s="35" t="s">
        <v>464</v>
      </c>
      <c r="GF32" s="35" t="s">
        <v>464</v>
      </c>
      <c r="GG32" s="35" t="s">
        <v>464</v>
      </c>
      <c r="GH32" s="35" t="s">
        <v>464</v>
      </c>
      <c r="GI32" s="35" t="s">
        <v>464</v>
      </c>
      <c r="GJ32" s="35" t="s">
        <v>464</v>
      </c>
      <c r="GK32" s="35" t="s">
        <v>464</v>
      </c>
      <c r="GL32" s="35" t="s">
        <v>464</v>
      </c>
      <c r="GM32" s="35" t="s">
        <v>464</v>
      </c>
      <c r="GN32" s="35" t="s">
        <v>464</v>
      </c>
      <c r="GO32" s="35" t="s">
        <v>464</v>
      </c>
      <c r="GP32" s="35" t="s">
        <v>464</v>
      </c>
      <c r="GQ32" s="35" t="s">
        <v>464</v>
      </c>
    </row>
    <row r="33" spans="1:199" ht="14.25" thickTop="1" thickBot="1">
      <c r="A33" s="70" t="s">
        <v>535</v>
      </c>
      <c r="B33" s="61" t="s">
        <v>663</v>
      </c>
      <c r="C33" s="61" t="s">
        <v>519</v>
      </c>
      <c r="D33" s="83" t="s">
        <v>405</v>
      </c>
      <c r="E33" s="61" t="s">
        <v>306</v>
      </c>
      <c r="F33" s="133" t="s">
        <v>28</v>
      </c>
      <c r="G33" s="133" t="s">
        <v>67</v>
      </c>
      <c r="H33" s="83" t="s">
        <v>168</v>
      </c>
      <c r="I33" s="57" t="s">
        <v>314</v>
      </c>
      <c r="J33" s="57" t="s">
        <v>87</v>
      </c>
      <c r="K33" s="57" t="s">
        <v>230</v>
      </c>
      <c r="L33" s="57" t="s">
        <v>144</v>
      </c>
      <c r="M33" s="57" t="s">
        <v>434</v>
      </c>
      <c r="N33" s="57" t="s">
        <v>183</v>
      </c>
      <c r="O33" s="57" t="s">
        <v>302</v>
      </c>
      <c r="P33" s="57" t="s">
        <v>580</v>
      </c>
      <c r="Q33" s="57" t="s">
        <v>156</v>
      </c>
      <c r="R33" s="57" t="s">
        <v>303</v>
      </c>
      <c r="S33" s="57" t="s">
        <v>164</v>
      </c>
      <c r="T33" s="57" t="s">
        <v>408</v>
      </c>
      <c r="U33" s="57" t="s">
        <v>372</v>
      </c>
      <c r="V33" s="57" t="s">
        <v>105</v>
      </c>
      <c r="W33" s="57" t="s">
        <v>529</v>
      </c>
      <c r="X33" s="57" t="s">
        <v>478</v>
      </c>
      <c r="Y33" s="57" t="s">
        <v>439</v>
      </c>
      <c r="Z33" s="57" t="s">
        <v>75</v>
      </c>
      <c r="AA33" s="57" t="s">
        <v>675</v>
      </c>
      <c r="AB33" s="57" t="s">
        <v>111</v>
      </c>
      <c r="AC33" s="57" t="s">
        <v>293</v>
      </c>
      <c r="AD33" s="57" t="s">
        <v>312</v>
      </c>
      <c r="AE33" s="57" t="s">
        <v>416</v>
      </c>
      <c r="AF33" s="57" t="s">
        <v>430</v>
      </c>
      <c r="AG33" s="57" t="s">
        <v>438</v>
      </c>
      <c r="AH33" s="57" t="s">
        <v>705</v>
      </c>
      <c r="AI33" s="57" t="s">
        <v>15</v>
      </c>
      <c r="AJ33" s="57" t="s">
        <v>560</v>
      </c>
      <c r="AK33" s="57" t="s">
        <v>9</v>
      </c>
      <c r="AL33" s="57" t="s">
        <v>575</v>
      </c>
      <c r="AM33" s="57" t="s">
        <v>417</v>
      </c>
      <c r="AN33" s="57" t="s">
        <v>374</v>
      </c>
      <c r="AO33" s="57" t="s">
        <v>353</v>
      </c>
      <c r="AP33" s="57" t="s">
        <v>247</v>
      </c>
      <c r="AQ33" s="57" t="s">
        <v>497</v>
      </c>
      <c r="AR33" s="57" t="s">
        <v>402</v>
      </c>
      <c r="AS33" s="57" t="s">
        <v>447</v>
      </c>
      <c r="AT33" s="57" t="s">
        <v>452</v>
      </c>
      <c r="AU33" s="204" t="s">
        <v>119</v>
      </c>
      <c r="AV33" s="204" t="s">
        <v>589</v>
      </c>
      <c r="AW33" s="204" t="s">
        <v>64</v>
      </c>
      <c r="AX33" s="57" t="s">
        <v>480</v>
      </c>
      <c r="AY33" s="57" t="s">
        <v>548</v>
      </c>
      <c r="AZ33" s="204" t="s">
        <v>322</v>
      </c>
      <c r="BA33" s="204" t="s">
        <v>261</v>
      </c>
      <c r="BB33" s="204" t="s">
        <v>770</v>
      </c>
      <c r="BC33" s="204" t="s">
        <v>55</v>
      </c>
      <c r="BD33" s="57" t="s">
        <v>531</v>
      </c>
      <c r="BE33" s="204" t="s">
        <v>375</v>
      </c>
      <c r="BF33" s="204" t="s">
        <v>771</v>
      </c>
      <c r="BG33" s="204" t="s">
        <v>594</v>
      </c>
      <c r="BH33" s="301" t="s">
        <v>612</v>
      </c>
      <c r="BI33" s="301" t="s">
        <v>613</v>
      </c>
      <c r="BJ33" s="204" t="s">
        <v>574</v>
      </c>
      <c r="BK33" s="204" t="s">
        <v>359</v>
      </c>
      <c r="BL33" s="204" t="s">
        <v>93</v>
      </c>
      <c r="BM33" s="204" t="s">
        <v>199</v>
      </c>
      <c r="BN33" s="204" t="s">
        <v>252</v>
      </c>
      <c r="BO33" s="204" t="s">
        <v>152</v>
      </c>
      <c r="BP33" s="204" t="s">
        <v>556</v>
      </c>
      <c r="BQ33" s="204" t="s">
        <v>499</v>
      </c>
      <c r="BR33" s="204" t="s">
        <v>210</v>
      </c>
      <c r="BS33" s="204" t="s">
        <v>163</v>
      </c>
      <c r="BT33" s="204" t="s">
        <v>201</v>
      </c>
      <c r="BU33" s="204" t="s">
        <v>54</v>
      </c>
      <c r="BV33" s="204" t="s">
        <v>133</v>
      </c>
      <c r="BW33" s="204" t="s">
        <v>234</v>
      </c>
      <c r="BX33" s="204" t="s">
        <v>56</v>
      </c>
      <c r="BY33" s="204" t="s">
        <v>441</v>
      </c>
      <c r="BZ33" s="204" t="s">
        <v>108</v>
      </c>
      <c r="CA33" s="309" t="s">
        <v>666</v>
      </c>
      <c r="CB33" s="204" t="s">
        <v>668</v>
      </c>
      <c r="CC33" s="204" t="s">
        <v>670</v>
      </c>
      <c r="CD33" s="204" t="s">
        <v>657</v>
      </c>
      <c r="CE33" s="204" t="s">
        <v>658</v>
      </c>
      <c r="CF33" s="204" t="s">
        <v>659</v>
      </c>
      <c r="CG33" s="204" t="s">
        <v>332</v>
      </c>
      <c r="CH33" s="204" t="s">
        <v>361</v>
      </c>
      <c r="CI33" s="204" t="s">
        <v>522</v>
      </c>
      <c r="CJ33" s="204" t="s">
        <v>563</v>
      </c>
      <c r="CK33" s="204" t="s">
        <v>414</v>
      </c>
      <c r="CL33" s="204" t="s">
        <v>72</v>
      </c>
      <c r="CM33" s="204" t="s">
        <v>35</v>
      </c>
      <c r="CN33" s="204" t="s">
        <v>118</v>
      </c>
      <c r="CO33" s="204" t="s">
        <v>258</v>
      </c>
      <c r="CP33" s="204" t="s">
        <v>401</v>
      </c>
      <c r="CQ33" s="204" t="s">
        <v>283</v>
      </c>
      <c r="CR33" s="204" t="s">
        <v>66</v>
      </c>
      <c r="CS33" s="204" t="s">
        <v>577</v>
      </c>
      <c r="CT33" s="204" t="s">
        <v>725</v>
      </c>
      <c r="CU33" s="204" t="s">
        <v>376</v>
      </c>
      <c r="CV33" s="204" t="s">
        <v>506</v>
      </c>
      <c r="CW33" s="204" t="s">
        <v>708</v>
      </c>
      <c r="CX33" s="204" t="s">
        <v>324</v>
      </c>
      <c r="CY33" s="204" t="s">
        <v>518</v>
      </c>
      <c r="CZ33" s="204" t="s">
        <v>187</v>
      </c>
      <c r="DA33" s="204" t="s">
        <v>526</v>
      </c>
      <c r="DB33" s="147" t="s">
        <v>295</v>
      </c>
      <c r="DC33" s="147" t="s">
        <v>358</v>
      </c>
      <c r="DD33" s="147" t="s">
        <v>371</v>
      </c>
      <c r="DE33" s="172" t="s">
        <v>510</v>
      </c>
      <c r="DF33" s="204" t="s">
        <v>21</v>
      </c>
      <c r="DG33" s="172" t="s">
        <v>328</v>
      </c>
      <c r="DH33" s="172" t="s">
        <v>454</v>
      </c>
      <c r="DI33" s="172" t="s">
        <v>758</v>
      </c>
      <c r="DJ33" s="147" t="s">
        <v>687</v>
      </c>
      <c r="DK33" s="147" t="s">
        <v>688</v>
      </c>
      <c r="DL33" s="147" t="s">
        <v>266</v>
      </c>
      <c r="DM33" s="204" t="s">
        <v>259</v>
      </c>
      <c r="DN33" s="204" t="s">
        <v>550</v>
      </c>
      <c r="DO33" s="204" t="s">
        <v>400</v>
      </c>
      <c r="DP33" s="204" t="s">
        <v>508</v>
      </c>
      <c r="DQ33" s="2" t="s">
        <v>65</v>
      </c>
      <c r="DR33" s="2" t="s">
        <v>271</v>
      </c>
      <c r="DS33" s="2" t="s">
        <v>13</v>
      </c>
      <c r="DT33" s="2" t="s">
        <v>472</v>
      </c>
      <c r="DU33" s="2" t="s">
        <v>11</v>
      </c>
      <c r="DV33" s="2" t="s">
        <v>586</v>
      </c>
      <c r="DW33" s="2" t="s">
        <v>113</v>
      </c>
      <c r="DX33" s="2" t="s">
        <v>298</v>
      </c>
      <c r="DY33" s="2" t="s">
        <v>131</v>
      </c>
      <c r="DZ33" s="2" t="s">
        <v>458</v>
      </c>
      <c r="EA33" s="2" t="s">
        <v>444</v>
      </c>
      <c r="EB33" s="2" t="s">
        <v>14</v>
      </c>
      <c r="EC33" s="2" t="s">
        <v>172</v>
      </c>
      <c r="ED33" s="204" t="s">
        <v>679</v>
      </c>
      <c r="EE33" s="204" t="s">
        <v>253</v>
      </c>
      <c r="EF33" s="204" t="s">
        <v>672</v>
      </c>
      <c r="EG33" s="204" t="s">
        <v>724</v>
      </c>
      <c r="EH33" s="204" t="s">
        <v>716</v>
      </c>
      <c r="EI33" s="204" t="s">
        <v>0</v>
      </c>
      <c r="EJ33" s="204" t="s">
        <v>349</v>
      </c>
      <c r="EK33" s="172" t="s">
        <v>173</v>
      </c>
      <c r="EL33" s="172" t="s">
        <v>689</v>
      </c>
      <c r="EM33" s="172" t="s">
        <v>690</v>
      </c>
      <c r="EN33" s="172" t="s">
        <v>488</v>
      </c>
      <c r="EO33" s="172" t="s">
        <v>290</v>
      </c>
      <c r="EP33" s="172" t="s">
        <v>127</v>
      </c>
      <c r="EQ33" s="172" t="s">
        <v>561</v>
      </c>
      <c r="ER33" s="172" t="s">
        <v>195</v>
      </c>
      <c r="ES33" s="172" t="s">
        <v>19</v>
      </c>
      <c r="ET33" s="172" t="s">
        <v>413</v>
      </c>
      <c r="EU33" s="172" t="s">
        <v>572</v>
      </c>
      <c r="EV33" s="172" t="s">
        <v>363</v>
      </c>
      <c r="EW33" s="172" t="s">
        <v>323</v>
      </c>
      <c r="EX33" s="172" t="s">
        <v>208</v>
      </c>
      <c r="EY33" s="172" t="s">
        <v>567</v>
      </c>
      <c r="EZ33" s="204" t="s">
        <v>150</v>
      </c>
      <c r="FA33" s="172" t="s">
        <v>245</v>
      </c>
      <c r="FB33" s="172" t="s">
        <v>513</v>
      </c>
      <c r="FC33" s="172" t="s">
        <v>346</v>
      </c>
      <c r="FD33" s="172" t="s">
        <v>24</v>
      </c>
      <c r="FE33" s="172" t="s">
        <v>192</v>
      </c>
      <c r="FF33" s="172" t="s">
        <v>121</v>
      </c>
      <c r="FG33" s="172" t="s">
        <v>410</v>
      </c>
      <c r="FH33" s="172" t="s">
        <v>304</v>
      </c>
      <c r="FI33" s="172" t="s">
        <v>48</v>
      </c>
      <c r="FJ33" s="172" t="s">
        <v>509</v>
      </c>
      <c r="FK33" s="172" t="s">
        <v>393</v>
      </c>
      <c r="FL33" s="172" t="s">
        <v>500</v>
      </c>
      <c r="FM33" s="204" t="s">
        <v>576</v>
      </c>
      <c r="FN33" s="204" t="s">
        <v>126</v>
      </c>
      <c r="FO33" s="172" t="s">
        <v>537</v>
      </c>
      <c r="FP33" s="204" t="s">
        <v>492</v>
      </c>
      <c r="FQ33" s="204" t="s">
        <v>540</v>
      </c>
      <c r="FR33" s="204" t="s">
        <v>202</v>
      </c>
      <c r="FS33" s="204" t="s">
        <v>330</v>
      </c>
      <c r="FT33" s="204" t="s">
        <v>720</v>
      </c>
      <c r="FU33" s="204" t="s">
        <v>721</v>
      </c>
      <c r="FV33" s="204" t="s">
        <v>723</v>
      </c>
      <c r="FW33" s="204" t="s">
        <v>273</v>
      </c>
      <c r="FX33" s="204" t="s">
        <v>418</v>
      </c>
      <c r="FY33" s="204" t="s">
        <v>255</v>
      </c>
      <c r="FZ33" s="204" t="s">
        <v>474</v>
      </c>
      <c r="GA33" s="204" t="s">
        <v>51</v>
      </c>
      <c r="GB33" s="57" t="s">
        <v>287</v>
      </c>
      <c r="GC33" s="204" t="s">
        <v>551</v>
      </c>
      <c r="GD33" s="57" t="s">
        <v>585</v>
      </c>
      <c r="GE33" s="204" t="s">
        <v>112</v>
      </c>
      <c r="GF33" s="204" t="s">
        <v>368</v>
      </c>
      <c r="GG33" s="204" t="s">
        <v>186</v>
      </c>
      <c r="GH33" s="204" t="s">
        <v>350</v>
      </c>
      <c r="GI33" s="204" t="s">
        <v>181</v>
      </c>
      <c r="GJ33" s="204" t="s">
        <v>426</v>
      </c>
      <c r="GK33" s="204" t="s">
        <v>96</v>
      </c>
      <c r="GL33" s="204" t="s">
        <v>599</v>
      </c>
      <c r="GM33" s="204" t="s">
        <v>601</v>
      </c>
      <c r="GN33" s="204" t="s">
        <v>602</v>
      </c>
      <c r="GO33" s="204" t="s">
        <v>603</v>
      </c>
      <c r="GP33" s="204" t="s">
        <v>604</v>
      </c>
      <c r="GQ33" s="204" t="s">
        <v>605</v>
      </c>
    </row>
    <row r="34" spans="1:199" ht="13.5" thickTop="1"/>
  </sheetData>
  <autoFilter ref="A33:XFD53" xr:uid="{00000000-0009-0000-0000-000002000000}"/>
  <sortState xmlns:xlrd2="http://schemas.microsoft.com/office/spreadsheetml/2017/richdata2" ref="B34:HA79">
    <sortCondition ref="AI34:AI79"/>
  </sortState>
  <printOptions gridLines="1" gridLinesSet="0"/>
  <pageMargins left="0.75" right="0.75" top="1" bottom="1" header="0.5" footer="0.5"/>
  <pageSetup orientation="portrait" r:id="rId1"/>
  <headerFooter>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FK177"/>
  <sheetViews>
    <sheetView zoomScale="90" zoomScaleNormal="90" workbookViewId="0"/>
  </sheetViews>
  <sheetFormatPr defaultRowHeight="12.75"/>
  <cols>
    <col min="2" max="2" width="25.140625" customWidth="1"/>
    <col min="3" max="3" width="12.5703125" customWidth="1"/>
    <col min="5" max="5" width="25.140625" customWidth="1"/>
    <col min="6" max="6" width="10.5703125" customWidth="1"/>
    <col min="7" max="7" width="17" bestFit="1" customWidth="1"/>
    <col min="8" max="8" width="17.28515625" bestFit="1" customWidth="1"/>
    <col min="9" max="10" width="15" customWidth="1"/>
    <col min="11" max="15" width="13.7109375" customWidth="1"/>
    <col min="16" max="16" width="14.85546875" customWidth="1"/>
    <col min="17" max="102" width="13.7109375" customWidth="1"/>
    <col min="103" max="103" width="12.140625" customWidth="1"/>
    <col min="104" max="104" width="14.140625" customWidth="1"/>
    <col min="105" max="105" width="16.7109375" customWidth="1"/>
    <col min="106" max="106" width="22" customWidth="1"/>
    <col min="108" max="109" width="21.85546875" customWidth="1"/>
    <col min="110" max="110" width="44" customWidth="1"/>
    <col min="111" max="111" width="14.85546875" customWidth="1"/>
    <col min="112" max="112" width="7.5703125" customWidth="1"/>
    <col min="113" max="113" width="18.85546875" customWidth="1"/>
    <col min="114" max="114" width="9" customWidth="1"/>
    <col min="115" max="115" width="8.28515625" customWidth="1"/>
    <col min="116" max="116" width="20.140625" customWidth="1"/>
    <col min="117" max="117" width="13.85546875" customWidth="1"/>
    <col min="118" max="118" width="13.140625" customWidth="1"/>
    <col min="119" max="119" width="18" customWidth="1"/>
    <col min="120" max="120" width="14.7109375" customWidth="1"/>
    <col min="121" max="121" width="16.28515625" customWidth="1"/>
    <col min="122" max="122" width="14.140625" customWidth="1"/>
    <col min="123" max="123" width="15.28515625" customWidth="1"/>
    <col min="124" max="124" width="17.7109375" customWidth="1"/>
  </cols>
  <sheetData>
    <row r="1" spans="1:167" ht="16.5" thickTop="1">
      <c r="A1" s="184" t="s">
        <v>211</v>
      </c>
      <c r="B1" s="184"/>
      <c r="C1" s="184"/>
      <c r="D1" s="184" t="s">
        <v>313</v>
      </c>
      <c r="E1" s="184"/>
      <c r="F1" s="184"/>
      <c r="G1" s="184" t="s">
        <v>235</v>
      </c>
      <c r="H1" s="184"/>
      <c r="I1" s="184"/>
      <c r="J1" s="184" t="s">
        <v>279</v>
      </c>
      <c r="K1" s="184"/>
      <c r="L1" s="184"/>
      <c r="M1" s="184" t="s">
        <v>546</v>
      </c>
      <c r="N1" s="184"/>
      <c r="O1" s="184"/>
      <c r="P1" s="184" t="s">
        <v>676</v>
      </c>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342" t="s">
        <v>223</v>
      </c>
      <c r="CZ1" s="340"/>
      <c r="DB1" s="104" t="s">
        <v>383</v>
      </c>
      <c r="DD1" s="184" t="s">
        <v>177</v>
      </c>
      <c r="DE1" s="184"/>
      <c r="DF1" t="s">
        <v>528</v>
      </c>
      <c r="DG1" s="76">
        <f>SUM(DM6:DM11)</f>
        <v>0</v>
      </c>
      <c r="DH1" s="39" t="s">
        <v>571</v>
      </c>
      <c r="DJ1" s="125"/>
      <c r="DM1" s="125"/>
      <c r="DN1" t="s">
        <v>446</v>
      </c>
      <c r="DP1" s="125"/>
      <c r="DW1" s="335" t="s">
        <v>511</v>
      </c>
      <c r="DX1" s="341" t="s">
        <v>425</v>
      </c>
      <c r="DY1" s="338"/>
      <c r="DZ1" s="338"/>
      <c r="EA1" s="338"/>
      <c r="EB1" s="338"/>
      <c r="EC1" s="338"/>
      <c r="ED1" s="338"/>
      <c r="EE1" s="338"/>
      <c r="EF1" s="338"/>
      <c r="EG1" s="338"/>
      <c r="EH1" s="338"/>
      <c r="EI1" s="338"/>
      <c r="EJ1" s="338"/>
      <c r="EK1" s="339"/>
      <c r="EN1" s="335" t="s">
        <v>511</v>
      </c>
      <c r="EO1" s="211"/>
      <c r="EP1" s="211"/>
      <c r="EQ1" s="134"/>
      <c r="ER1" s="211"/>
      <c r="ES1" s="211"/>
      <c r="ET1" s="211"/>
      <c r="EU1" s="211"/>
      <c r="EV1" s="211"/>
      <c r="EW1" s="242"/>
      <c r="EX1" s="337" t="s">
        <v>425</v>
      </c>
      <c r="EY1" s="338"/>
      <c r="EZ1" s="338"/>
      <c r="FA1" s="338"/>
      <c r="FB1" s="338"/>
      <c r="FC1" s="338"/>
      <c r="FD1" s="338"/>
      <c r="FE1" s="338"/>
      <c r="FF1" s="338"/>
      <c r="FG1" s="338"/>
      <c r="FH1" s="338"/>
      <c r="FI1" s="338"/>
      <c r="FJ1" s="338"/>
      <c r="FK1" s="339"/>
    </row>
    <row r="2" spans="1:167" ht="16.5" thickBot="1">
      <c r="DB2" s="125"/>
      <c r="DF2" t="s">
        <v>50</v>
      </c>
      <c r="DG2" s="193">
        <f>DG1*200</f>
        <v>0</v>
      </c>
      <c r="DH2" s="39" t="s">
        <v>6</v>
      </c>
      <c r="DJ2" s="125"/>
      <c r="DW2" s="336"/>
      <c r="DX2" s="143" t="s">
        <v>147</v>
      </c>
      <c r="DY2" s="143">
        <v>1992</v>
      </c>
      <c r="DZ2" s="143">
        <v>1993</v>
      </c>
      <c r="EA2" s="143">
        <v>1994</v>
      </c>
      <c r="EB2" s="143">
        <v>1995</v>
      </c>
      <c r="EC2" s="143">
        <v>1996</v>
      </c>
      <c r="ED2" s="143">
        <v>1997</v>
      </c>
      <c r="EE2" s="143">
        <v>1998</v>
      </c>
      <c r="EF2" s="143">
        <v>1999</v>
      </c>
      <c r="EG2" s="143">
        <v>2000</v>
      </c>
      <c r="EH2" s="143">
        <v>2001</v>
      </c>
      <c r="EI2" s="143">
        <v>2002</v>
      </c>
      <c r="EJ2" s="143">
        <v>2003</v>
      </c>
      <c r="EK2" s="166">
        <v>2004</v>
      </c>
      <c r="EN2" s="336"/>
      <c r="EO2" s="223">
        <v>1982</v>
      </c>
      <c r="EP2" s="94">
        <v>1983</v>
      </c>
      <c r="EQ2" s="223">
        <v>1984</v>
      </c>
      <c r="ER2" s="98">
        <v>1985</v>
      </c>
      <c r="ES2" s="98">
        <v>1986</v>
      </c>
      <c r="ET2" s="98">
        <v>1987</v>
      </c>
      <c r="EU2" s="98">
        <v>1988</v>
      </c>
      <c r="EV2" s="179">
        <v>1989</v>
      </c>
      <c r="EW2" s="98">
        <v>1990</v>
      </c>
      <c r="EX2" s="219" t="s">
        <v>147</v>
      </c>
      <c r="EY2" s="143">
        <v>1992</v>
      </c>
      <c r="EZ2" s="143">
        <v>1993</v>
      </c>
      <c r="FA2" s="143">
        <v>1994</v>
      </c>
      <c r="FB2" s="143">
        <v>1995</v>
      </c>
      <c r="FC2" s="143">
        <v>1996</v>
      </c>
      <c r="FD2" s="143">
        <v>1997</v>
      </c>
      <c r="FE2" s="143">
        <v>1998</v>
      </c>
      <c r="FF2" s="143">
        <v>1999</v>
      </c>
      <c r="FG2" s="143">
        <v>2000</v>
      </c>
      <c r="FH2" s="143">
        <v>2001</v>
      </c>
      <c r="FI2" s="143">
        <v>2002</v>
      </c>
      <c r="FJ2" s="143">
        <v>2003</v>
      </c>
      <c r="FK2" s="166">
        <v>2004</v>
      </c>
    </row>
    <row r="3" spans="1:167" ht="17.25" thickTop="1" thickBot="1">
      <c r="A3" s="104"/>
      <c r="B3" s="104"/>
      <c r="C3" s="104"/>
      <c r="D3" s="104"/>
      <c r="E3" s="104"/>
      <c r="F3" s="104"/>
      <c r="G3" s="54" t="s">
        <v>23</v>
      </c>
      <c r="H3" s="111" t="s">
        <v>386</v>
      </c>
      <c r="I3" s="104"/>
      <c r="J3" s="54" t="s">
        <v>276</v>
      </c>
      <c r="K3" s="111" t="s">
        <v>38</v>
      </c>
      <c r="L3" s="104"/>
      <c r="M3" s="54" t="s">
        <v>17</v>
      </c>
      <c r="N3" s="111" t="s">
        <v>583</v>
      </c>
      <c r="O3" s="104"/>
      <c r="P3" s="104"/>
      <c r="Q3" s="233" t="s">
        <v>486</v>
      </c>
      <c r="R3" s="104"/>
      <c r="S3" s="104"/>
      <c r="T3" s="104"/>
      <c r="U3" s="104"/>
      <c r="V3" s="104"/>
      <c r="W3" s="104"/>
      <c r="X3" s="104"/>
      <c r="Y3" s="104"/>
      <c r="Z3" s="104"/>
      <c r="AA3" s="104"/>
      <c r="AB3" s="104"/>
      <c r="AC3" s="104"/>
      <c r="AD3" s="104"/>
      <c r="AE3" s="104"/>
      <c r="AF3" s="104"/>
      <c r="AG3" s="104"/>
      <c r="AH3" s="104"/>
      <c r="AI3" s="104"/>
      <c r="AJ3" s="104"/>
      <c r="AK3" s="104"/>
      <c r="AL3" s="104"/>
      <c r="AM3" s="104"/>
      <c r="AN3" s="104"/>
      <c r="AO3" s="104"/>
      <c r="AP3" s="104"/>
      <c r="AQ3" s="104"/>
      <c r="AR3" s="104"/>
      <c r="AS3" s="104"/>
      <c r="AT3" s="104"/>
      <c r="AU3" s="104"/>
      <c r="AV3" s="104"/>
      <c r="AW3" s="104"/>
      <c r="AX3" s="104"/>
      <c r="AY3" s="104"/>
      <c r="AZ3" s="104"/>
      <c r="BA3" s="104"/>
      <c r="BB3" s="104"/>
      <c r="BC3" s="104"/>
      <c r="BD3" s="104"/>
      <c r="BE3" s="104"/>
      <c r="BF3" s="104"/>
      <c r="BG3" s="104"/>
      <c r="BH3" s="104"/>
      <c r="BI3" s="104"/>
      <c r="BJ3" s="104"/>
      <c r="BK3" s="104"/>
      <c r="BL3" s="104"/>
      <c r="BM3" s="104"/>
      <c r="BN3" s="104"/>
      <c r="BO3" s="104"/>
      <c r="BP3" s="104"/>
      <c r="BQ3" s="104"/>
      <c r="BR3" s="104"/>
      <c r="BS3" s="104"/>
      <c r="BT3" s="104"/>
      <c r="BU3" s="104"/>
      <c r="BV3" s="104"/>
      <c r="BW3" s="104"/>
      <c r="BX3" s="104"/>
      <c r="BY3" s="104"/>
      <c r="BZ3" s="104"/>
      <c r="CA3" s="104"/>
      <c r="CB3" s="104"/>
      <c r="CC3" s="104"/>
      <c r="CD3" s="104"/>
      <c r="CE3" s="104"/>
      <c r="CF3" s="104"/>
      <c r="CG3" s="104"/>
      <c r="CH3" s="104"/>
      <c r="CI3" s="104"/>
      <c r="CJ3" s="104"/>
      <c r="CK3" s="104"/>
      <c r="CL3" s="104"/>
      <c r="CM3" s="104"/>
      <c r="CN3" s="104"/>
      <c r="CO3" s="104"/>
      <c r="CP3" s="104"/>
      <c r="CQ3" s="104"/>
      <c r="CR3" s="104"/>
      <c r="CS3" s="104"/>
      <c r="CT3" s="104"/>
      <c r="CU3" s="104"/>
      <c r="CV3" s="104"/>
      <c r="CW3" s="104"/>
      <c r="CX3" s="104"/>
      <c r="CY3" s="342"/>
      <c r="CZ3" s="342"/>
      <c r="DB3" s="25" t="e">
        <f ca="1">[1]!NRD(TODAY(),0)</f>
        <v>#NAME?</v>
      </c>
      <c r="DD3" t="s">
        <v>420</v>
      </c>
      <c r="DF3" t="s">
        <v>407</v>
      </c>
      <c r="DG3" s="9">
        <f>SUM(DO22:DO27)</f>
        <v>0</v>
      </c>
      <c r="DH3" s="39" t="s">
        <v>39</v>
      </c>
      <c r="DJ3" s="125"/>
      <c r="DN3" s="66" t="s">
        <v>52</v>
      </c>
      <c r="DO3" s="66" t="s">
        <v>216</v>
      </c>
      <c r="DP3" s="66"/>
      <c r="DQ3" s="66" t="s">
        <v>457</v>
      </c>
      <c r="DS3" s="76"/>
      <c r="DW3" s="199">
        <v>1907</v>
      </c>
      <c r="DX3" s="119">
        <v>4488</v>
      </c>
      <c r="DY3" s="119">
        <v>4488</v>
      </c>
      <c r="DZ3" s="119">
        <v>4488</v>
      </c>
      <c r="EA3" s="119">
        <v>4488</v>
      </c>
      <c r="EB3" s="119">
        <v>4488</v>
      </c>
      <c r="EC3" s="119">
        <v>4488</v>
      </c>
      <c r="ED3" s="119">
        <v>4488</v>
      </c>
      <c r="EE3" s="119">
        <v>4488</v>
      </c>
      <c r="EF3" s="119">
        <v>4488</v>
      </c>
      <c r="EG3" s="119">
        <v>4488</v>
      </c>
      <c r="EH3" s="119">
        <v>4488</v>
      </c>
      <c r="EI3" s="119">
        <v>4488</v>
      </c>
      <c r="EJ3" s="119">
        <v>4488</v>
      </c>
      <c r="EK3" s="228">
        <v>4488</v>
      </c>
      <c r="EN3" s="157">
        <v>1907</v>
      </c>
      <c r="EO3" s="132"/>
      <c r="EP3" s="171"/>
      <c r="EQ3" s="118"/>
      <c r="ER3" s="244"/>
      <c r="ES3" s="244"/>
      <c r="ET3" s="244"/>
      <c r="EU3" s="244"/>
      <c r="EV3" s="176">
        <v>4488</v>
      </c>
      <c r="EW3" s="171">
        <v>4704</v>
      </c>
      <c r="EX3" s="124">
        <v>4488</v>
      </c>
      <c r="EY3" s="119">
        <v>4488</v>
      </c>
      <c r="EZ3" s="119">
        <v>4488</v>
      </c>
      <c r="FA3" s="119">
        <v>4488</v>
      </c>
      <c r="FB3" s="119">
        <v>4488</v>
      </c>
      <c r="FC3" s="119">
        <v>4488</v>
      </c>
      <c r="FD3" s="119">
        <v>4488</v>
      </c>
      <c r="FE3" s="119">
        <v>4488</v>
      </c>
      <c r="FF3" s="119">
        <v>4488</v>
      </c>
      <c r="FG3" s="119">
        <v>4488</v>
      </c>
      <c r="FH3" s="119">
        <v>4488</v>
      </c>
      <c r="FI3" s="119">
        <v>4488</v>
      </c>
      <c r="FJ3" s="119">
        <v>4488</v>
      </c>
      <c r="FK3" s="228">
        <v>4488</v>
      </c>
    </row>
    <row r="4" spans="1:167" ht="27" thickBot="1">
      <c r="A4" s="104" t="s">
        <v>557</v>
      </c>
      <c r="B4" s="104" t="s">
        <v>455</v>
      </c>
      <c r="C4" s="104"/>
      <c r="D4" s="109" t="s">
        <v>17</v>
      </c>
      <c r="E4" s="104" t="s">
        <v>455</v>
      </c>
      <c r="F4" s="104"/>
      <c r="G4" s="181">
        <v>0</v>
      </c>
      <c r="H4" s="251">
        <v>0</v>
      </c>
      <c r="I4" s="63"/>
      <c r="J4" s="164">
        <v>0</v>
      </c>
      <c r="K4" s="114">
        <v>1</v>
      </c>
      <c r="L4" s="62">
        <f>1/180</f>
        <v>5.5555555555555558E-3</v>
      </c>
      <c r="M4" s="296">
        <v>0</v>
      </c>
      <c r="N4" s="114">
        <v>1</v>
      </c>
      <c r="O4" s="62"/>
      <c r="P4" s="218" t="s">
        <v>450</v>
      </c>
      <c r="Q4" s="128">
        <v>1</v>
      </c>
      <c r="R4" s="214">
        <v>2</v>
      </c>
      <c r="S4" s="214">
        <v>3</v>
      </c>
      <c r="T4" s="214">
        <v>4</v>
      </c>
      <c r="U4" s="214">
        <v>5</v>
      </c>
      <c r="V4" s="214">
        <v>6</v>
      </c>
      <c r="W4" s="214">
        <v>7</v>
      </c>
      <c r="X4" s="214">
        <v>8</v>
      </c>
      <c r="Y4" s="214">
        <v>9</v>
      </c>
      <c r="Z4" s="214">
        <v>10</v>
      </c>
      <c r="AA4" s="214">
        <v>11</v>
      </c>
      <c r="AB4" s="214">
        <v>12</v>
      </c>
      <c r="AC4" s="214">
        <v>13</v>
      </c>
      <c r="AD4" s="214">
        <v>14</v>
      </c>
      <c r="AE4" s="214">
        <v>15</v>
      </c>
      <c r="AF4" s="214">
        <v>16</v>
      </c>
      <c r="AG4" s="214">
        <v>17</v>
      </c>
      <c r="AH4" s="214">
        <v>18</v>
      </c>
      <c r="AI4" s="214">
        <v>19</v>
      </c>
      <c r="AJ4" s="214">
        <v>20</v>
      </c>
      <c r="AK4" s="214">
        <v>21</v>
      </c>
      <c r="AL4" s="214">
        <v>22</v>
      </c>
      <c r="AM4" s="214">
        <v>23</v>
      </c>
      <c r="AN4" s="214">
        <v>24</v>
      </c>
      <c r="AO4" s="214">
        <v>25</v>
      </c>
      <c r="AP4" s="214">
        <v>26</v>
      </c>
      <c r="AQ4" s="214">
        <v>27</v>
      </c>
      <c r="AR4" s="214">
        <v>28</v>
      </c>
      <c r="AS4" s="214">
        <v>29</v>
      </c>
      <c r="AT4" s="214">
        <v>30</v>
      </c>
      <c r="AU4" s="214">
        <v>31</v>
      </c>
      <c r="AV4" s="214">
        <v>32</v>
      </c>
      <c r="AW4" s="214">
        <v>33</v>
      </c>
      <c r="AX4" s="214">
        <v>34</v>
      </c>
      <c r="AY4" s="214">
        <v>35</v>
      </c>
      <c r="AZ4" s="214">
        <v>36</v>
      </c>
      <c r="BA4" s="214">
        <v>37</v>
      </c>
      <c r="BB4" s="214">
        <v>38</v>
      </c>
      <c r="BC4" s="214">
        <v>39</v>
      </c>
      <c r="BD4" s="214">
        <v>40</v>
      </c>
      <c r="BE4" s="214">
        <v>41</v>
      </c>
      <c r="BF4" s="214">
        <v>42</v>
      </c>
      <c r="BG4" s="214">
        <v>43</v>
      </c>
      <c r="BH4" s="214">
        <v>44</v>
      </c>
      <c r="BI4" s="214">
        <v>45</v>
      </c>
      <c r="BJ4" s="214">
        <v>46</v>
      </c>
      <c r="BK4" s="214">
        <v>47</v>
      </c>
      <c r="BL4" s="214">
        <v>48</v>
      </c>
      <c r="BM4" s="214">
        <v>49</v>
      </c>
      <c r="BN4" s="214">
        <v>50</v>
      </c>
      <c r="BO4" s="214">
        <v>51</v>
      </c>
      <c r="BP4" s="214">
        <v>52</v>
      </c>
      <c r="BQ4" s="214">
        <v>53</v>
      </c>
      <c r="BR4" s="214">
        <v>54</v>
      </c>
      <c r="BS4" s="214">
        <v>55</v>
      </c>
      <c r="BT4" s="214">
        <v>56</v>
      </c>
      <c r="BU4" s="214">
        <v>57</v>
      </c>
      <c r="BV4" s="214">
        <v>58</v>
      </c>
      <c r="BW4" s="214">
        <v>59</v>
      </c>
      <c r="BX4" s="214">
        <v>60</v>
      </c>
      <c r="BY4" s="214">
        <v>61</v>
      </c>
      <c r="BZ4" s="214">
        <v>62</v>
      </c>
      <c r="CA4" s="214">
        <v>63</v>
      </c>
      <c r="CB4" s="214">
        <v>64</v>
      </c>
      <c r="CC4" s="214">
        <v>65</v>
      </c>
      <c r="CD4" s="214">
        <v>66</v>
      </c>
      <c r="CE4" s="214">
        <v>67</v>
      </c>
      <c r="CF4" s="214">
        <v>68</v>
      </c>
      <c r="CG4" s="214">
        <v>69</v>
      </c>
      <c r="CH4" s="214">
        <v>70</v>
      </c>
      <c r="CI4" s="214">
        <v>71</v>
      </c>
      <c r="CJ4" s="214">
        <v>72</v>
      </c>
      <c r="CK4" s="214">
        <v>73</v>
      </c>
      <c r="CL4" s="214">
        <v>74</v>
      </c>
      <c r="CM4" s="214">
        <v>75</v>
      </c>
      <c r="CN4" s="214">
        <v>76</v>
      </c>
      <c r="CO4" s="214">
        <v>77</v>
      </c>
      <c r="CP4" s="214">
        <v>78</v>
      </c>
      <c r="CQ4" s="214">
        <v>79</v>
      </c>
      <c r="CR4" s="214">
        <v>80</v>
      </c>
      <c r="CS4" s="214">
        <v>81</v>
      </c>
      <c r="CT4" s="214">
        <v>82</v>
      </c>
      <c r="CU4" s="214">
        <v>83</v>
      </c>
      <c r="CV4" s="214">
        <v>84</v>
      </c>
      <c r="CW4" s="86">
        <v>85</v>
      </c>
      <c r="CX4" s="62"/>
      <c r="CY4" s="150"/>
      <c r="DB4" s="104"/>
      <c r="DD4" t="str">
        <f>"A"</f>
        <v>A</v>
      </c>
      <c r="DF4" t="s">
        <v>185</v>
      </c>
      <c r="DG4" s="29">
        <f>ROUND(MIN(10000,0.05*DG3),0)</f>
        <v>0</v>
      </c>
      <c r="DH4" s="39" t="s">
        <v>90</v>
      </c>
      <c r="DJ4" s="104"/>
      <c r="DM4" t="s">
        <v>244</v>
      </c>
      <c r="DN4" s="66" t="s">
        <v>272</v>
      </c>
      <c r="DO4" s="66" t="s">
        <v>289</v>
      </c>
      <c r="DP4" s="66" t="s">
        <v>432</v>
      </c>
      <c r="DQ4" s="66" t="s">
        <v>197</v>
      </c>
      <c r="DS4" s="76"/>
      <c r="DW4" s="93">
        <v>1908</v>
      </c>
      <c r="DX4" s="47">
        <v>4704</v>
      </c>
      <c r="DY4" s="47">
        <v>4704</v>
      </c>
      <c r="DZ4" s="47">
        <v>4704</v>
      </c>
      <c r="EA4" s="47">
        <v>4704</v>
      </c>
      <c r="EB4" s="47">
        <v>4704</v>
      </c>
      <c r="EC4" s="47">
        <v>4704</v>
      </c>
      <c r="ED4" s="47">
        <v>4704</v>
      </c>
      <c r="EE4" s="47">
        <v>4704</v>
      </c>
      <c r="EF4" s="47">
        <v>4704</v>
      </c>
      <c r="EG4" s="47">
        <v>4704</v>
      </c>
      <c r="EH4" s="47">
        <v>4704</v>
      </c>
      <c r="EI4" s="47">
        <v>4704</v>
      </c>
      <c r="EJ4" s="47">
        <v>4704</v>
      </c>
      <c r="EK4" s="208">
        <v>4704</v>
      </c>
      <c r="EN4" s="43">
        <v>1908</v>
      </c>
      <c r="EO4" s="106"/>
      <c r="EP4" s="127"/>
      <c r="EQ4" s="149"/>
      <c r="ER4" s="127"/>
      <c r="ES4" s="127"/>
      <c r="ET4" s="127"/>
      <c r="EU4" s="127"/>
      <c r="EV4" s="41">
        <v>4704</v>
      </c>
      <c r="EW4" s="127">
        <v>4704</v>
      </c>
      <c r="EX4" s="202">
        <v>4704</v>
      </c>
      <c r="EY4" s="47">
        <v>4704</v>
      </c>
      <c r="EZ4" s="47">
        <v>4704</v>
      </c>
      <c r="FA4" s="47">
        <v>4704</v>
      </c>
      <c r="FB4" s="47">
        <v>4704</v>
      </c>
      <c r="FC4" s="47">
        <v>4704</v>
      </c>
      <c r="FD4" s="47">
        <v>4704</v>
      </c>
      <c r="FE4" s="47">
        <v>4704</v>
      </c>
      <c r="FF4" s="47">
        <v>4704</v>
      </c>
      <c r="FG4" s="47">
        <v>4704</v>
      </c>
      <c r="FH4" s="47">
        <v>4704</v>
      </c>
      <c r="FI4" s="47">
        <v>4704</v>
      </c>
      <c r="FJ4" s="47">
        <v>4704</v>
      </c>
      <c r="FK4" s="208">
        <v>4704</v>
      </c>
    </row>
    <row r="5" spans="1:167" ht="16.5" thickTop="1">
      <c r="A5" s="59">
        <v>65</v>
      </c>
      <c r="B5" s="27">
        <v>1</v>
      </c>
      <c r="C5" s="62"/>
      <c r="D5" s="213">
        <v>0</v>
      </c>
      <c r="E5" s="189">
        <f>[1]!PBGCLRF(65+D5/12)</f>
        <v>1</v>
      </c>
      <c r="F5" s="62"/>
      <c r="G5" s="175">
        <v>5</v>
      </c>
      <c r="H5" s="151">
        <v>1</v>
      </c>
      <c r="I5" s="63"/>
      <c r="J5" s="19">
        <v>1</v>
      </c>
      <c r="K5" s="122">
        <f>K4-$L$4</f>
        <v>0.99444444444444446</v>
      </c>
      <c r="L5" s="62"/>
      <c r="M5" s="297">
        <v>1</v>
      </c>
      <c r="N5" s="122">
        <f>[1]!LRFAEQ(0.065,"M",65,M5,0,"GM71","GM71","MP","Y","N","",65)</f>
        <v>1.0100323943045117</v>
      </c>
      <c r="O5" s="62"/>
      <c r="P5" s="130">
        <v>55</v>
      </c>
      <c r="Q5" s="155">
        <f>[1]!BFCFAEQ("SLA",0,0,0,"JSC",0.5,0,0,P5,Q$4,"M","F",0.065,"GM71","GM71","MP","N","","","")</f>
        <v>0.8368890792866539</v>
      </c>
      <c r="R5" s="155">
        <f>[1]!BFCFAEQ("SLA",0,0,0,"JSC",0.5,0,0,P5,R$4,"M","F",0.065,"GM71","GM71","MP","N","","","")</f>
        <v>0.83733728038779531</v>
      </c>
      <c r="S5" s="155">
        <f>[1]!BFCFAEQ("SLA",0,0,0,"JSC",0.5,0,0,P5,S$4,"M","F",0.065,"GM71","GM71","MP","N","","","")</f>
        <v>0.83781011096508107</v>
      </c>
      <c r="T5" s="155">
        <f>[1]!BFCFAEQ("SLA",0,0,0,"JSC",0.5,0,0,P5,T$4,"M","F",0.065,"GM71","GM71","MP","N","","","")</f>
        <v>0.83830888992785868</v>
      </c>
      <c r="U5" s="155">
        <f>[1]!BFCFAEQ("SLA",0,0,0,"JSC",0.5,0,0,P5,U$4,"M","F",0.065,"GM71","GM71","MP","N","","","")</f>
        <v>0.83883499906929937</v>
      </c>
      <c r="V5" s="155">
        <f>[1]!BFCFAEQ("SLA",0,0,0,"JSC",0.5,0,0,P5,V$4,"M","F",0.065,"GM71","GM71","MP","N","","","")</f>
        <v>0.83932838550596911</v>
      </c>
      <c r="W5" s="155">
        <f>[1]!BFCFAEQ("SLA",0,0,0,"JSC",0.5,0,0,P5,W$4,"M","F",0.065,"GM71","GM71","MP","N","","","")</f>
        <v>0.83985682867636635</v>
      </c>
      <c r="X5" s="155">
        <f>[1]!BFCFAEQ("SLA",0,0,0,"JSC",0.5,0,0,P5,X$4,"M","F",0.065,"GM71","GM71","MP","N","","","")</f>
        <v>0.84042054120817522</v>
      </c>
      <c r="Y5" s="155">
        <f>[1]!BFCFAEQ("SLA",0,0,0,"JSC",0.5,0,0,P5,Y$4,"M","F",0.065,"GM71","GM71","MP","N","","","")</f>
        <v>0.84101995105175109</v>
      </c>
      <c r="Z5" s="155">
        <f>[1]!BFCFAEQ("SLA",0,0,0,"JSC",0.5,0,0,P5,Z$4,"M","F",0.065,"GM71","GM71","MP","N","","","")</f>
        <v>0.84165583704224289</v>
      </c>
      <c r="AA5" s="155">
        <f>[1]!BFCFAEQ("SLA",0,0,0,"JSC",0.5,0,0,P5,AA$4,"M","F",0.065,"GM71","GM71","MP","N","","","")</f>
        <v>0.84232959338308766</v>
      </c>
      <c r="AB5" s="155">
        <f>[1]!BFCFAEQ("SLA",0,0,0,"JSC",0.5,0,0,P5,AB$4,"M","F",0.065,"GM71","GM71","MP","N","","","")</f>
        <v>0.84304242708857813</v>
      </c>
      <c r="AC5" s="155">
        <f>[1]!BFCFAEQ("SLA",0,0,0,"JSC",0.5,0,0,P5,AC$4,"M","F",0.065,"GM71","GM71","MP","N","","","")</f>
        <v>0.84379628654980054</v>
      </c>
      <c r="AD5" s="155">
        <f>[1]!BFCFAEQ("SLA",0,0,0,"JSC",0.5,0,0,P5,AD$4,"M","F",0.065,"GM71","GM71","MP","N","","","")</f>
        <v>0.84459332175971569</v>
      </c>
      <c r="AE5" s="155">
        <f>[1]!BFCFAEQ("SLA",0,0,0,"JSC",0.5,0,0,P5,AE$4,"M","F",0.065,"GM71","GM71","MP","N","","","")</f>
        <v>0.84543561669291289</v>
      </c>
      <c r="AF5" s="155">
        <f>[1]!BFCFAEQ("SLA",0,0,0,"JSC",0.5,0,0,P5,AF$4,"M","F",0.065,"GM71","GM71","MP","N","","","")</f>
        <v>0.84632518831345949</v>
      </c>
      <c r="AG5" s="155">
        <f>[1]!BFCFAEQ("SLA",0,0,0,"JSC",0.5,0,0,P5,AG$4,"M","F",0.065,"GM71","GM71","MP","N","","","")</f>
        <v>0.84726437401557297</v>
      </c>
      <c r="AH5" s="155">
        <f>[1]!BFCFAEQ("SLA",0,0,0,"JSC",0.5,0,0,P5,AH$4,"M","F",0.065,"GM71","GM71","MP","N","","","")</f>
        <v>0.84825530452921416</v>
      </c>
      <c r="AI5" s="155">
        <f>[1]!BFCFAEQ("SLA",0,0,0,"JSC",0.5,0,0,P5,AI$4,"M","F",0.065,"GM71","GM71","MP","N","","","")</f>
        <v>0.84930028919320599</v>
      </c>
      <c r="AJ5" s="155">
        <f>[1]!BFCFAEQ("SLA",0,0,0,"JSC",0.5,0,0,P5,AJ$4,"M","F",0.065,"GM71","GM71","MP","N","","","")</f>
        <v>0.85040167832654556</v>
      </c>
      <c r="AK5" s="155">
        <f>[1]!BFCFAEQ("SLA",0,0,0,"JSC",0.5,0,0,P5,AK$4,"M","F",0.065,"GM71","GM71","MP","N","","","")</f>
        <v>0.85156172886346138</v>
      </c>
      <c r="AL5" s="155">
        <f>[1]!BFCFAEQ("SLA",0,0,0,"JSC",0.5,0,0,P5,AL$4,"M","F",0.065,"GM71","GM71","MP","N","","","")</f>
        <v>0.85278272538502342</v>
      </c>
      <c r="AM5" s="155">
        <f>[1]!BFCFAEQ("SLA",0,0,0,"JSC",0.5,0,0,P5,AM$4,"M","F",0.065,"GM71","GM71","MP","N","","","")</f>
        <v>0.8540668454578656</v>
      </c>
      <c r="AN5" s="155">
        <f>[1]!BFCFAEQ("SLA",0,0,0,"JSC",0.5,0,0,P5,AN$4,"M","F",0.065,"GM71","GM71","MP","N","","","")</f>
        <v>0.85541664793972116</v>
      </c>
      <c r="AO5" s="155">
        <f>[1]!BFCFAEQ("SLA",0,0,0,"JSC",0.5,0,0,P5,AO$4,"M","F",0.065,"GM71","GM71","MP","N","","","")</f>
        <v>0.85683430768358193</v>
      </c>
      <c r="AP5" s="155">
        <f>[1]!BFCFAEQ("SLA",0,0,0,"JSC",0.5,0,0,P5,AP$4,"M","F",0.065,"GM71","GM71","MP","N","","","")</f>
        <v>0.85832197990356907</v>
      </c>
      <c r="AQ5" s="155">
        <f>[1]!BFCFAEQ("SLA",0,0,0,"JSC",0.5,0,0,P5,AQ$4,"M","F",0.065,"GM71","GM71","MP","N","","","")</f>
        <v>0.85988178304447205</v>
      </c>
      <c r="AR5" s="155">
        <f>[1]!BFCFAEQ("SLA",0,0,0,"JSC",0.5,0,0,P5,AR$4,"M","F",0.065,"GM71","GM71","MP","N","","","")</f>
        <v>0.86151577945100155</v>
      </c>
      <c r="AS5" s="155">
        <f>[1]!BFCFAEQ("SLA",0,0,0,"JSC",0.5,0,0,P5,AS$4,"M","F",0.065,"GM71","GM71","MP","N","","","")</f>
        <v>0.86322583547728271</v>
      </c>
      <c r="AT5" s="155">
        <f>[1]!BFCFAEQ("SLA",0,0,0,"JSC",0.5,0,0,P5,AT$4,"M","F",0.065,"GM71","GM71","MP","N","","","")</f>
        <v>0.86501383765166706</v>
      </c>
      <c r="AU5" s="155">
        <f>[1]!BFCFAEQ("SLA",0,0,0,"JSC",0.5,0,0,P5,AU$4,"M","F",0.065,"GM71","GM71","MP","N","","","")</f>
        <v>0.86688131308766092</v>
      </c>
      <c r="AV5" s="155">
        <f>[1]!BFCFAEQ("SLA",0,0,0,"JSC",0.5,0,0,P5,AV$4,"M","F",0.065,"GM71","GM71","MP","N","","","")</f>
        <v>0.86882964295260223</v>
      </c>
      <c r="AW5" s="155">
        <f>[1]!BFCFAEQ("SLA",0,0,0,"JSC",0.5,0,0,P5,AW$4,"M","F",0.065,"GM71","GM71","MP","N","","","")</f>
        <v>0.8708600322967005</v>
      </c>
      <c r="AX5" s="155">
        <f>[1]!BFCFAEQ("SLA",0,0,0,"JSC",0.5,0,0,P5,AX$4,"M","F",0.065,"GM71","GM71","MP","N","","","")</f>
        <v>0.87297336641018053</v>
      </c>
      <c r="AY5" s="155">
        <f>[1]!BFCFAEQ("SLA",0,0,0,"JSC",0.5,0,0,P5,AY$4,"M","F",0.065,"GM71","GM71","MP","N","","","")</f>
        <v>0.87517029381517208</v>
      </c>
      <c r="AZ5" s="155">
        <f>[1]!BFCFAEQ("SLA",0,0,0,"JSC",0.5,0,0,P5,AZ$4,"M","F",0.065,"GM71","GM71","MP","N","","","")</f>
        <v>0.8774509754150589</v>
      </c>
      <c r="BA5" s="155">
        <f>[1]!BFCFAEQ("SLA",0,0,0,"JSC",0.5,0,0,P5,BA$4,"M","F",0.065,"GM71","GM71","MP","N","","","")</f>
        <v>0.87981548961467726</v>
      </c>
      <c r="BB5" s="155">
        <f>[1]!BFCFAEQ("SLA",0,0,0,"JSC",0.5,0,0,P5,BB$4,"M","F",0.065,"GM71","GM71","MP","N","","","")</f>
        <v>0.88226325765631519</v>
      </c>
      <c r="BC5" s="155">
        <f>[1]!BFCFAEQ("SLA",0,0,0,"JSC",0.5,0,0,P5,BC$4,"M","F",0.065,"GM71","GM71","MP","N","","","")</f>
        <v>0.88479313753976097</v>
      </c>
      <c r="BD5" s="155">
        <f>[1]!BFCFAEQ("SLA",0,0,0,"JSC",0.5,0,0,P5,BD$4,"M","F",0.065,"GM71","GM71","MP","N","","","")</f>
        <v>0.88740370955078107</v>
      </c>
      <c r="BE5" s="155">
        <f>[1]!BFCFAEQ("SLA",0,0,0,"JSC",0.5,0,0,P5,BE$4,"M","F",0.065,"GM71","GM71","MP","N","","","")</f>
        <v>0.89009293829408642</v>
      </c>
      <c r="BF5" s="155">
        <f>[1]!BFCFAEQ("SLA",0,0,0,"JSC",0.5,0,0,P5,BF$4,"M","F",0.065,"GM71","GM71","MP","N","","","")</f>
        <v>0.89285643637627909</v>
      </c>
      <c r="BG5" s="155">
        <f>[1]!BFCFAEQ("SLA",0,0,0,"JSC",0.5,0,0,P5,BG$4,"M","F",0.065,"GM71","GM71","MP","N","","","")</f>
        <v>0.89568738276040705</v>
      </c>
      <c r="BH5" s="155">
        <f>[1]!BFCFAEQ("SLA",0,0,0,"JSC",0.5,0,0,P5,BH$4,"M","F",0.065,"GM71","GM71","MP","N","","","")</f>
        <v>0.89857943519691807</v>
      </c>
      <c r="BI5" s="155">
        <f>[1]!BFCFAEQ("SLA",0,0,0,"JSC",0.5,0,0,P5,BI$4,"M","F",0.065,"GM71","GM71","MP","N","","","")</f>
        <v>0.90152614249432761</v>
      </c>
      <c r="BJ5" s="155">
        <f>[1]!BFCFAEQ("SLA",0,0,0,"JSC",0.5,0,0,P5,BJ$4,"M","F",0.065,"GM71","GM71","MP","N","","","")</f>
        <v>0.90452139219137817</v>
      </c>
      <c r="BK5" s="155">
        <f>[1]!BFCFAEQ("SLA",0,0,0,"JSC",0.5,0,0,P5,BK$4,"M","F",0.065,"GM71","GM71","MP","N","","","")</f>
        <v>0.90755902685626477</v>
      </c>
      <c r="BL5" s="155">
        <f>[1]!BFCFAEQ("SLA",0,0,0,"JSC",0.5,0,0,P5,BL$4,"M","F",0.065,"GM71","GM71","MP","N","","","")</f>
        <v>0.9106330074727722</v>
      </c>
      <c r="BM5" s="155">
        <f>[1]!BFCFAEQ("SLA",0,0,0,"JSC",0.5,0,0,P5,BM$4,"M","F",0.065,"GM71","GM71","MP","N","","","")</f>
        <v>0.91373730942294507</v>
      </c>
      <c r="BN5" s="155">
        <f>[1]!BFCFAEQ("SLA",0,0,0,"JSC",0.5,0,0,P5,BN$4,"M","F",0.065,"GM71","GM71","MP","N","","","")</f>
        <v>0.91686575744443888</v>
      </c>
      <c r="BO5" s="155">
        <f>[1]!BFCFAEQ("SLA",0,0,0,"JSC",0.5,0,0,P5,BO$4,"M","F",0.065,"GM71","GM71","MP","N","","","")</f>
        <v>0.92001241160263181</v>
      </c>
      <c r="BP5" s="155">
        <f>[1]!BFCFAEQ("SLA",0,0,0,"JSC",0.5,0,0,P5,BP$4,"M","F",0.065,"GM71","GM71","MP","N","","","")</f>
        <v>0.92317087695601174</v>
      </c>
      <c r="BQ5" s="155">
        <f>[1]!BFCFAEQ("SLA",0,0,0,"JSC",0.5,0,0,P5,BQ$4,"M","F",0.065,"GM71","GM71","MP","N","","","")</f>
        <v>0.92633506601185889</v>
      </c>
      <c r="BR5" s="155">
        <f>[1]!BFCFAEQ("SLA",0,0,0,"JSC",0.5,0,0,P5,BR$4,"M","F",0.065,"GM71","GM71","MP","N","","","")</f>
        <v>0.92949855094464395</v>
      </c>
      <c r="BS5" s="155">
        <f>[1]!BFCFAEQ("SLA",0,0,0,"JSC",0.5,0,0,P5,BS$4,"M","F",0.065,"GM71","GM71","MP","N","","","")</f>
        <v>0.93265495206477311</v>
      </c>
      <c r="BT5" s="155">
        <f>[1]!BFCFAEQ("SLA",0,0,0,"JSC",0.5,0,0,P5,BT$4,"M","F",0.065,"GM71","GM71","MP","N","","","")</f>
        <v>0.93579770115486272</v>
      </c>
      <c r="BU5" s="155">
        <f>[1]!BFCFAEQ("SLA",0,0,0,"JSC",0.5,0,0,P5,BU$4,"M","F",0.065,"GM71","GM71","MP","N","","","")</f>
        <v>0.93892044513515582</v>
      </c>
      <c r="BV5" s="155">
        <f>[1]!BFCFAEQ("SLA",0,0,0,"JSC",0.5,0,0,P5,BV$4,"M","F",0.065,"GM71","GM71","MP","N","","","")</f>
        <v>0.94201656822061464</v>
      </c>
      <c r="BW5" s="155">
        <f>[1]!BFCFAEQ("SLA",0,0,0,"JSC",0.5,0,0,P5,BW$4,"M","F",0.065,"GM71","GM71","MP","N","","","")</f>
        <v>0.94507741817890012</v>
      </c>
      <c r="BX5" s="155">
        <f>[1]!BFCFAEQ("SLA",0,0,0,"JSC",0.5,0,0,P5,BX$4,"M","F",0.065,"GM71","GM71","MP","N","","","")</f>
        <v>0.94808920828900412</v>
      </c>
      <c r="BY5" s="155">
        <f>[1]!BFCFAEQ("SLA",0,0,0,"JSC",0.5,0,0,P5,BY$4,"M","F",0.065,"GM71","GM71","MP","N","","","")</f>
        <v>0.95104100069076514</v>
      </c>
      <c r="BZ5" s="155">
        <f>[1]!BFCFAEQ("SLA",0,0,0,"JSC",0.5,0,0,P5,BZ$4,"M","F",0.065,"GM71","GM71","MP","N","","","")</f>
        <v>0.95392476157783801</v>
      </c>
      <c r="CA5" s="155">
        <f>[1]!BFCFAEQ("SLA",0,0,0,"JSC",0.5,0,0,P5,CA$4,"M","F",0.065,"GM71","GM71","MP","N","","","")</f>
        <v>0.95673446437137122</v>
      </c>
      <c r="CB5" s="155">
        <f>[1]!BFCFAEQ("SLA",0,0,0,"JSC",0.5,0,0,P5,CB$4,"M","F",0.065,"GM71","GM71","MP","N","","","")</f>
        <v>0.95946379948899352</v>
      </c>
      <c r="CC5" s="155">
        <f>[1]!BFCFAEQ("SLA",0,0,0,"JSC",0.5,0,0,P5,CC$4,"M","F",0.065,"GM71","GM71","MP","N","","","")</f>
        <v>0.96210383259999677</v>
      </c>
      <c r="CD5" s="155">
        <f>[1]!BFCFAEQ("SLA",0,0,0,"JSC",0.5,0,0,P5,CD$4,"M","F",0.065,"GM71","GM71","MP","N","","","")</f>
        <v>0.96464457154267624</v>
      </c>
      <c r="CE5" s="155">
        <f>[1]!BFCFAEQ("SLA",0,0,0,"JSC",0.5,0,0,P5,CE$4,"M","F",0.065,"GM71","GM71","MP","N","","","")</f>
        <v>0.96707826711129974</v>
      </c>
      <c r="CF5" s="155">
        <f>[1]!BFCFAEQ("SLA",0,0,0,"JSC",0.5,0,0,P5,CF$4,"M","F",0.065,"GM71","GM71","MP","N","","","")</f>
        <v>0.96939998892016033</v>
      </c>
      <c r="CG5" s="155">
        <f>[1]!BFCFAEQ("SLA",0,0,0,"JSC",0.5,0,0,P5,CG$4,"M","F",0.065,"GM71","GM71","MP","N","","","")</f>
        <v>0.97160930479361973</v>
      </c>
      <c r="CH5" s="155">
        <f>[1]!BFCFAEQ("SLA",0,0,0,"JSC",0.5,0,0,P5,CH$4,"M","F",0.065,"GM71","GM71","MP","N","","","")</f>
        <v>0.97370208319961482</v>
      </c>
      <c r="CI5" s="155">
        <f>[1]!BFCFAEQ("SLA",0,0,0,"JSC",0.5,0,0,P5,CI$4,"M","F",0.065,"GM71","GM71","MP","N","","","")</f>
        <v>0.97567517802089887</v>
      </c>
      <c r="CJ5" s="155">
        <f>[1]!BFCFAEQ("SLA",0,0,0,"JSC",0.5,0,0,P5,CJ$4,"M","F",0.065,"GM71","GM71","MP","N","","","")</f>
        <v>0.97753216504462692</v>
      </c>
      <c r="CK5" s="155">
        <f>[1]!BFCFAEQ("SLA",0,0,0,"JSC",0.5,0,0,P5,CK$4,"M","F",0.065,"GM71","GM71","MP","N","","","")</f>
        <v>0.97928397063224815</v>
      </c>
      <c r="CL5" s="155">
        <f>[1]!BFCFAEQ("SLA",0,0,0,"JSC",0.5,0,0,P5,CL$4,"M","F",0.065,"GM71","GM71","MP","N","","","")</f>
        <v>0.9809414116759827</v>
      </c>
      <c r="CM5" s="155">
        <f>[1]!BFCFAEQ("SLA",0,0,0,"JSC",0.5,0,0,P5,CM$4,"M","F",0.065,"GM71","GM71","MP","N","","","")</f>
        <v>0.98250914025602387</v>
      </c>
      <c r="CN5" s="255">
        <f>ROUND([1]!NPVF2("MP","SLA","N",0.05,"M",$P5,$P5,0,0,120,0,"UP84","UP84","P","","")/[1]!NPVF2("MP","JSC","N",0.05,"M",$P5,$P5,CN$4,0.5,0,0,"UP84","UP84","P","",""),4)</f>
        <v>1.0135000000000001</v>
      </c>
      <c r="CO5" s="255">
        <f>ROUND([1]!NPVF2("MP","SLA","N",0.05,"M",$P5,$P5,0,0,120,0,"UP84","UP84","P","","")/[1]!NPVF2("MP","JSC","N",0.05,"M",$P5,$P5,CO$4,0.5,0,0,"UP84","UP84","P","",""),4)</f>
        <v>1.0150999999999999</v>
      </c>
      <c r="CP5" s="255">
        <f>ROUND([1]!NPVF2("MP","SLA","N",0.05,"M",$P5,$P5,0,0,120,0,"UP84","UP84","P","","")/[1]!NPVF2("MP","JSC","N",0.05,"M",$P5,$P5,CP$4,0.5,0,0,"UP84","UP84","P","",""),4)</f>
        <v>1.0166999999999999</v>
      </c>
      <c r="CQ5" s="255">
        <f>ROUND([1]!NPVF2("MP","SLA","N",0.05,"M",$P5,$P5,0,0,120,0,"UP84","UP84","P","","")/[1]!NPVF2("MP","JSC","N",0.05,"M",$P5,$P5,CQ$4,0.5,0,0,"UP84","UP84","P","",""),4)</f>
        <v>1.0181</v>
      </c>
      <c r="CR5" s="255">
        <f>ROUND([1]!NPVF2("MP","SLA","N",0.05,"M",$P5,$P5,0,0,120,0,"UP84","UP84","P","","")/[1]!NPVF2("MP","JSC","N",0.05,"M",$P5,$P5,CR$4,0.5,0,0,"UP84","UP84","P","",""),4)</f>
        <v>1.0194000000000001</v>
      </c>
      <c r="CS5" s="255">
        <f>ROUND([1]!NPVF2("MP","SLA","N",0.05,"M",$P5,$P5,0,0,120,0,"UP84","UP84","P","","")/[1]!NPVF2("MP","JSC","N",0.05,"M",$P5,$P5,CS$4,0.5,0,0,"UP84","UP84","P","",""),4)</f>
        <v>1.0206</v>
      </c>
      <c r="CT5" s="255">
        <f>ROUND([1]!NPVF2("MP","SLA","N",0.05,"M",$P5,$P5,0,0,120,0,"UP84","UP84","P","","")/[1]!NPVF2("MP","JSC","N",0.05,"M",$P5,$P5,CT$4,0.5,0,0,"UP84","UP84","P","",""),4)</f>
        <v>1.0218</v>
      </c>
      <c r="CU5" s="255">
        <f>ROUND([1]!NPVF2("MP","SLA","N",0.05,"M",$P5,$P5,0,0,120,0,"UP84","UP84","P","","")/[1]!NPVF2("MP","JSC","N",0.05,"M",$P5,$P5,CU$4,0.5,0,0,"UP84","UP84","P","",""),4)</f>
        <v>1.0227999999999999</v>
      </c>
      <c r="CV5" s="255">
        <f>ROUND([1]!NPVF2("MP","SLA","N",0.05,"M",$P5,$P5,0,0,120,0,"UP84","UP84","P","","")/[1]!NPVF2("MP","JSC","N",0.05,"M",$P5,$P5,CV$4,0.5,0,0,"UP84","UP84","P","",""),4)</f>
        <v>1.0237000000000001</v>
      </c>
      <c r="CW5" s="256">
        <f>ROUND([1]!NPVF2("MP","SLA","N",0.05,"M",$P5,$P5,0,0,120,0,"UP84","UP84","P","","")/[1]!NPVF2("MP","JSC","N",0.05,"M",$P5,$P5,CW$4,0.5,0,0,"UP84","UP84","P","",""),4)</f>
        <v>1.0246</v>
      </c>
      <c r="CX5" s="62"/>
      <c r="CY5" s="150"/>
      <c r="DB5" s="184" t="s">
        <v>587</v>
      </c>
      <c r="DF5" t="s">
        <v>296</v>
      </c>
      <c r="DG5" s="193">
        <f>DG2+DG4</f>
        <v>0</v>
      </c>
      <c r="DH5" s="39" t="s">
        <v>29</v>
      </c>
      <c r="DI5" s="107"/>
      <c r="DS5" s="76"/>
      <c r="DW5" s="22">
        <v>1909</v>
      </c>
      <c r="DX5" s="16">
        <v>5004</v>
      </c>
      <c r="DY5" s="47">
        <v>5004</v>
      </c>
      <c r="DZ5" s="47">
        <v>5004</v>
      </c>
      <c r="EA5" s="47">
        <v>5004</v>
      </c>
      <c r="EB5" s="47">
        <v>5004</v>
      </c>
      <c r="EC5" s="47">
        <v>5004</v>
      </c>
      <c r="ED5" s="47">
        <v>5004</v>
      </c>
      <c r="EE5" s="47">
        <v>5004</v>
      </c>
      <c r="EF5" s="47">
        <v>5004</v>
      </c>
      <c r="EG5" s="47">
        <v>5004</v>
      </c>
      <c r="EH5" s="47">
        <v>5004</v>
      </c>
      <c r="EI5" s="47">
        <v>5004</v>
      </c>
      <c r="EJ5" s="47">
        <v>5004</v>
      </c>
      <c r="EK5" s="208">
        <v>5004</v>
      </c>
      <c r="EN5" s="51">
        <v>1909</v>
      </c>
      <c r="EO5" s="200"/>
      <c r="EP5" s="244"/>
      <c r="EQ5" s="118"/>
      <c r="ER5" s="244"/>
      <c r="ES5" s="244"/>
      <c r="ET5" s="244"/>
      <c r="EU5" s="244"/>
      <c r="EV5" s="185">
        <v>5004</v>
      </c>
      <c r="EW5" s="244">
        <v>5004</v>
      </c>
      <c r="EX5" s="202">
        <v>5004</v>
      </c>
      <c r="EY5" s="47">
        <v>5004</v>
      </c>
      <c r="EZ5" s="47">
        <v>5004</v>
      </c>
      <c r="FA5" s="47">
        <v>5004</v>
      </c>
      <c r="FB5" s="47">
        <v>5004</v>
      </c>
      <c r="FC5" s="47">
        <v>5004</v>
      </c>
      <c r="FD5" s="47">
        <v>5004</v>
      </c>
      <c r="FE5" s="47">
        <v>5004</v>
      </c>
      <c r="FF5" s="47">
        <v>5004</v>
      </c>
      <c r="FG5" s="47">
        <v>5004</v>
      </c>
      <c r="FH5" s="47">
        <v>5004</v>
      </c>
      <c r="FI5" s="47">
        <v>5004</v>
      </c>
      <c r="FJ5" s="47">
        <v>5004</v>
      </c>
      <c r="FK5" s="208">
        <v>5004</v>
      </c>
    </row>
    <row r="6" spans="1:167" ht="15.75">
      <c r="A6" s="19">
        <v>64</v>
      </c>
      <c r="B6" s="122">
        <v>0.93</v>
      </c>
      <c r="C6" s="62"/>
      <c r="D6" s="209">
        <f t="shared" ref="D6:D125" si="0">D5+1</f>
        <v>1</v>
      </c>
      <c r="E6" s="126">
        <f>[1]!PBGCLRF(65+D6/12)</f>
        <v>1.0083</v>
      </c>
      <c r="F6" s="62"/>
      <c r="G6" s="175">
        <v>5</v>
      </c>
      <c r="H6" s="151">
        <v>1</v>
      </c>
      <c r="I6" s="63"/>
      <c r="J6" s="19">
        <v>2</v>
      </c>
      <c r="K6" s="122">
        <f t="shared" ref="K6:K69" si="1">K5-$L$4</f>
        <v>0.98888888888888893</v>
      </c>
      <c r="L6" s="62"/>
      <c r="M6" s="297">
        <v>2</v>
      </c>
      <c r="N6" s="122">
        <f>[1]!LRFAEQ(0.065,"M",65,M6,0,"GM71","GM71","MP","Y","N","",65)</f>
        <v>1.0200647886090237</v>
      </c>
      <c r="O6" s="62"/>
      <c r="P6" s="130">
        <v>56</v>
      </c>
      <c r="Q6" s="155">
        <f>[1]!BFCFAEQ("SLA",0,0,0,"JSC",0.5,0,0,P6,Q$4,"M","F",0.065,"GM71","GM71","MP","N","","","")</f>
        <v>0.8280728183673276</v>
      </c>
      <c r="R6" s="155">
        <f>[1]!BFCFAEQ("SLA",0,0,0,"JSC",0.5,0,0,P6,R$4,"M","F",0.065,"GM71","GM71","MP","N","","","")</f>
        <v>0.82852345325902066</v>
      </c>
      <c r="S6" s="155">
        <f>[1]!BFCFAEQ("SLA",0,0,0,"JSC",0.5,0,0,P6,S$4,"M","F",0.065,"GM71","GM71","MP","N","","","")</f>
        <v>0.82899886182336013</v>
      </c>
      <c r="T6" s="155">
        <f>[1]!BFCFAEQ("SLA",0,0,0,"JSC",0.5,0,0,P6,T$4,"M","F",0.065,"GM71","GM71","MP","N","","","")</f>
        <v>0.82950037650143205</v>
      </c>
      <c r="U6" s="155">
        <f>[1]!BFCFAEQ("SLA",0,0,0,"JSC",0.5,0,0,P6,U$4,"M","F",0.065,"GM71","GM71","MP","N","","","")</f>
        <v>0.83002939503315221</v>
      </c>
      <c r="V6" s="155">
        <f>[1]!BFCFAEQ("SLA",0,0,0,"JSC",0.5,0,0,P6,V$4,"M","F",0.065,"GM71","GM71","MP","N","","","")</f>
        <v>0.83052319284837739</v>
      </c>
      <c r="W6" s="155">
        <f>[1]!BFCFAEQ("SLA",0,0,0,"JSC",0.5,0,0,P6,W$4,"M","F",0.065,"GM71","GM71","MP","N","","","")</f>
        <v>0.83105245258461291</v>
      </c>
      <c r="X6" s="155">
        <f>[1]!BFCFAEQ("SLA",0,0,0,"JSC",0.5,0,0,P6,X$4,"M","F",0.065,"GM71","GM71","MP","N","","","")</f>
        <v>0.83161735761518496</v>
      </c>
      <c r="Y6" s="155">
        <f>[1]!BFCFAEQ("SLA",0,0,0,"JSC",0.5,0,0,P6,Y$4,"M","F",0.065,"GM71","GM71","MP","N","","","")</f>
        <v>0.83221831670055602</v>
      </c>
      <c r="Z6" s="155">
        <f>[1]!BFCFAEQ("SLA",0,0,0,"JSC",0.5,0,0,P6,Z$4,"M","F",0.065,"GM71","GM71","MP","N","","","")</f>
        <v>0.83285610627244988</v>
      </c>
      <c r="AA6" s="155">
        <f>[1]!BFCFAEQ("SLA",0,0,0,"JSC",0.5,0,0,P6,AA$4,"M","F",0.065,"GM71","GM71","MP","N","","","")</f>
        <v>0.83353214763415462</v>
      </c>
      <c r="AB6" s="155">
        <f>[1]!BFCFAEQ("SLA",0,0,0,"JSC",0.5,0,0,P6,AB$4,"M","F",0.065,"GM71","GM71","MP","N","","","")</f>
        <v>0.8342476695214549</v>
      </c>
      <c r="AC6" s="155">
        <f>[1]!BFCFAEQ("SLA",0,0,0,"JSC",0.5,0,0,P6,AC$4,"M","F",0.065,"GM71","GM71","MP","N","","","")</f>
        <v>0.83500467908800347</v>
      </c>
      <c r="AD6" s="155">
        <f>[1]!BFCFAEQ("SLA",0,0,0,"JSC",0.5,0,0,P6,AD$4,"M","F",0.065,"GM71","GM71","MP","N","","","")</f>
        <v>0.83580539910508012</v>
      </c>
      <c r="AE6" s="155">
        <f>[1]!BFCFAEQ("SLA",0,0,0,"JSC",0.5,0,0,P6,AE$4,"M","F",0.065,"GM71","GM71","MP","N","","","")</f>
        <v>0.83665198899731985</v>
      </c>
      <c r="AF6" s="155">
        <f>[1]!BFCFAEQ("SLA",0,0,0,"JSC",0.5,0,0,P6,AF$4,"M","F",0.065,"GM71","GM71","MP","N","","","")</f>
        <v>0.83754654436894793</v>
      </c>
      <c r="AG6" s="155">
        <f>[1]!BFCFAEQ("SLA",0,0,0,"JSC",0.5,0,0,P6,AG$4,"M","F",0.065,"GM71","GM71","MP","N","","","")</f>
        <v>0.83849150300260644</v>
      </c>
      <c r="AH6" s="155">
        <f>[1]!BFCFAEQ("SLA",0,0,0,"JSC",0.5,0,0,P6,AH$4,"M","F",0.065,"GM71","GM71","MP","N","","","")</f>
        <v>0.83948909425290674</v>
      </c>
      <c r="AI6" s="155">
        <f>[1]!BFCFAEQ("SLA",0,0,0,"JSC",0.5,0,0,P6,AI$4,"M","F",0.065,"GM71","GM71","MP","N","","","")</f>
        <v>0.84054174286022076</v>
      </c>
      <c r="AJ6" s="155">
        <f>[1]!BFCFAEQ("SLA",0,0,0,"JSC",0.5,0,0,P6,AJ$4,"M","F",0.065,"GM71","GM71","MP","N","","","")</f>
        <v>0.84165192584985904</v>
      </c>
      <c r="AK6" s="155">
        <f>[1]!BFCFAEQ("SLA",0,0,0,"JSC",0.5,0,0,P6,AK$4,"M","F",0.065,"GM71","GM71","MP","N","","","")</f>
        <v>0.84282203265525757</v>
      </c>
      <c r="AL6" s="155">
        <f>[1]!BFCFAEQ("SLA",0,0,0,"JSC",0.5,0,0,P6,AL$4,"M","F",0.065,"GM71","GM71","MP","N","","","")</f>
        <v>0.84405449291103329</v>
      </c>
      <c r="AM6" s="155">
        <f>[1]!BFCFAEQ("SLA",0,0,0,"JSC",0.5,0,0,P6,AM$4,"M","F",0.065,"GM71","GM71","MP","N","","","")</f>
        <v>0.84535163666626412</v>
      </c>
      <c r="AN6" s="155">
        <f>[1]!BFCFAEQ("SLA",0,0,0,"JSC",0.5,0,0,P6,AN$4,"M","F",0.065,"GM71","GM71","MP","N","","","")</f>
        <v>0.84671620820126059</v>
      </c>
      <c r="AO6" s="155">
        <f>[1]!BFCFAEQ("SLA",0,0,0,"JSC",0.5,0,0,P6,AO$4,"M","F",0.065,"GM71","GM71","MP","N","","","")</f>
        <v>0.84815056526758759</v>
      </c>
      <c r="AP6" s="155">
        <f>[1]!BFCFAEQ("SLA",0,0,0,"JSC",0.5,0,0,P6,AP$4,"M","F",0.065,"GM71","GM71","MP","N","","","")</f>
        <v>0.84965706275308706</v>
      </c>
      <c r="AQ6" s="155">
        <f>[1]!BFCFAEQ("SLA",0,0,0,"JSC",0.5,0,0,P6,AQ$4,"M","F",0.065,"GM71","GM71","MP","N","","","")</f>
        <v>0.85123803650262342</v>
      </c>
      <c r="AR6" s="155">
        <f>[1]!BFCFAEQ("SLA",0,0,0,"JSC",0.5,0,0,P6,AR$4,"M","F",0.065,"GM71","GM71","MP","N","","","")</f>
        <v>0.85289578484510331</v>
      </c>
      <c r="AS6" s="155">
        <f>[1]!BFCFAEQ("SLA",0,0,0,"JSC",0.5,0,0,P6,AS$4,"M","F",0.065,"GM71","GM71","MP","N","","","")</f>
        <v>0.85463242336434553</v>
      </c>
      <c r="AT6" s="155">
        <f>[1]!BFCFAEQ("SLA",0,0,0,"JSC",0.5,0,0,P6,AT$4,"M","F",0.065,"GM71","GM71","MP","N","","","")</f>
        <v>0.85645011415191108</v>
      </c>
      <c r="AU6" s="155">
        <f>[1]!BFCFAEQ("SLA",0,0,0,"JSC",0.5,0,0,P6,AU$4,"M","F",0.065,"GM71","GM71","MP","N","","","")</f>
        <v>0.85835066822064321</v>
      </c>
      <c r="AV6" s="155">
        <f>[1]!BFCFAEQ("SLA",0,0,0,"JSC",0.5,0,0,P6,AV$4,"M","F",0.065,"GM71","GM71","MP","N","","","")</f>
        <v>0.86033577151604834</v>
      </c>
      <c r="AW6" s="155">
        <f>[1]!BFCFAEQ("SLA",0,0,0,"JSC",0.5,0,0,P6,AW$4,"M","F",0.065,"GM71","GM71","MP","N","","","")</f>
        <v>0.86240695469776063</v>
      </c>
      <c r="AX6" s="155">
        <f>[1]!BFCFAEQ("SLA",0,0,0,"JSC",0.5,0,0,P6,AX$4,"M","F",0.065,"GM71","GM71","MP","N","","","")</f>
        <v>0.86456544286946002</v>
      </c>
      <c r="AY6" s="155">
        <f>[1]!BFCFAEQ("SLA",0,0,0,"JSC",0.5,0,0,P6,AY$4,"M","F",0.065,"GM71","GM71","MP","N","","","")</f>
        <v>0.86681224375449584</v>
      </c>
      <c r="AZ6" s="155">
        <f>[1]!BFCFAEQ("SLA",0,0,0,"JSC",0.5,0,0,P6,AZ$4,"M","F",0.065,"GM71","GM71","MP","N","","","")</f>
        <v>0.86914788260181264</v>
      </c>
      <c r="BA6" s="155">
        <f>[1]!BFCFAEQ("SLA",0,0,0,"JSC",0.5,0,0,P6,BA$4,"M","F",0.065,"GM71","GM71","MP","N","","","")</f>
        <v>0.87157282959013083</v>
      </c>
      <c r="BB6" s="155">
        <f>[1]!BFCFAEQ("SLA",0,0,0,"JSC",0.5,0,0,P6,BB$4,"M","F",0.065,"GM71","GM71","MP","N","","","")</f>
        <v>0.87408689076633606</v>
      </c>
      <c r="BC6" s="155">
        <f>[1]!BFCFAEQ("SLA",0,0,0,"JSC",0.5,0,0,P6,BC$4,"M","F",0.065,"GM71","GM71","MP","N","","","")</f>
        <v>0.87668930447399052</v>
      </c>
      <c r="BD6" s="155">
        <f>[1]!BFCFAEQ("SLA",0,0,0,"JSC",0.5,0,0,P6,BD$4,"M","F",0.065,"GM71","GM71","MP","N","","","")</f>
        <v>0.87937904149563195</v>
      </c>
      <c r="BE6" s="155">
        <f>[1]!BFCFAEQ("SLA",0,0,0,"JSC",0.5,0,0,P6,BE$4,"M","F",0.065,"GM71","GM71","MP","N","","","")</f>
        <v>0.88215444389114728</v>
      </c>
      <c r="BF6" s="155">
        <f>[1]!BFCFAEQ("SLA",0,0,0,"JSC",0.5,0,0,P6,BF$4,"M","F",0.065,"GM71","GM71","MP","N","","","")</f>
        <v>0.88501137305728472</v>
      </c>
      <c r="BG6" s="155">
        <f>[1]!BFCFAEQ("SLA",0,0,0,"JSC",0.5,0,0,P6,BG$4,"M","F",0.065,"GM71","GM71","MP","N","","","")</f>
        <v>0.88794310655020736</v>
      </c>
      <c r="BH6" s="155">
        <f>[1]!BFCFAEQ("SLA",0,0,0,"JSC",0.5,0,0,P6,BH$4,"M","F",0.065,"GM71","GM71","MP","N","","","")</f>
        <v>0.89094342452327591</v>
      </c>
      <c r="BI6" s="155">
        <f>[1]!BFCFAEQ("SLA",0,0,0,"JSC",0.5,0,0,P6,BI$4,"M","F",0.065,"GM71","GM71","MP","N","","","")</f>
        <v>0.89400598013092392</v>
      </c>
      <c r="BJ6" s="155">
        <f>[1]!BFCFAEQ("SLA",0,0,0,"JSC",0.5,0,0,P6,BJ$4,"M","F",0.065,"GM71","GM71","MP","N","","","")</f>
        <v>0.89712477257185474</v>
      </c>
      <c r="BK6" s="155">
        <f>[1]!BFCFAEQ("SLA",0,0,0,"JSC",0.5,0,0,P6,BK$4,"M","F",0.065,"GM71","GM71","MP","N","","","")</f>
        <v>0.90029373462334983</v>
      </c>
      <c r="BL6" s="155">
        <f>[1]!BFCFAEQ("SLA",0,0,0,"JSC",0.5,0,0,P6,BL$4,"M","F",0.065,"GM71","GM71","MP","N","","","")</f>
        <v>0.90350690315461268</v>
      </c>
      <c r="BM6" s="155">
        <f>[1]!BFCFAEQ("SLA",0,0,0,"JSC",0.5,0,0,P6,BM$4,"M","F",0.065,"GM71","GM71","MP","N","","","")</f>
        <v>0.90675830312124017</v>
      </c>
      <c r="BN6" s="155">
        <f>[1]!BFCFAEQ("SLA",0,0,0,"JSC",0.5,0,0,P6,BN$4,"M","F",0.065,"GM71","GM71","MP","N","","","")</f>
        <v>0.91004176453399432</v>
      </c>
      <c r="BO6" s="155">
        <f>[1]!BFCFAEQ("SLA",0,0,0,"JSC",0.5,0,0,P6,BO$4,"M","F",0.065,"GM71","GM71","MP","N","","","")</f>
        <v>0.91335133022130222</v>
      </c>
      <c r="BP6" s="155">
        <f>[1]!BFCFAEQ("SLA",0,0,0,"JSC",0.5,0,0,P6,BP$4,"M","F",0.065,"GM71","GM71","MP","N","","","")</f>
        <v>0.91668050714315852</v>
      </c>
      <c r="BQ6" s="155">
        <f>[1]!BFCFAEQ("SLA",0,0,0,"JSC",0.5,0,0,P6,BQ$4,"M","F",0.065,"GM71","GM71","MP","N","","","")</f>
        <v>0.92002307688415208</v>
      </c>
      <c r="BR6" s="155">
        <f>[1]!BFCFAEQ("SLA",0,0,0,"JSC",0.5,0,0,P6,BR$4,"M","F",0.065,"GM71","GM71","MP","N","","","")</f>
        <v>0.92337238871352478</v>
      </c>
      <c r="BS6" s="155">
        <f>[1]!BFCFAEQ("SLA",0,0,0,"JSC",0.5,0,0,P6,BS$4,"M","F",0.065,"GM71","GM71","MP","N","","","")</f>
        <v>0.92672176808530315</v>
      </c>
      <c r="BT6" s="155">
        <f>[1]!BFCFAEQ("SLA",0,0,0,"JSC",0.5,0,0,P6,BT$4,"M","F",0.065,"GM71","GM71","MP","N","","","")</f>
        <v>0.93006425480068922</v>
      </c>
      <c r="BU6" s="155">
        <f>[1]!BFCFAEQ("SLA",0,0,0,"JSC",0.5,0,0,P6,BU$4,"M","F",0.065,"GM71","GM71","MP","N","","","")</f>
        <v>0.93339303919967664</v>
      </c>
      <c r="BV6" s="155">
        <f>[1]!BFCFAEQ("SLA",0,0,0,"JSC",0.5,0,0,P6,BV$4,"M","F",0.065,"GM71","GM71","MP","N","","","")</f>
        <v>0.93670095083288107</v>
      </c>
      <c r="BW6" s="155">
        <f>[1]!BFCFAEQ("SLA",0,0,0,"JSC",0.5,0,0,P6,BW$4,"M","F",0.065,"GM71","GM71","MP","N","","","")</f>
        <v>0.93997853471979553</v>
      </c>
      <c r="BX6" s="155">
        <f>[1]!BFCFAEQ("SLA",0,0,0,"JSC",0.5,0,0,P6,BX$4,"M","F",0.065,"GM71","GM71","MP","N","","","")</f>
        <v>0.94321066871421266</v>
      </c>
      <c r="BY6" s="155">
        <f>[1]!BFCFAEQ("SLA",0,0,0,"JSC",0.5,0,0,P6,BY$4,"M","F",0.065,"GM71","GM71","MP","N","","","")</f>
        <v>0.9463852292731656</v>
      </c>
      <c r="BZ6" s="155">
        <f>[1]!BFCFAEQ("SLA",0,0,0,"JSC",0.5,0,0,P6,BZ$4,"M","F",0.065,"GM71","GM71","MP","N","","","")</f>
        <v>0.94949317256263444</v>
      </c>
      <c r="CA6" s="155">
        <f>[1]!BFCFAEQ("SLA",0,0,0,"JSC",0.5,0,0,P6,CA$4,"M","F",0.065,"GM71","GM71","MP","N","","","")</f>
        <v>0.9525275758280255</v>
      </c>
      <c r="CB6" s="155">
        <f>[1]!BFCFAEQ("SLA",0,0,0,"JSC",0.5,0,0,P6,CB$4,"M","F",0.065,"GM71","GM71","MP","N","","","")</f>
        <v>0.95548114835497056</v>
      </c>
      <c r="CC6" s="155">
        <f>[1]!BFCFAEQ("SLA",0,0,0,"JSC",0.5,0,0,P6,CC$4,"M","F",0.065,"GM71","GM71","MP","N","","","")</f>
        <v>0.95834366890161726</v>
      </c>
      <c r="CD6" s="155">
        <f>[1]!BFCFAEQ("SLA",0,0,0,"JSC",0.5,0,0,P6,CD$4,"M","F",0.065,"GM71","GM71","MP","N","","","")</f>
        <v>0.96110369184113809</v>
      </c>
      <c r="CE6" s="155">
        <f>[1]!BFCFAEQ("SLA",0,0,0,"JSC",0.5,0,0,P6,CE$4,"M","F",0.065,"GM71","GM71","MP","N","","","")</f>
        <v>0.96375217025661775</v>
      </c>
      <c r="CF6" s="155">
        <f>[1]!BFCFAEQ("SLA",0,0,0,"JSC",0.5,0,0,P6,CF$4,"M","F",0.065,"GM71","GM71","MP","N","","","")</f>
        <v>0.96628311195813077</v>
      </c>
      <c r="CG6" s="155">
        <f>[1]!BFCFAEQ("SLA",0,0,0,"JSC",0.5,0,0,P6,CG$4,"M","F",0.065,"GM71","GM71","MP","N","","","")</f>
        <v>0.96869545261846846</v>
      </c>
      <c r="CH6" s="155">
        <f>[1]!BFCFAEQ("SLA",0,0,0,"JSC",0.5,0,0,P6,CH$4,"M","F",0.065,"GM71","GM71","MP","N","","","")</f>
        <v>0.97098406758547651</v>
      </c>
      <c r="CI6" s="155">
        <f>[1]!BFCFAEQ("SLA",0,0,0,"JSC",0.5,0,0,P6,CI$4,"M","F",0.065,"GM71","GM71","MP","N","","","")</f>
        <v>0.9731449196827533</v>
      </c>
      <c r="CJ6" s="155">
        <f>[1]!BFCFAEQ("SLA",0,0,0,"JSC",0.5,0,0,P6,CJ$4,"M","F",0.065,"GM71","GM71","MP","N","","","")</f>
        <v>0.9751813908527952</v>
      </c>
      <c r="CK6" s="155">
        <f>[1]!BFCFAEQ("SLA",0,0,0,"JSC",0.5,0,0,P6,CK$4,"M","F",0.065,"GM71","GM71","MP","N","","","")</f>
        <v>0.9771050054270296</v>
      </c>
      <c r="CL6" s="155">
        <f>[1]!BFCFAEQ("SLA",0,0,0,"JSC",0.5,0,0,P6,CL$4,"M","F",0.065,"GM71","GM71","MP","N","","","")</f>
        <v>0.97892722531261134</v>
      </c>
      <c r="CM6" s="155">
        <f>[1]!BFCFAEQ("SLA",0,0,0,"JSC",0.5,0,0,P6,CM$4,"M","F",0.065,"GM71","GM71","MP","N","","","")</f>
        <v>0.98065276289492675</v>
      </c>
      <c r="CN6" s="257">
        <f>ROUND([1]!NPVF2("MP","SLA","N",0.05,"M",$P6,$P6,0,0,120,0,"UP84","UP84","P","","")/[1]!NPVF2("MP","JSC","N",0.05,"M",$P6,$P6,CN$4,0.5,0,0,"UP84","UP84","P","",""),4)</f>
        <v>1.0150999999999999</v>
      </c>
      <c r="CO6" s="257">
        <f>ROUND([1]!NPVF2("MP","SLA","N",0.05,"M",$P6,$P6,0,0,120,0,"UP84","UP84","P","","")/[1]!NPVF2("MP","JSC","N",0.05,"M",$P6,$P6,CO$4,0.5,0,0,"UP84","UP84","P","",""),4)</f>
        <v>1.0168999999999999</v>
      </c>
      <c r="CP6" s="257">
        <f>ROUND([1]!NPVF2("MP","SLA","N",0.05,"M",$P6,$P6,0,0,120,0,"UP84","UP84","P","","")/[1]!NPVF2("MP","JSC","N",0.05,"M",$P6,$P6,CP$4,0.5,0,0,"UP84","UP84","P","",""),4)</f>
        <v>1.0185999999999999</v>
      </c>
      <c r="CQ6" s="257">
        <f>ROUND([1]!NPVF2("MP","SLA","N",0.05,"M",$P6,$P6,0,0,120,0,"UP84","UP84","P","","")/[1]!NPVF2("MP","JSC","N",0.05,"M",$P6,$P6,CQ$4,0.5,0,0,"UP84","UP84","P","",""),4)</f>
        <v>1.0202</v>
      </c>
      <c r="CR6" s="257">
        <f>ROUND([1]!NPVF2("MP","SLA","N",0.05,"M",$P6,$P6,0,0,120,0,"UP84","UP84","P","","")/[1]!NPVF2("MP","JSC","N",0.05,"M",$P6,$P6,CR$4,0.5,0,0,"UP84","UP84","P","",""),4)</f>
        <v>1.0217000000000001</v>
      </c>
      <c r="CS6" s="257">
        <f>ROUND([1]!NPVF2("MP","SLA","N",0.05,"M",$P6,$P6,0,0,120,0,"UP84","UP84","P","","")/[1]!NPVF2("MP","JSC","N",0.05,"M",$P6,$P6,CS$4,0.5,0,0,"UP84","UP84","P","",""),4)</f>
        <v>1.0229999999999999</v>
      </c>
      <c r="CT6" s="257">
        <f>ROUND([1]!NPVF2("MP","SLA","N",0.05,"M",$P6,$P6,0,0,120,0,"UP84","UP84","P","","")/[1]!NPVF2("MP","JSC","N",0.05,"M",$P6,$P6,CT$4,0.5,0,0,"UP84","UP84","P","",""),4)</f>
        <v>1.0243</v>
      </c>
      <c r="CU6" s="257">
        <f>ROUND([1]!NPVF2("MP","SLA","N",0.05,"M",$P6,$P6,0,0,120,0,"UP84","UP84","P","","")/[1]!NPVF2("MP","JSC","N",0.05,"M",$P6,$P6,CU$4,0.5,0,0,"UP84","UP84","P","",""),4)</f>
        <v>1.0254000000000001</v>
      </c>
      <c r="CV6" s="257">
        <f>ROUND([1]!NPVF2("MP","SLA","N",0.05,"M",$P6,$P6,0,0,120,0,"UP84","UP84","P","","")/[1]!NPVF2("MP","JSC","N",0.05,"M",$P6,$P6,CV$4,0.5,0,0,"UP84","UP84","P","",""),4)</f>
        <v>1.0264</v>
      </c>
      <c r="CW6" s="258">
        <f>ROUND([1]!NPVF2("MP","SLA","N",0.05,"M",$P6,$P6,0,0,120,0,"UP84","UP84","P","","")/[1]!NPVF2("MP","JSC","N",0.05,"M",$P6,$P6,CW$4,0.5,0,0,"UP84","UP84","P","",""),4)</f>
        <v>1.0274000000000001</v>
      </c>
      <c r="CX6" s="62"/>
      <c r="CY6" s="343" t="s">
        <v>317</v>
      </c>
      <c r="CZ6" s="342"/>
      <c r="DF6" t="s">
        <v>154</v>
      </c>
      <c r="DG6" s="29">
        <f>MAX(0,DG3-200000)</f>
        <v>0</v>
      </c>
      <c r="DH6" s="39" t="s">
        <v>71</v>
      </c>
      <c r="DK6" t="s">
        <v>357</v>
      </c>
      <c r="DL6" t="s">
        <v>179</v>
      </c>
      <c r="DM6" s="76">
        <f>DCOUNT(Retirees,"PVPBL_ANN_RATES",All_Criteria)</f>
        <v>0</v>
      </c>
      <c r="DN6" t="s">
        <v>422</v>
      </c>
      <c r="DO6" s="274">
        <f>DSUM(Retirees,"PVMB_TITLE_IV_NO_LOAD",All_Criteria)</f>
        <v>0</v>
      </c>
      <c r="DP6" s="274">
        <f>DSUM(Retirees,"TITLE_IV_LOAD",All_Criteria)</f>
        <v>0</v>
      </c>
      <c r="DQ6" s="46">
        <f t="shared" ref="DQ6:DQ11" si="2">DO6 + DP6</f>
        <v>0</v>
      </c>
      <c r="DW6" s="71">
        <v>1910</v>
      </c>
      <c r="DX6" s="16">
        <v>5316</v>
      </c>
      <c r="DY6" s="47">
        <v>5316</v>
      </c>
      <c r="DZ6" s="47">
        <v>5316</v>
      </c>
      <c r="EA6" s="47">
        <v>5316</v>
      </c>
      <c r="EB6" s="47">
        <v>5316</v>
      </c>
      <c r="EC6" s="47">
        <v>5316</v>
      </c>
      <c r="ED6" s="47">
        <v>5316</v>
      </c>
      <c r="EE6" s="47">
        <v>5316</v>
      </c>
      <c r="EF6" s="47">
        <v>5316</v>
      </c>
      <c r="EG6" s="47">
        <v>5316</v>
      </c>
      <c r="EH6" s="47">
        <v>5316</v>
      </c>
      <c r="EI6" s="47">
        <v>5316</v>
      </c>
      <c r="EJ6" s="47">
        <v>5316</v>
      </c>
      <c r="EK6" s="208">
        <v>5316</v>
      </c>
      <c r="EN6" s="89">
        <v>1910</v>
      </c>
      <c r="EO6" s="234"/>
      <c r="EP6" s="38"/>
      <c r="EQ6" s="165"/>
      <c r="ER6" s="38"/>
      <c r="ES6" s="38"/>
      <c r="ET6" s="38"/>
      <c r="EU6" s="38"/>
      <c r="EV6" s="225">
        <v>5316</v>
      </c>
      <c r="EW6" s="38">
        <v>5316</v>
      </c>
      <c r="EX6" s="202">
        <v>5316</v>
      </c>
      <c r="EY6" s="47">
        <v>5316</v>
      </c>
      <c r="EZ6" s="47">
        <v>5316</v>
      </c>
      <c r="FA6" s="47">
        <v>5316</v>
      </c>
      <c r="FB6" s="47">
        <v>5316</v>
      </c>
      <c r="FC6" s="47">
        <v>5316</v>
      </c>
      <c r="FD6" s="47">
        <v>5316</v>
      </c>
      <c r="FE6" s="47">
        <v>5316</v>
      </c>
      <c r="FF6" s="47">
        <v>5316</v>
      </c>
      <c r="FG6" s="47">
        <v>5316</v>
      </c>
      <c r="FH6" s="47">
        <v>5316</v>
      </c>
      <c r="FI6" s="47">
        <v>5316</v>
      </c>
      <c r="FJ6" s="47">
        <v>5316</v>
      </c>
      <c r="FK6" s="208">
        <v>5316</v>
      </c>
    </row>
    <row r="7" spans="1:167" ht="15.75">
      <c r="A7" s="164">
        <v>63</v>
      </c>
      <c r="B7" s="114">
        <v>0.86</v>
      </c>
      <c r="C7" s="62"/>
      <c r="D7" s="209">
        <f t="shared" si="0"/>
        <v>2</v>
      </c>
      <c r="E7" s="126">
        <f>[1]!PBGCLRF(65+D7/12)</f>
        <v>1.0166999999999999</v>
      </c>
      <c r="F7" s="62"/>
      <c r="G7" s="175">
        <v>5</v>
      </c>
      <c r="H7" s="151">
        <v>1</v>
      </c>
      <c r="I7" s="63"/>
      <c r="J7" s="19">
        <v>3</v>
      </c>
      <c r="K7" s="122">
        <f t="shared" si="1"/>
        <v>0.98333333333333339</v>
      </c>
      <c r="L7" s="62"/>
      <c r="M7" s="297">
        <v>3</v>
      </c>
      <c r="N7" s="122">
        <f>[1]!LRFAEQ(0.065,"M",65,M7,0,"GM71","GM71","MP","Y","N","",65)</f>
        <v>1.0300971829135355</v>
      </c>
      <c r="O7" s="62"/>
      <c r="P7" s="130">
        <v>57</v>
      </c>
      <c r="Q7" s="155">
        <f>[1]!BFCFAEQ("SLA",0,0,0,"JSC",0.5,0,0,P7,Q$4,"M","F",0.065,"GM71","GM71","MP","N","","","")</f>
        <v>0.81882418958528524</v>
      </c>
      <c r="R7" s="155">
        <f>[1]!BFCFAEQ("SLA",0,0,0,"JSC",0.5,0,0,P7,R$4,"M","F",0.065,"GM71","GM71","MP","N","","","")</f>
        <v>0.8192770802696171</v>
      </c>
      <c r="S7" s="155">
        <f>[1]!BFCFAEQ("SLA",0,0,0,"JSC",0.5,0,0,P7,S$4,"M","F",0.065,"GM71","GM71","MP","N","","","")</f>
        <v>0.81975487288909465</v>
      </c>
      <c r="T7" s="155">
        <f>[1]!BFCFAEQ("SLA",0,0,0,"JSC",0.5,0,0,P7,T$4,"M","F",0.065,"GM71","GM71","MP","N","","","")</f>
        <v>0.82025890981942595</v>
      </c>
      <c r="U7" s="155">
        <f>[1]!BFCFAEQ("SLA",0,0,0,"JSC",0.5,0,0,P7,U$4,"M","F",0.065,"GM71","GM71","MP","N","","","")</f>
        <v>0.82079060213099031</v>
      </c>
      <c r="V7" s="155">
        <f>[1]!BFCFAEQ("SLA",0,0,0,"JSC",0.5,0,0,P7,V$4,"M","F",0.065,"GM71","GM71","MP","N","","","")</f>
        <v>0.8212844946289225</v>
      </c>
      <c r="W7" s="155">
        <f>[1]!BFCFAEQ("SLA",0,0,0,"JSC",0.5,0,0,P7,W$4,"M","F",0.065,"GM71","GM71","MP","N","","","")</f>
        <v>0.82181423040787882</v>
      </c>
      <c r="X7" s="155">
        <f>[1]!BFCFAEQ("SLA",0,0,0,"JSC",0.5,0,0,P7,X$4,"M","F",0.065,"GM71","GM71","MP","N","","","")</f>
        <v>0.82237995938737118</v>
      </c>
      <c r="Y7" s="155">
        <f>[1]!BFCFAEQ("SLA",0,0,0,"JSC",0.5,0,0,P7,Y$4,"M","F",0.065,"GM71","GM71","MP","N","","","")</f>
        <v>0.82298206671317409</v>
      </c>
      <c r="Z7" s="155">
        <f>[1]!BFCFAEQ("SLA",0,0,0,"JSC",0.5,0,0,P7,Z$4,"M","F",0.065,"GM71","GM71","MP","N","","","")</f>
        <v>0.82362132191849902</v>
      </c>
      <c r="AA7" s="155">
        <f>[1]!BFCFAEQ("SLA",0,0,0,"JSC",0.5,0,0,P7,AA$4,"M","F",0.065,"GM71","GM71","MP","N","","","")</f>
        <v>0.82429916914270285</v>
      </c>
      <c r="AB7" s="155">
        <f>[1]!BFCFAEQ("SLA",0,0,0,"JSC",0.5,0,0,P7,AB$4,"M","F",0.065,"GM71","GM71","MP","N","","","")</f>
        <v>0.82501685409033088</v>
      </c>
      <c r="AC7" s="155">
        <f>[1]!BFCFAEQ("SLA",0,0,0,"JSC",0.5,0,0,P7,AC$4,"M","F",0.065,"GM71","GM71","MP","N","","","")</f>
        <v>0.82577643837099635</v>
      </c>
      <c r="AD7" s="155">
        <f>[1]!BFCFAEQ("SLA",0,0,0,"JSC",0.5,0,0,P7,AD$4,"M","F",0.065,"GM71","GM71","MP","N","","","")</f>
        <v>0.82658021323893471</v>
      </c>
      <c r="AE7" s="155">
        <f>[1]!BFCFAEQ("SLA",0,0,0,"JSC",0.5,0,0,P7,AE$4,"M","F",0.065,"GM71","GM71","MP","N","","","")</f>
        <v>0.82743040909877563</v>
      </c>
      <c r="AF7" s="155">
        <f>[1]!BFCFAEQ("SLA",0,0,0,"JSC",0.5,0,0,P7,AF$4,"M","F",0.065,"GM71","GM71","MP","N","","","")</f>
        <v>0.82832919561963392</v>
      </c>
      <c r="AG7" s="155">
        <f>[1]!BFCFAEQ("SLA",0,0,0,"JSC",0.5,0,0,P7,AG$4,"M","F",0.065,"GM71","GM71","MP","N","","","")</f>
        <v>0.82927910677340599</v>
      </c>
      <c r="AH7" s="155">
        <f>[1]!BFCFAEQ("SLA",0,0,0,"JSC",0.5,0,0,P7,AH$4,"M","F",0.065,"GM71","GM71","MP","N","","","")</f>
        <v>0.8302824662581908</v>
      </c>
      <c r="AI7" s="155">
        <f>[1]!BFCFAEQ("SLA",0,0,0,"JSC",0.5,0,0,P7,AI$4,"M","F",0.065,"GM71","GM71","MP","N","","","")</f>
        <v>0.83134181029632614</v>
      </c>
      <c r="AJ7" s="155">
        <f>[1]!BFCFAEQ("SLA",0,0,0,"JSC",0.5,0,0,P7,AJ$4,"M","F",0.065,"GM71","GM71","MP","N","","","")</f>
        <v>0.83245973896622638</v>
      </c>
      <c r="AK7" s="155">
        <f>[1]!BFCFAEQ("SLA",0,0,0,"JSC",0.5,0,0,P7,AK$4,"M","F",0.065,"GM71","GM71","MP","N","","","")</f>
        <v>0.83363877067897041</v>
      </c>
      <c r="AL7" s="155">
        <f>[1]!BFCFAEQ("SLA",0,0,0,"JSC",0.5,0,0,P7,AL$4,"M","F",0.065,"GM71","GM71","MP","N","","","")</f>
        <v>0.83488147675924296</v>
      </c>
      <c r="AM7" s="155">
        <f>[1]!BFCFAEQ("SLA",0,0,0,"JSC",0.5,0,0,P7,AM$4,"M","F",0.065,"GM71","GM71","MP","N","","","")</f>
        <v>0.83619033622241667</v>
      </c>
      <c r="AN7" s="155">
        <f>[1]!BFCFAEQ("SLA",0,0,0,"JSC",0.5,0,0,P7,AN$4,"M","F",0.065,"GM71","GM71","MP","N","","","")</f>
        <v>0.8375682756505366</v>
      </c>
      <c r="AO7" s="155">
        <f>[1]!BFCFAEQ("SLA",0,0,0,"JSC",0.5,0,0,P7,AO$4,"M","F",0.065,"GM71","GM71","MP","N","","","")</f>
        <v>0.83901783215376224</v>
      </c>
      <c r="AP7" s="155">
        <f>[1]!BFCFAEQ("SLA",0,0,0,"JSC",0.5,0,0,P7,AP$4,"M","F",0.065,"GM71","GM71","MP","N","","","")</f>
        <v>0.8405415569425666</v>
      </c>
      <c r="AQ7" s="155">
        <f>[1]!BFCFAEQ("SLA",0,0,0,"JSC",0.5,0,0,P7,AQ$4,"M","F",0.065,"GM71","GM71","MP","N","","","")</f>
        <v>0.84214200033661613</v>
      </c>
      <c r="AR7" s="155">
        <f>[1]!BFCFAEQ("SLA",0,0,0,"JSC",0.5,0,0,P7,AR$4,"M","F",0.065,"GM71","GM71","MP","N","","","")</f>
        <v>0.84382169433976939</v>
      </c>
      <c r="AS7" s="155">
        <f>[1]!BFCFAEQ("SLA",0,0,0,"JSC",0.5,0,0,P7,AS$4,"M","F",0.065,"GM71","GM71","MP","N","","","")</f>
        <v>0.84558300201907421</v>
      </c>
      <c r="AT7" s="155">
        <f>[1]!BFCFAEQ("SLA",0,0,0,"JSC",0.5,0,0,P7,AT$4,"M","F",0.065,"GM71","GM71","MP","N","","","")</f>
        <v>0.84742836035008917</v>
      </c>
      <c r="AU7" s="155">
        <f>[1]!BFCFAEQ("SLA",0,0,0,"JSC",0.5,0,0,P7,AU$4,"M","F",0.065,"GM71","GM71","MP","N","","","")</f>
        <v>0.8493598644347583</v>
      </c>
      <c r="AV7" s="155">
        <f>[1]!BFCFAEQ("SLA",0,0,0,"JSC",0.5,0,0,P7,AV$4,"M","F",0.065,"GM71","GM71","MP","N","","","")</f>
        <v>0.85137950680070562</v>
      </c>
      <c r="AW7" s="155">
        <f>[1]!BFCFAEQ("SLA",0,0,0,"JSC",0.5,0,0,P7,AW$4,"M","F",0.065,"GM71","GM71","MP","N","","","")</f>
        <v>0.85348914747525395</v>
      </c>
      <c r="AX7" s="155">
        <f>[1]!BFCFAEQ("SLA",0,0,0,"JSC",0.5,0,0,P7,AX$4,"M","F",0.065,"GM71","GM71","MP","N","","","")</f>
        <v>0.85569035729600607</v>
      </c>
      <c r="AY7" s="155">
        <f>[1]!BFCFAEQ("SLA",0,0,0,"JSC",0.5,0,0,P7,AY$4,"M","F",0.065,"GM71","GM71","MP","N","","","")</f>
        <v>0.85798451205966308</v>
      </c>
      <c r="AZ7" s="155">
        <f>[1]!BFCFAEQ("SLA",0,0,0,"JSC",0.5,0,0,P7,AZ$4,"M","F",0.065,"GM71","GM71","MP","N","","","")</f>
        <v>0.86037251355445676</v>
      </c>
      <c r="BA7" s="155">
        <f>[1]!BFCFAEQ("SLA",0,0,0,"JSC",0.5,0,0,P7,BA$4,"M","F",0.065,"GM71","GM71","MP","N","","","")</f>
        <v>0.86285524068487707</v>
      </c>
      <c r="BB7" s="155">
        <f>[1]!BFCFAEQ("SLA",0,0,0,"JSC",0.5,0,0,P7,BB$4,"M","F",0.065,"GM71","GM71","MP","N","","","")</f>
        <v>0.86543290558393804</v>
      </c>
      <c r="BC7" s="155">
        <f>[1]!BFCFAEQ("SLA",0,0,0,"JSC",0.5,0,0,P7,BC$4,"M","F",0.065,"GM71","GM71","MP","N","","","")</f>
        <v>0.86810515290745027</v>
      </c>
      <c r="BD7" s="155">
        <f>[1]!BFCFAEQ("SLA",0,0,0,"JSC",0.5,0,0,P7,BD$4,"M","F",0.065,"GM71","GM71","MP","N","","","")</f>
        <v>0.87087137522214264</v>
      </c>
      <c r="BE7" s="155">
        <f>[1]!BFCFAEQ("SLA",0,0,0,"JSC",0.5,0,0,P7,BE$4,"M","F",0.065,"GM71","GM71","MP","N","","","")</f>
        <v>0.87373032827576136</v>
      </c>
      <c r="BF7" s="155">
        <f>[1]!BFCFAEQ("SLA",0,0,0,"JSC",0.5,0,0,P7,BF$4,"M","F",0.065,"GM71","GM71","MP","N","","","")</f>
        <v>0.87667815967956098</v>
      </c>
      <c r="BG7" s="155">
        <f>[1]!BFCFAEQ("SLA",0,0,0,"JSC",0.5,0,0,P7,BG$4,"M","F",0.065,"GM71","GM71","MP","N","","","")</f>
        <v>0.8797082834729566</v>
      </c>
      <c r="BH7" s="155">
        <f>[1]!BFCFAEQ("SLA",0,0,0,"JSC",0.5,0,0,P7,BH$4,"M","F",0.065,"GM71","GM71","MP","N","","","")</f>
        <v>0.88281464755806183</v>
      </c>
      <c r="BI7" s="155">
        <f>[1]!BFCFAEQ("SLA",0,0,0,"JSC",0.5,0,0,P7,BI$4,"M","F",0.065,"GM71","GM71","MP","N","","","")</f>
        <v>0.88599106053352872</v>
      </c>
      <c r="BJ7" s="155">
        <f>[1]!BFCFAEQ("SLA",0,0,0,"JSC",0.5,0,0,P7,BJ$4,"M","F",0.065,"GM71","GM71","MP","N","","","")</f>
        <v>0.8892316905790284</v>
      </c>
      <c r="BK7" s="155">
        <f>[1]!BFCFAEQ("SLA",0,0,0,"JSC",0.5,0,0,P7,BK$4,"M","F",0.065,"GM71","GM71","MP","N","","","")</f>
        <v>0.89253062212905576</v>
      </c>
      <c r="BL7" s="155">
        <f>[1]!BFCFAEQ("SLA",0,0,0,"JSC",0.5,0,0,P7,BL$4,"M","F",0.065,"GM71","GM71","MP","N","","","")</f>
        <v>0.89588203378307185</v>
      </c>
      <c r="BM7" s="155">
        <f>[1]!BFCFAEQ("SLA",0,0,0,"JSC",0.5,0,0,P7,BM$4,"M","F",0.065,"GM71","GM71","MP","N","","","")</f>
        <v>0.89928007039571412</v>
      </c>
      <c r="BN7" s="155">
        <f>[1]!BFCFAEQ("SLA",0,0,0,"JSC",0.5,0,0,P7,BN$4,"M","F",0.065,"GM71","GM71","MP","N","","","")</f>
        <v>0.90271864123502676</v>
      </c>
      <c r="BO7" s="155">
        <f>[1]!BFCFAEQ("SLA",0,0,0,"JSC",0.5,0,0,P7,BO$4,"M","F",0.065,"GM71","GM71","MP","N","","","")</f>
        <v>0.90619185041072525</v>
      </c>
      <c r="BP7" s="155">
        <f>[1]!BFCFAEQ("SLA",0,0,0,"JSC",0.5,0,0,P7,BP$4,"M","F",0.065,"GM71","GM71","MP","N","","","")</f>
        <v>0.90969318642461539</v>
      </c>
      <c r="BQ7" s="155">
        <f>[1]!BFCFAEQ("SLA",0,0,0,"JSC",0.5,0,0,P7,BQ$4,"M","F",0.065,"GM71","GM71","MP","N","","","")</f>
        <v>0.91321638378205117</v>
      </c>
      <c r="BR7" s="155">
        <f>[1]!BFCFAEQ("SLA",0,0,0,"JSC",0.5,0,0,P7,BR$4,"M","F",0.065,"GM71","GM71","MP","N","","","")</f>
        <v>0.91675465335656947</v>
      </c>
      <c r="BS7" s="155">
        <f>[1]!BFCFAEQ("SLA",0,0,0,"JSC",0.5,0,0,P7,BS$4,"M","F",0.065,"GM71","GM71","MP","N","","","")</f>
        <v>0.92030110977489687</v>
      </c>
      <c r="BT7" s="155">
        <f>[1]!BFCFAEQ("SLA",0,0,0,"JSC",0.5,0,0,P7,BT$4,"M","F",0.065,"GM71","GM71","MP","N","","","")</f>
        <v>0.92384847802458336</v>
      </c>
      <c r="BU7" s="155">
        <f>[1]!BFCFAEQ("SLA",0,0,0,"JSC",0.5,0,0,P7,BU$4,"M","F",0.065,"GM71","GM71","MP","N","","","")</f>
        <v>0.92738955706122217</v>
      </c>
      <c r="BV7" s="155">
        <f>[1]!BFCFAEQ("SLA",0,0,0,"JSC",0.5,0,0,P7,BV$4,"M","F",0.065,"GM71","GM71","MP","N","","","")</f>
        <v>0.93091666608590951</v>
      </c>
      <c r="BW7" s="155">
        <f>[1]!BFCFAEQ("SLA",0,0,0,"JSC",0.5,0,0,P7,BW$4,"M","F",0.065,"GM71","GM71","MP","N","","","")</f>
        <v>0.93441955854888448</v>
      </c>
      <c r="BX7" s="155">
        <f>[1]!BFCFAEQ("SLA",0,0,0,"JSC",0.5,0,0,P7,BX$4,"M","F",0.065,"GM71","GM71","MP","N","","","")</f>
        <v>0.93788173250180651</v>
      </c>
      <c r="BY7" s="155">
        <f>[1]!BFCFAEQ("SLA",0,0,0,"JSC",0.5,0,0,P7,BY$4,"M","F",0.065,"GM71","GM71","MP","N","","","")</f>
        <v>0.94128983107461206</v>
      </c>
      <c r="BZ7" s="155">
        <f>[1]!BFCFAEQ("SLA",0,0,0,"JSC",0.5,0,0,P7,BZ$4,"M","F",0.065,"GM71","GM71","MP","N","","","")</f>
        <v>0.94463375558811391</v>
      </c>
      <c r="CA7" s="155">
        <f>[1]!BFCFAEQ("SLA",0,0,0,"JSC",0.5,0,0,P7,CA$4,"M","F",0.065,"GM71","GM71","MP","N","","","")</f>
        <v>0.94790564162603175</v>
      </c>
      <c r="CB7" s="155">
        <f>[1]!BFCFAEQ("SLA",0,0,0,"JSC",0.5,0,0,P7,CB$4,"M","F",0.065,"GM71","GM71","MP","N","","","")</f>
        <v>0.95109715326190181</v>
      </c>
      <c r="CC7" s="155">
        <f>[1]!BFCFAEQ("SLA",0,0,0,"JSC",0.5,0,0,P7,CC$4,"M","F",0.065,"GM71","GM71","MP","N","","","")</f>
        <v>0.95419667742789149</v>
      </c>
      <c r="CD7" s="155">
        <f>[1]!BFCFAEQ("SLA",0,0,0,"JSC",0.5,0,0,P7,CD$4,"M","F",0.065,"GM71","GM71","MP","N","","","")</f>
        <v>0.95719117849565571</v>
      </c>
      <c r="CE7" s="155">
        <f>[1]!BFCFAEQ("SLA",0,0,0,"JSC",0.5,0,0,P7,CE$4,"M","F",0.065,"GM71","GM71","MP","N","","","")</f>
        <v>0.96007017246993753</v>
      </c>
      <c r="CF7" s="155">
        <f>[1]!BFCFAEQ("SLA",0,0,0,"JSC",0.5,0,0,P7,CF$4,"M","F",0.065,"GM71","GM71","MP","N","","","")</f>
        <v>0.962826470893001</v>
      </c>
      <c r="CG7" s="155">
        <f>[1]!BFCFAEQ("SLA",0,0,0,"JSC",0.5,0,0,P7,CG$4,"M","F",0.065,"GM71","GM71","MP","N","","","")</f>
        <v>0.96545826970623361</v>
      </c>
      <c r="CH7" s="155">
        <f>[1]!BFCFAEQ("SLA",0,0,0,"JSC",0.5,0,0,P7,CH$4,"M","F",0.065,"GM71","GM71","MP","N","","","")</f>
        <v>0.96795929395791047</v>
      </c>
      <c r="CI7" s="155">
        <f>[1]!BFCFAEQ("SLA",0,0,0,"JSC",0.5,0,0,P7,CI$4,"M","F",0.065,"GM71","GM71","MP","N","","","")</f>
        <v>0.97032445738614981</v>
      </c>
      <c r="CJ7" s="155">
        <f>[1]!BFCFAEQ("SLA",0,0,0,"JSC",0.5,0,0,P7,CJ$4,"M","F",0.065,"GM71","GM71","MP","N","","","")</f>
        <v>0.97255685875469866</v>
      </c>
      <c r="CK7" s="155">
        <f>[1]!BFCFAEQ("SLA",0,0,0,"JSC",0.5,0,0,P7,CK$4,"M","F",0.065,"GM71","GM71","MP","N","","","")</f>
        <v>0.97466861903906132</v>
      </c>
      <c r="CL7" s="155">
        <f>[1]!BFCFAEQ("SLA",0,0,0,"JSC",0.5,0,0,P7,CL$4,"M","F",0.065,"GM71","GM71","MP","N","","","")</f>
        <v>0.9766718533079064</v>
      </c>
      <c r="CM7" s="155">
        <f>[1]!BFCFAEQ("SLA",0,0,0,"JSC",0.5,0,0,P7,CM$4,"M","F",0.065,"GM71","GM71","MP","N","","","")</f>
        <v>0.97857127648482323</v>
      </c>
      <c r="CN7" s="257">
        <f>ROUND([1]!NPVF2("MP","SLA","N",0.05,"M",$P7,$P7,0,0,120,0,"UP84","UP84","P","","")/[1]!NPVF2("MP","JSC","N",0.05,"M",$P7,$P7,CN$4,0.5,0,0,"UP84","UP84","P","",""),4)</f>
        <v>1.0168999999999999</v>
      </c>
      <c r="CO7" s="257">
        <f>ROUND([1]!NPVF2("MP","SLA","N",0.05,"M",$P7,$P7,0,0,120,0,"UP84","UP84","P","","")/[1]!NPVF2("MP","JSC","N",0.05,"M",$P7,$P7,CO$4,0.5,0,0,"UP84","UP84","P","",""),4)</f>
        <v>1.0188999999999999</v>
      </c>
      <c r="CP7" s="257">
        <f>ROUND([1]!NPVF2("MP","SLA","N",0.05,"M",$P7,$P7,0,0,120,0,"UP84","UP84","P","","")/[1]!NPVF2("MP","JSC","N",0.05,"M",$P7,$P7,CP$4,0.5,0,0,"UP84","UP84","P","",""),4)</f>
        <v>1.0207999999999999</v>
      </c>
      <c r="CQ7" s="257">
        <f>ROUND([1]!NPVF2("MP","SLA","N",0.05,"M",$P7,$P7,0,0,120,0,"UP84","UP84","P","","")/[1]!NPVF2("MP","JSC","N",0.05,"M",$P7,$P7,CQ$4,0.5,0,0,"UP84","UP84","P","",""),4)</f>
        <v>1.0226</v>
      </c>
      <c r="CR7" s="257">
        <f>ROUND([1]!NPVF2("MP","SLA","N",0.05,"M",$P7,$P7,0,0,120,0,"UP84","UP84","P","","")/[1]!NPVF2("MP","JSC","N",0.05,"M",$P7,$P7,CR$4,0.5,0,0,"UP84","UP84","P","",""),4)</f>
        <v>1.0242</v>
      </c>
      <c r="CS7" s="257">
        <f>ROUND([1]!NPVF2("MP","SLA","N",0.05,"M",$P7,$P7,0,0,120,0,"UP84","UP84","P","","")/[1]!NPVF2("MP","JSC","N",0.05,"M",$P7,$P7,CS$4,0.5,0,0,"UP84","UP84","P","",""),4)</f>
        <v>1.0257000000000001</v>
      </c>
      <c r="CT7" s="257">
        <f>ROUND([1]!NPVF2("MP","SLA","N",0.05,"M",$P7,$P7,0,0,120,0,"UP84","UP84","P","","")/[1]!NPVF2("MP","JSC","N",0.05,"M",$P7,$P7,CT$4,0.5,0,0,"UP84","UP84","P","",""),4)</f>
        <v>1.0270999999999999</v>
      </c>
      <c r="CU7" s="257">
        <f>ROUND([1]!NPVF2("MP","SLA","N",0.05,"M",$P7,$P7,0,0,120,0,"UP84","UP84","P","","")/[1]!NPVF2("MP","JSC","N",0.05,"M",$P7,$P7,CU$4,0.5,0,0,"UP84","UP84","P","",""),4)</f>
        <v>1.0283</v>
      </c>
      <c r="CV7" s="257">
        <f>ROUND([1]!NPVF2("MP","SLA","N",0.05,"M",$P7,$P7,0,0,120,0,"UP84","UP84","P","","")/[1]!NPVF2("MP","JSC","N",0.05,"M",$P7,$P7,CV$4,0.5,0,0,"UP84","UP84","P","",""),4)</f>
        <v>1.0295000000000001</v>
      </c>
      <c r="CW7" s="258">
        <f>ROUND([1]!NPVF2("MP","SLA","N",0.05,"M",$P7,$P7,0,0,120,0,"UP84","UP84","P","","")/[1]!NPVF2("MP","JSC","N",0.05,"M",$P7,$P7,CW$4,0.5,0,0,"UP84","UP84","P","",""),4)</f>
        <v>1.0306</v>
      </c>
      <c r="CX7" s="62"/>
      <c r="CY7" s="150">
        <v>0.01</v>
      </c>
      <c r="CZ7">
        <v>0.05</v>
      </c>
      <c r="DB7" s="25">
        <v>41394</v>
      </c>
      <c r="DD7" s="184" t="s">
        <v>406</v>
      </c>
      <c r="DE7" s="184"/>
      <c r="DF7" t="s">
        <v>129</v>
      </c>
      <c r="DG7" s="150">
        <f>Initial_Annuity_Interest_Rate</f>
        <v>2.5000000000000001E-2</v>
      </c>
      <c r="DH7" s="39" t="s">
        <v>107</v>
      </c>
      <c r="DL7" t="s">
        <v>142</v>
      </c>
      <c r="DM7" s="76">
        <f>DCOUNT(Beneficiaries_in_Pay,"PVPBL_ANN_RATES",Beneficiary_Criteria)</f>
        <v>0</v>
      </c>
      <c r="DN7" t="s">
        <v>422</v>
      </c>
      <c r="DO7" s="274">
        <f>DSUM(Beneficiaries_in_Pay,"PVMB_TITLE_IV_NO_LOAD",All_Criteria)</f>
        <v>0</v>
      </c>
      <c r="DP7" s="274">
        <f>DSUM(Beneficiaries_in_Pay,"TITLE_IV_LOAD",All_Criteria)</f>
        <v>0</v>
      </c>
      <c r="DQ7" s="46">
        <f>DO7 + DP7</f>
        <v>0</v>
      </c>
      <c r="DW7" s="93">
        <v>1911</v>
      </c>
      <c r="DX7" s="16">
        <v>5664</v>
      </c>
      <c r="DY7" s="47">
        <v>5664</v>
      </c>
      <c r="DZ7" s="47">
        <v>5664</v>
      </c>
      <c r="EA7" s="47">
        <v>5664</v>
      </c>
      <c r="EB7" s="47">
        <v>5664</v>
      </c>
      <c r="EC7" s="47">
        <v>5664</v>
      </c>
      <c r="ED7" s="47">
        <v>5664</v>
      </c>
      <c r="EE7" s="47">
        <v>5664</v>
      </c>
      <c r="EF7" s="47">
        <v>5664</v>
      </c>
      <c r="EG7" s="47">
        <v>5664</v>
      </c>
      <c r="EH7" s="47">
        <v>5664</v>
      </c>
      <c r="EI7" s="47">
        <v>5664</v>
      </c>
      <c r="EJ7" s="47">
        <v>5664</v>
      </c>
      <c r="EK7" s="208">
        <v>5664</v>
      </c>
      <c r="EN7" s="43">
        <v>1911</v>
      </c>
      <c r="EO7" s="106"/>
      <c r="EP7" s="127"/>
      <c r="EQ7" s="149"/>
      <c r="ER7" s="127"/>
      <c r="ES7" s="127"/>
      <c r="ET7" s="127"/>
      <c r="EU7" s="127"/>
      <c r="EV7" s="41">
        <v>5664</v>
      </c>
      <c r="EW7" s="127">
        <v>5664</v>
      </c>
      <c r="EX7" s="202">
        <v>5664</v>
      </c>
      <c r="EY7" s="47">
        <v>5664</v>
      </c>
      <c r="EZ7" s="47">
        <v>5664</v>
      </c>
      <c r="FA7" s="47">
        <v>5664</v>
      </c>
      <c r="FB7" s="47">
        <v>5664</v>
      </c>
      <c r="FC7" s="47">
        <v>5664</v>
      </c>
      <c r="FD7" s="47">
        <v>5664</v>
      </c>
      <c r="FE7" s="47">
        <v>5664</v>
      </c>
      <c r="FF7" s="47">
        <v>5664</v>
      </c>
      <c r="FG7" s="47">
        <v>5664</v>
      </c>
      <c r="FH7" s="47">
        <v>5664</v>
      </c>
      <c r="FI7" s="47">
        <v>5664</v>
      </c>
      <c r="FJ7" s="47">
        <v>5664</v>
      </c>
      <c r="FK7" s="208">
        <v>5664</v>
      </c>
    </row>
    <row r="8" spans="1:167" ht="15.75">
      <c r="A8" s="19">
        <v>62</v>
      </c>
      <c r="B8" s="122">
        <v>0.79</v>
      </c>
      <c r="C8" s="62"/>
      <c r="D8" s="209">
        <f t="shared" si="0"/>
        <v>3</v>
      </c>
      <c r="E8" s="126">
        <f>[1]!PBGCLRF(65+D8/12)</f>
        <v>1.0249999999999999</v>
      </c>
      <c r="F8" s="62"/>
      <c r="G8" s="175">
        <v>5</v>
      </c>
      <c r="H8" s="151">
        <v>1</v>
      </c>
      <c r="I8" s="63"/>
      <c r="J8" s="19">
        <v>4</v>
      </c>
      <c r="K8" s="122">
        <f t="shared" si="1"/>
        <v>0.97777777777777786</v>
      </c>
      <c r="L8" s="62"/>
      <c r="M8" s="297">
        <v>4</v>
      </c>
      <c r="N8" s="122">
        <f>[1]!LRFAEQ(0.065,"M",65,M8,0,"GM71","GM71","MP","Y","N","",65)</f>
        <v>1.0401295772180472</v>
      </c>
      <c r="O8" s="62"/>
      <c r="P8" s="130">
        <v>58</v>
      </c>
      <c r="Q8" s="155">
        <f>[1]!BFCFAEQ("SLA",0,0,0,"JSC",0.5,0,0,P8,Q$4,"M","F",0.065,"GM71","GM71","MP","N","","","")</f>
        <v>0.80910600100234009</v>
      </c>
      <c r="R8" s="155">
        <f>[1]!BFCFAEQ("SLA",0,0,0,"JSC",0.5,0,0,P8,R$4,"M","F",0.065,"GM71","GM71","MP","N","","","")</f>
        <v>0.80956095409163353</v>
      </c>
      <c r="S8" s="155">
        <f>[1]!BFCFAEQ("SLA",0,0,0,"JSC",0.5,0,0,P8,S$4,"M","F",0.065,"GM71","GM71","MP","N","","","")</f>
        <v>0.8100409222726187</v>
      </c>
      <c r="T8" s="155">
        <f>[1]!BFCFAEQ("SLA",0,0,0,"JSC",0.5,0,0,P8,T$4,"M","F",0.065,"GM71","GM71","MP","N","","","")</f>
        <v>0.81054725473953537</v>
      </c>
      <c r="U8" s="155">
        <f>[1]!BFCFAEQ("SLA",0,0,0,"JSC",0.5,0,0,P8,U$4,"M","F",0.065,"GM71","GM71","MP","N","","","")</f>
        <v>0.81108137196155317</v>
      </c>
      <c r="V8" s="155">
        <f>[1]!BFCFAEQ("SLA",0,0,0,"JSC",0.5,0,0,P8,V$4,"M","F",0.065,"GM71","GM71","MP","N","","","")</f>
        <v>0.81157502916260349</v>
      </c>
      <c r="W8" s="155">
        <f>[1]!BFCFAEQ("SLA",0,0,0,"JSC",0.5,0,0,P8,W$4,"M","F",0.065,"GM71","GM71","MP","N","","","")</f>
        <v>0.81210488684903315</v>
      </c>
      <c r="X8" s="155">
        <f>[1]!BFCFAEQ("SLA",0,0,0,"JSC",0.5,0,0,P8,X$4,"M","F",0.065,"GM71","GM71","MP","N","","","")</f>
        <v>0.8126710573857594</v>
      </c>
      <c r="Y8" s="155">
        <f>[1]!BFCFAEQ("SLA",0,0,0,"JSC",0.5,0,0,P8,Y$4,"M","F",0.065,"GM71","GM71","MP","N","","","")</f>
        <v>0.81327389792941851</v>
      </c>
      <c r="Z8" s="155">
        <f>[1]!BFCFAEQ("SLA",0,0,0,"JSC",0.5,0,0,P8,Z$4,"M","F",0.065,"GM71","GM71","MP","N","","","")</f>
        <v>0.81391416661889948</v>
      </c>
      <c r="AA8" s="155">
        <f>[1]!BFCFAEQ("SLA",0,0,0,"JSC",0.5,0,0,P8,AA$4,"M","F",0.065,"GM71","GM71","MP","N","","","")</f>
        <v>0.81459332610168833</v>
      </c>
      <c r="AB8" s="155">
        <f>[1]!BFCFAEQ("SLA",0,0,0,"JSC",0.5,0,0,P8,AB$4,"M","F",0.065,"GM71","GM71","MP","N","","","")</f>
        <v>0.81531263417921118</v>
      </c>
      <c r="AC8" s="155">
        <f>[1]!BFCFAEQ("SLA",0,0,0,"JSC",0.5,0,0,P8,AC$4,"M","F",0.065,"GM71","GM71","MP","N","","","")</f>
        <v>0.81607420243643347</v>
      </c>
      <c r="AD8" s="155">
        <f>[1]!BFCFAEQ("SLA",0,0,0,"JSC",0.5,0,0,P8,AD$4,"M","F",0.065,"GM71","GM71","MP","N","","","")</f>
        <v>0.81688038606176494</v>
      </c>
      <c r="AE8" s="155">
        <f>[1]!BFCFAEQ("SLA",0,0,0,"JSC",0.5,0,0,P8,AE$4,"M","F",0.065,"GM71","GM71","MP","N","","","")</f>
        <v>0.81773348163314363</v>
      </c>
      <c r="AF8" s="155">
        <f>[1]!BFCFAEQ("SLA",0,0,0,"JSC",0.5,0,0,P8,AF$4,"M","F",0.065,"GM71","GM71","MP","N","","","")</f>
        <v>0.81863572789275307</v>
      </c>
      <c r="AG8" s="155">
        <f>[1]!BFCFAEQ("SLA",0,0,0,"JSC",0.5,0,0,P8,AG$4,"M","F",0.065,"GM71","GM71","MP","N","","","")</f>
        <v>0.81958975030534642</v>
      </c>
      <c r="AH8" s="155">
        <f>[1]!BFCFAEQ("SLA",0,0,0,"JSC",0.5,0,0,P8,AH$4,"M","F",0.065,"GM71","GM71","MP","N","","","")</f>
        <v>0.82059796206558777</v>
      </c>
      <c r="AI8" s="155">
        <f>[1]!BFCFAEQ("SLA",0,0,0,"JSC",0.5,0,0,P8,AI$4,"M","F",0.065,"GM71","GM71","MP","N","","","")</f>
        <v>0.82166300636373035</v>
      </c>
      <c r="AJ8" s="155">
        <f>[1]!BFCFAEQ("SLA",0,0,0,"JSC",0.5,0,0,P8,AJ$4,"M","F",0.065,"GM71","GM71","MP","N","","","")</f>
        <v>0.82278760206332191</v>
      </c>
      <c r="AK8" s="155">
        <f>[1]!BFCFAEQ("SLA",0,0,0,"JSC",0.5,0,0,P8,AK$4,"M","F",0.065,"GM71","GM71","MP","N","","","")</f>
        <v>0.82397439242880421</v>
      </c>
      <c r="AL8" s="155">
        <f>[1]!BFCFAEQ("SLA",0,0,0,"JSC",0.5,0,0,P8,AL$4,"M","F",0.065,"GM71","GM71","MP","N","","","")</f>
        <v>0.82522608663930774</v>
      </c>
      <c r="AM8" s="155">
        <f>[1]!BFCFAEQ("SLA",0,0,0,"JSC",0.5,0,0,P8,AM$4,"M","F",0.065,"GM71","GM71","MP","N","","","")</f>
        <v>0.82654530886454181</v>
      </c>
      <c r="AN8" s="155">
        <f>[1]!BFCFAEQ("SLA",0,0,0,"JSC",0.5,0,0,P8,AN$4,"M","F",0.065,"GM71","GM71","MP","N","","","")</f>
        <v>0.82793516461813133</v>
      </c>
      <c r="AO8" s="155">
        <f>[1]!BFCFAEQ("SLA",0,0,0,"JSC",0.5,0,0,P8,AO$4,"M","F",0.065,"GM71","GM71","MP","N","","","")</f>
        <v>0.82939836651122456</v>
      </c>
      <c r="AP8" s="155">
        <f>[1]!BFCFAEQ("SLA",0,0,0,"JSC",0.5,0,0,P8,AP$4,"M","F",0.065,"GM71","GM71","MP","N","","","")</f>
        <v>0.83093765823720589</v>
      </c>
      <c r="AQ8" s="155">
        <f>[1]!BFCFAEQ("SLA",0,0,0,"JSC",0.5,0,0,P8,AQ$4,"M","F",0.065,"GM71","GM71","MP","N","","","")</f>
        <v>0.83255580096194981</v>
      </c>
      <c r="AR8" s="155">
        <f>[1]!BFCFAEQ("SLA",0,0,0,"JSC",0.5,0,0,P8,AR$4,"M","F",0.065,"GM71","GM71","MP","N","","","")</f>
        <v>0.83425555720453959</v>
      </c>
      <c r="AS8" s="155">
        <f>[1]!BFCFAEQ("SLA",0,0,0,"JSC",0.5,0,0,P8,AS$4,"M","F",0.065,"GM71","GM71","MP","N","","","")</f>
        <v>0.83603953486387328</v>
      </c>
      <c r="AT8" s="155">
        <f>[1]!BFCFAEQ("SLA",0,0,0,"JSC",0.5,0,0,P8,AT$4,"M","F",0.065,"GM71","GM71","MP","N","","","")</f>
        <v>0.83791044410921955</v>
      </c>
      <c r="AU8" s="155">
        <f>[1]!BFCFAEQ("SLA",0,0,0,"JSC",0.5,0,0,P8,AU$4,"M","F",0.065,"GM71","GM71","MP","N","","","")</f>
        <v>0.83987066308891134</v>
      </c>
      <c r="AV8" s="155">
        <f>[1]!BFCFAEQ("SLA",0,0,0,"JSC",0.5,0,0,P8,AV$4,"M","F",0.065,"GM71","GM71","MP","N","","","")</f>
        <v>0.84192249117670437</v>
      </c>
      <c r="AW8" s="155">
        <f>[1]!BFCFAEQ("SLA",0,0,0,"JSC",0.5,0,0,P8,AW$4,"M","F",0.065,"GM71","GM71","MP","N","","","")</f>
        <v>0.84406811980256113</v>
      </c>
      <c r="AX8" s="155">
        <f>[1]!BFCFAEQ("SLA",0,0,0,"JSC",0.5,0,0,P8,AX$4,"M","F",0.065,"GM71","GM71","MP","N","","","")</f>
        <v>0.84630946952528197</v>
      </c>
      <c r="AY8" s="155">
        <f>[1]!BFCFAEQ("SLA",0,0,0,"JSC",0.5,0,0,P8,AY$4,"M","F",0.065,"GM71","GM71","MP","N","","","")</f>
        <v>0.84864829076496295</v>
      </c>
      <c r="AZ8" s="155">
        <f>[1]!BFCFAEQ("SLA",0,0,0,"JSC",0.5,0,0,P8,AZ$4,"M","F",0.065,"GM71","GM71","MP","N","","","")</f>
        <v>0.85108587122806334</v>
      </c>
      <c r="BA8" s="155">
        <f>[1]!BFCFAEQ("SLA",0,0,0,"JSC",0.5,0,0,P8,BA$4,"M","F",0.065,"GM71","GM71","MP","N","","","")</f>
        <v>0.85362351238690537</v>
      </c>
      <c r="BB8" s="155">
        <f>[1]!BFCFAEQ("SLA",0,0,0,"JSC",0.5,0,0,P8,BB$4,"M","F",0.065,"GM71","GM71","MP","N","","","")</f>
        <v>0.85626185046053227</v>
      </c>
      <c r="BC8" s="155">
        <f>[1]!BFCFAEQ("SLA",0,0,0,"JSC",0.5,0,0,P8,BC$4,"M","F",0.065,"GM71","GM71","MP","N","","","")</f>
        <v>0.85900095934802012</v>
      </c>
      <c r="BD8" s="155">
        <f>[1]!BFCFAEQ("SLA",0,0,0,"JSC",0.5,0,0,P8,BD$4,"M","F",0.065,"GM71","GM71","MP","N","","","")</f>
        <v>0.86184068215401954</v>
      </c>
      <c r="BE8" s="155">
        <f>[1]!BFCFAEQ("SLA",0,0,0,"JSC",0.5,0,0,P8,BE$4,"M","F",0.065,"GM71","GM71","MP","N","","","")</f>
        <v>0.86478022222786399</v>
      </c>
      <c r="BF8" s="155">
        <f>[1]!BFCFAEQ("SLA",0,0,0,"JSC",0.5,0,0,P8,BF$4,"M","F",0.065,"GM71","GM71","MP","N","","","")</f>
        <v>0.86781604821676461</v>
      </c>
      <c r="BG8" s="155">
        <f>[1]!BFCFAEQ("SLA",0,0,0,"JSC",0.5,0,0,P8,BG$4,"M","F",0.065,"GM71","GM71","MP","N","","","")</f>
        <v>0.8709417455594175</v>
      </c>
      <c r="BH8" s="155">
        <f>[1]!BFCFAEQ("SLA",0,0,0,"JSC",0.5,0,0,P8,BH$4,"M","F",0.065,"GM71","GM71","MP","N","","","")</f>
        <v>0.87415147257918502</v>
      </c>
      <c r="BI8" s="155">
        <f>[1]!BFCFAEQ("SLA",0,0,0,"JSC",0.5,0,0,P8,BI$4,"M","F",0.065,"GM71","GM71","MP","N","","","")</f>
        <v>0.87743924270920792</v>
      </c>
      <c r="BJ8" s="155">
        <f>[1]!BFCFAEQ("SLA",0,0,0,"JSC",0.5,0,0,P8,BJ$4,"M","F",0.065,"GM71","GM71","MP","N","","","")</f>
        <v>0.880799450344249</v>
      </c>
      <c r="BK8" s="155">
        <f>[1]!BFCFAEQ("SLA",0,0,0,"JSC",0.5,0,0,P8,BK$4,"M","F",0.065,"GM71","GM71","MP","N","","","")</f>
        <v>0.88422639473802045</v>
      </c>
      <c r="BL8" s="155">
        <f>[1]!BFCFAEQ("SLA",0,0,0,"JSC",0.5,0,0,P8,BL$4,"M","F",0.065,"GM71","GM71","MP","N","","","")</f>
        <v>0.88771446474924809</v>
      </c>
      <c r="BM8" s="155">
        <f>[1]!BFCFAEQ("SLA",0,0,0,"JSC",0.5,0,0,P8,BM$4,"M","F",0.065,"GM71","GM71","MP","N","","","")</f>
        <v>0.89125799848902088</v>
      </c>
      <c r="BN8" s="155">
        <f>[1]!BFCFAEQ("SLA",0,0,0,"JSC",0.5,0,0,P8,BN$4,"M","F",0.065,"GM71","GM71","MP","N","","","")</f>
        <v>0.8948510624241558</v>
      </c>
      <c r="BO8" s="155">
        <f>[1]!BFCFAEQ("SLA",0,0,0,"JSC",0.5,0,0,P8,BO$4,"M","F",0.065,"GM71","GM71","MP","N","","","")</f>
        <v>0.89848790585561122</v>
      </c>
      <c r="BP8" s="155">
        <f>[1]!BFCFAEQ("SLA",0,0,0,"JSC",0.5,0,0,P8,BP$4,"M","F",0.065,"GM71","GM71","MP","N","","","")</f>
        <v>0.90216208507051965</v>
      </c>
      <c r="BQ8" s="155">
        <f>[1]!BFCFAEQ("SLA",0,0,0,"JSC",0.5,0,0,P8,BQ$4,"M","F",0.065,"GM71","GM71","MP","N","","","")</f>
        <v>0.90586737868041389</v>
      </c>
      <c r="BR8" s="155">
        <f>[1]!BFCFAEQ("SLA",0,0,0,"JSC",0.5,0,0,P8,BR$4,"M","F",0.065,"GM71","GM71","MP","N","","","")</f>
        <v>0.90959695218633962</v>
      </c>
      <c r="BS8" s="155">
        <f>[1]!BFCFAEQ("SLA",0,0,0,"JSC",0.5,0,0,P8,BS$4,"M","F",0.065,"GM71","GM71","MP","N","","","")</f>
        <v>0.91334380517640346</v>
      </c>
      <c r="BT8" s="155">
        <f>[1]!BFCFAEQ("SLA",0,0,0,"JSC",0.5,0,0,P8,BT$4,"M","F",0.065,"GM71","GM71","MP","N","","","")</f>
        <v>0.91710044188435058</v>
      </c>
      <c r="BU8" s="155">
        <f>[1]!BFCFAEQ("SLA",0,0,0,"JSC",0.5,0,0,P8,BU$4,"M","F",0.065,"GM71","GM71","MP","N","","","")</f>
        <v>0.92085935880205649</v>
      </c>
      <c r="BV8" s="155">
        <f>[1]!BFCFAEQ("SLA",0,0,0,"JSC",0.5,0,0,P8,BV$4,"M","F",0.065,"GM71","GM71","MP","N","","","")</f>
        <v>0.92461243762236789</v>
      </c>
      <c r="BW8" s="155">
        <f>[1]!BFCFAEQ("SLA",0,0,0,"JSC",0.5,0,0,P8,BW$4,"M","F",0.065,"GM71","GM71","MP","N","","","")</f>
        <v>0.92834867664758092</v>
      </c>
      <c r="BX8" s="155">
        <f>[1]!BFCFAEQ("SLA",0,0,0,"JSC",0.5,0,0,P8,BX$4,"M","F",0.065,"GM71","GM71","MP","N","","","")</f>
        <v>0.93205016602803636</v>
      </c>
      <c r="BY8" s="155">
        <f>[1]!BFCFAEQ("SLA",0,0,0,"JSC",0.5,0,0,P8,BY$4,"M","F",0.065,"GM71","GM71","MP","N","","","")</f>
        <v>0.93570227947419904</v>
      </c>
      <c r="BZ8" s="155">
        <f>[1]!BFCFAEQ("SLA",0,0,0,"JSC",0.5,0,0,P8,BZ$4,"M","F",0.065,"GM71","GM71","MP","N","","","")</f>
        <v>0.93929382774135861</v>
      </c>
      <c r="CA8" s="155">
        <f>[1]!BFCFAEQ("SLA",0,0,0,"JSC",0.5,0,0,P8,CA$4,"M","F",0.065,"GM71","GM71","MP","N","","","")</f>
        <v>0.94281596834311721</v>
      </c>
      <c r="CB8" s="155">
        <f>[1]!BFCFAEQ("SLA",0,0,0,"JSC",0.5,0,0,P8,CB$4,"M","F",0.065,"GM71","GM71","MP","N","","","")</f>
        <v>0.94625926431043117</v>
      </c>
      <c r="CC8" s="155">
        <f>[1]!BFCFAEQ("SLA",0,0,0,"JSC",0.5,0,0,P8,CC$4,"M","F",0.065,"GM71","GM71","MP","N","","","")</f>
        <v>0.94961060921106388</v>
      </c>
      <c r="CD8" s="155">
        <f>[1]!BFCFAEQ("SLA",0,0,0,"JSC",0.5,0,0,P8,CD$4,"M","F",0.065,"GM71","GM71","MP","N","","","")</f>
        <v>0.95285523898999003</v>
      </c>
      <c r="CE8" s="155">
        <f>[1]!BFCFAEQ("SLA",0,0,0,"JSC",0.5,0,0,P8,CE$4,"M","F",0.065,"GM71","GM71","MP","N","","","")</f>
        <v>0.95598108969577789</v>
      </c>
      <c r="CF8" s="155">
        <f>[1]!BFCFAEQ("SLA",0,0,0,"JSC",0.5,0,0,P8,CF$4,"M","F",0.065,"GM71","GM71","MP","N","","","")</f>
        <v>0.95897963966528899</v>
      </c>
      <c r="CG8" s="155">
        <f>[1]!BFCFAEQ("SLA",0,0,0,"JSC",0.5,0,0,P8,CG$4,"M","F",0.065,"GM71","GM71","MP","N","","","")</f>
        <v>0.96184823777328188</v>
      </c>
      <c r="CH8" s="155">
        <f>[1]!BFCFAEQ("SLA",0,0,0,"JSC",0.5,0,0,P8,CH$4,"M","F",0.065,"GM71","GM71","MP","N","","","")</f>
        <v>0.9645792908462153</v>
      </c>
      <c r="CI8" s="155">
        <f>[1]!BFCFAEQ("SLA",0,0,0,"JSC",0.5,0,0,P8,CI$4,"M","F",0.065,"GM71","GM71","MP","N","","","")</f>
        <v>0.96716648871148059</v>
      </c>
      <c r="CJ8" s="155">
        <f>[1]!BFCFAEQ("SLA",0,0,0,"JSC",0.5,0,0,P8,CJ$4,"M","F",0.065,"GM71","GM71","MP","N","","","")</f>
        <v>0.96961254619160686</v>
      </c>
      <c r="CK8" s="155">
        <f>[1]!BFCFAEQ("SLA",0,0,0,"JSC",0.5,0,0,P8,CK$4,"M","F",0.065,"GM71","GM71","MP","N","","","")</f>
        <v>0.97193018045916724</v>
      </c>
      <c r="CL8" s="155">
        <f>[1]!BFCFAEQ("SLA",0,0,0,"JSC",0.5,0,0,P8,CL$4,"M","F",0.065,"GM71","GM71","MP","N","","","")</f>
        <v>0.97413217290953402</v>
      </c>
      <c r="CM8" s="155">
        <f>[1]!BFCFAEQ("SLA",0,0,0,"JSC",0.5,0,0,P8,CM$4,"M","F",0.065,"GM71","GM71","MP","N","","","")</f>
        <v>0.97622318006288789</v>
      </c>
      <c r="CN8" s="257">
        <f>ROUND([1]!NPVF2("MP","SLA","N",0.05,"M",$P8,$P8,0,0,120,0,"UP84","UP84","P","","")/[1]!NPVF2("MP","JSC","N",0.05,"M",$P8,$P8,CN$4,0.5,0,0,"UP84","UP84","P","",""),4)</f>
        <v>1.0189999999999999</v>
      </c>
      <c r="CO8" s="257">
        <f>ROUND([1]!NPVF2("MP","SLA","N",0.05,"M",$P8,$P8,0,0,120,0,"UP84","UP84","P","","")/[1]!NPVF2("MP","JSC","N",0.05,"M",$P8,$P8,CO$4,0.5,0,0,"UP84","UP84","P","",""),4)</f>
        <v>1.0212000000000001</v>
      </c>
      <c r="CP8" s="257">
        <f>ROUND([1]!NPVF2("MP","SLA","N",0.05,"M",$P8,$P8,0,0,120,0,"UP84","UP84","P","","")/[1]!NPVF2("MP","JSC","N",0.05,"M",$P8,$P8,CP$4,0.5,0,0,"UP84","UP84","P","",""),4)</f>
        <v>1.0233000000000001</v>
      </c>
      <c r="CQ8" s="257">
        <f>ROUND([1]!NPVF2("MP","SLA","N",0.05,"M",$P8,$P8,0,0,120,0,"UP84","UP84","P","","")/[1]!NPVF2("MP","JSC","N",0.05,"M",$P8,$P8,CQ$4,0.5,0,0,"UP84","UP84","P","",""),4)</f>
        <v>1.0251999999999999</v>
      </c>
      <c r="CR8" s="257">
        <f>ROUND([1]!NPVF2("MP","SLA","N",0.05,"M",$P8,$P8,0,0,120,0,"UP84","UP84","P","","")/[1]!NPVF2("MP","JSC","N",0.05,"M",$P8,$P8,CR$4,0.5,0,0,"UP84","UP84","P","",""),4)</f>
        <v>1.0269999999999999</v>
      </c>
      <c r="CS8" s="257">
        <f>ROUND([1]!NPVF2("MP","SLA","N",0.05,"M",$P8,$P8,0,0,120,0,"UP84","UP84","P","","")/[1]!NPVF2("MP","JSC","N",0.05,"M",$P8,$P8,CS$4,0.5,0,0,"UP84","UP84","P","",""),4)</f>
        <v>1.0286999999999999</v>
      </c>
      <c r="CT8" s="257">
        <f>ROUND([1]!NPVF2("MP","SLA","N",0.05,"M",$P8,$P8,0,0,120,0,"UP84","UP84","P","","")/[1]!NPVF2("MP","JSC","N",0.05,"M",$P8,$P8,CT$4,0.5,0,0,"UP84","UP84","P","",""),4)</f>
        <v>1.0302</v>
      </c>
      <c r="CU8" s="257">
        <f>ROUND([1]!NPVF2("MP","SLA","N",0.05,"M",$P8,$P8,0,0,120,0,"UP84","UP84","P","","")/[1]!NPVF2("MP","JSC","N",0.05,"M",$P8,$P8,CU$4,0.5,0,0,"UP84","UP84","P","",""),4)</f>
        <v>1.0316000000000001</v>
      </c>
      <c r="CV8" s="257">
        <f>ROUND([1]!NPVF2("MP","SLA","N",0.05,"M",$P8,$P8,0,0,120,0,"UP84","UP84","P","","")/[1]!NPVF2("MP","JSC","N",0.05,"M",$P8,$P8,CV$4,0.5,0,0,"UP84","UP84","P","",""),4)</f>
        <v>1.0328999999999999</v>
      </c>
      <c r="CW8" s="258">
        <f>ROUND([1]!NPVF2("MP","SLA","N",0.05,"M",$P8,$P8,0,0,120,0,"UP84","UP84","P","","")/[1]!NPVF2("MP","JSC","N",0.05,"M",$P8,$P8,CW$4,0.5,0,0,"UP84","UP84","P","",""),4)</f>
        <v>1.0341</v>
      </c>
      <c r="CX8" s="62"/>
      <c r="CY8" s="150">
        <v>1.04</v>
      </c>
      <c r="CZ8">
        <v>7</v>
      </c>
      <c r="DF8" t="s">
        <v>445</v>
      </c>
      <c r="DG8" s="72">
        <f>ROUND(0.01+(DG7-0.075)/10,5)</f>
        <v>5.0000000000000001E-3</v>
      </c>
      <c r="DH8" s="39" t="s">
        <v>146</v>
      </c>
      <c r="DL8" t="s">
        <v>136</v>
      </c>
      <c r="DM8">
        <f>DCOUNT(Active_Vesteds,"PVPBL_ANN_RATES",All_Criteria)</f>
        <v>0</v>
      </c>
      <c r="DN8" t="s">
        <v>422</v>
      </c>
      <c r="DO8" s="274">
        <f>DSUM(Active_Vesteds,"PVMB_TITLE_IV_NO_LOAD",All_Criteria)</f>
        <v>0</v>
      </c>
      <c r="DP8" s="46">
        <f>DSUM(Active_Vesteds,"TITLE_IV_LOAD",All_Criteria)</f>
        <v>0</v>
      </c>
      <c r="DQ8" s="46">
        <f t="shared" si="2"/>
        <v>0</v>
      </c>
      <c r="DW8" s="93">
        <v>1912</v>
      </c>
      <c r="DX8" s="16">
        <v>6060</v>
      </c>
      <c r="DY8" s="47">
        <v>6060</v>
      </c>
      <c r="DZ8" s="47">
        <v>6060</v>
      </c>
      <c r="EA8" s="47">
        <v>6060</v>
      </c>
      <c r="EB8" s="47">
        <v>6060</v>
      </c>
      <c r="EC8" s="47">
        <v>6060</v>
      </c>
      <c r="ED8" s="47">
        <v>6060</v>
      </c>
      <c r="EE8" s="47">
        <v>6060</v>
      </c>
      <c r="EF8" s="47">
        <v>6060</v>
      </c>
      <c r="EG8" s="47">
        <v>6060</v>
      </c>
      <c r="EH8" s="47">
        <v>6060</v>
      </c>
      <c r="EI8" s="47">
        <v>6060</v>
      </c>
      <c r="EJ8" s="47">
        <v>6060</v>
      </c>
      <c r="EK8" s="208">
        <v>6060</v>
      </c>
      <c r="EN8" s="43">
        <v>1912</v>
      </c>
      <c r="EO8" s="106"/>
      <c r="EP8" s="127"/>
      <c r="EQ8" s="149"/>
      <c r="ER8" s="127"/>
      <c r="ES8" s="127"/>
      <c r="ET8" s="127"/>
      <c r="EU8" s="127"/>
      <c r="EV8" s="41">
        <v>6060</v>
      </c>
      <c r="EW8" s="127">
        <v>6060</v>
      </c>
      <c r="EX8" s="202">
        <v>6060</v>
      </c>
      <c r="EY8" s="47">
        <v>6060</v>
      </c>
      <c r="EZ8" s="47">
        <v>6060</v>
      </c>
      <c r="FA8" s="47">
        <v>6060</v>
      </c>
      <c r="FB8" s="47">
        <v>6060</v>
      </c>
      <c r="FC8" s="47">
        <v>6060</v>
      </c>
      <c r="FD8" s="47">
        <v>6060</v>
      </c>
      <c r="FE8" s="47">
        <v>6060</v>
      </c>
      <c r="FF8" s="47">
        <v>6060</v>
      </c>
      <c r="FG8" s="47">
        <v>6060</v>
      </c>
      <c r="FH8" s="47">
        <v>6060</v>
      </c>
      <c r="FI8" s="47">
        <v>6060</v>
      </c>
      <c r="FJ8" s="47">
        <v>6060</v>
      </c>
      <c r="FK8" s="208">
        <v>6060</v>
      </c>
    </row>
    <row r="9" spans="1:167" ht="16.5" thickBot="1">
      <c r="A9" s="164">
        <v>61</v>
      </c>
      <c r="B9" s="114">
        <v>0.72</v>
      </c>
      <c r="C9" s="62"/>
      <c r="D9" s="209">
        <f t="shared" si="0"/>
        <v>4</v>
      </c>
      <c r="E9" s="126">
        <f>[1]!PBGCLRF(65+D9/12)</f>
        <v>1.0333000000000001</v>
      </c>
      <c r="F9" s="62"/>
      <c r="G9" s="148">
        <v>5</v>
      </c>
      <c r="H9" s="105">
        <v>1</v>
      </c>
      <c r="I9" s="63"/>
      <c r="J9" s="19">
        <v>5</v>
      </c>
      <c r="K9" s="122">
        <f t="shared" si="1"/>
        <v>0.97222222222222232</v>
      </c>
      <c r="L9" s="62"/>
      <c r="M9" s="297">
        <v>5</v>
      </c>
      <c r="N9" s="122">
        <f>[1]!LRFAEQ(0.065,"M",65,M9,0,"GM71","GM71","MP","Y","N","",65)</f>
        <v>1.050161971522559</v>
      </c>
      <c r="O9" s="62"/>
      <c r="P9" s="130">
        <v>59</v>
      </c>
      <c r="Q9" s="155">
        <f>[1]!BFCFAEQ("SLA",0,0,0,"JSC",0.5,0,0,P9,Q$4,"M","F",0.065,"GM71","GM71","MP","N","","","")</f>
        <v>0.79889481291190767</v>
      </c>
      <c r="R9" s="155">
        <f>[1]!BFCFAEQ("SLA",0,0,0,"JSC",0.5,0,0,P9,R$4,"M","F",0.065,"GM71","GM71","MP","N","","","")</f>
        <v>0.79935161509270647</v>
      </c>
      <c r="S9" s="155">
        <f>[1]!BFCFAEQ("SLA",0,0,0,"JSC",0.5,0,0,P9,S$4,"M","F",0.065,"GM71","GM71","MP","N","","","")</f>
        <v>0.79983353025985471</v>
      </c>
      <c r="T9" s="155">
        <f>[1]!BFCFAEQ("SLA",0,0,0,"JSC",0.5,0,0,P9,T$4,"M","F",0.065,"GM71","GM71","MP","N","","","")</f>
        <v>0.80034191188058157</v>
      </c>
      <c r="U9" s="155">
        <f>[1]!BFCFAEQ("SLA",0,0,0,"JSC",0.5,0,0,P9,U$4,"M","F",0.065,"GM71","GM71","MP","N","","","")</f>
        <v>0.80087818635635066</v>
      </c>
      <c r="V9" s="155">
        <f>[1]!BFCFAEQ("SLA",0,0,0,"JSC",0.5,0,0,P9,V$4,"M","F",0.065,"GM71","GM71","MP","N","","","")</f>
        <v>0.80137126494174393</v>
      </c>
      <c r="W9" s="155">
        <f>[1]!BFCFAEQ("SLA",0,0,0,"JSC",0.5,0,0,P9,W$4,"M","F",0.065,"GM71","GM71","MP","N","","","")</f>
        <v>0.80190087613421202</v>
      </c>
      <c r="X9" s="155">
        <f>[1]!BFCFAEQ("SLA",0,0,0,"JSC",0.5,0,0,P9,X$4,"M","F",0.065,"GM71","GM71","MP","N","","","")</f>
        <v>0.80246709085947976</v>
      </c>
      <c r="Y9" s="155">
        <f>[1]!BFCFAEQ("SLA",0,0,0,"JSC",0.5,0,0,P9,Y$4,"M","F",0.065,"GM71","GM71","MP","N","","","")</f>
        <v>0.8030702340869279</v>
      </c>
      <c r="Z9" s="155">
        <f>[1]!BFCFAEQ("SLA",0,0,0,"JSC",0.5,0,0,P9,Z$4,"M","F",0.065,"GM71","GM71","MP","N","","","")</f>
        <v>0.80371104817138483</v>
      </c>
      <c r="AA9" s="155">
        <f>[1]!BFCFAEQ("SLA",0,0,0,"JSC",0.5,0,0,P9,AA$4,"M","F",0.065,"GM71","GM71","MP","N","","","")</f>
        <v>0.80439100994577861</v>
      </c>
      <c r="AB9" s="155">
        <f>[1]!BFCFAEQ("SLA",0,0,0,"JSC",0.5,0,0,P9,AB$4,"M","F",0.065,"GM71","GM71","MP","N","","","")</f>
        <v>0.8051113844031641</v>
      </c>
      <c r="AC9" s="155">
        <f>[1]!BFCFAEQ("SLA",0,0,0,"JSC",0.5,0,0,P9,AC$4,"M","F",0.065,"GM71","GM71","MP","N","","","")</f>
        <v>0.80587432846592422</v>
      </c>
      <c r="AD9" s="155">
        <f>[1]!BFCFAEQ("SLA",0,0,0,"JSC",0.5,0,0,P9,AD$4,"M","F",0.065,"GM71","GM71","MP","N","","","")</f>
        <v>0.80668225647783132</v>
      </c>
      <c r="AE9" s="155">
        <f>[1]!BFCFAEQ("SLA",0,0,0,"JSC",0.5,0,0,P9,AE$4,"M","F",0.065,"GM71","GM71","MP","N","","","")</f>
        <v>0.8075375260753922</v>
      </c>
      <c r="AF9" s="155">
        <f>[1]!BFCFAEQ("SLA",0,0,0,"JSC",0.5,0,0,P9,AF$4,"M","F",0.065,"GM71","GM71","MP","N","","","")</f>
        <v>0.80844243969094953</v>
      </c>
      <c r="AG9" s="155">
        <f>[1]!BFCFAEQ("SLA",0,0,0,"JSC",0.5,0,0,P9,AG$4,"M","F",0.065,"GM71","GM71","MP","N","","","")</f>
        <v>0.80939970907652714</v>
      </c>
      <c r="AH9" s="155">
        <f>[1]!BFCFAEQ("SLA",0,0,0,"JSC",0.5,0,0,P9,AH$4,"M","F",0.065,"GM71","GM71","MP","N","","","")</f>
        <v>0.81041183149868312</v>
      </c>
      <c r="AI9" s="155">
        <f>[1]!BFCFAEQ("SLA",0,0,0,"JSC",0.5,0,0,P9,AI$4,"M","F",0.065,"GM71","GM71","MP","N","","","")</f>
        <v>0.81148155192853233</v>
      </c>
      <c r="AJ9" s="155">
        <f>[1]!BFCFAEQ("SLA",0,0,0,"JSC",0.5,0,0,P9,AJ$4,"M","F",0.065,"GM71","GM71","MP","N","","","")</f>
        <v>0.81261170303343067</v>
      </c>
      <c r="AK9" s="155">
        <f>[1]!BFCFAEQ("SLA",0,0,0,"JSC",0.5,0,0,P9,AK$4,"M","F",0.065,"GM71","GM71","MP","N","","","")</f>
        <v>0.81380504807332854</v>
      </c>
      <c r="AL9" s="155">
        <f>[1]!BFCFAEQ("SLA",0,0,0,"JSC",0.5,0,0,P9,AL$4,"M","F",0.065,"GM71","GM71","MP","N","","","")</f>
        <v>0.81506442951374825</v>
      </c>
      <c r="AM9" s="155">
        <f>[1]!BFCFAEQ("SLA",0,0,0,"JSC",0.5,0,0,P9,AM$4,"M","F",0.065,"GM71","GM71","MP","N","","","")</f>
        <v>0.81639261227468796</v>
      </c>
      <c r="AN9" s="155">
        <f>[1]!BFCFAEQ("SLA",0,0,0,"JSC",0.5,0,0,P9,AN$4,"M","F",0.065,"GM71","GM71","MP","N","","","")</f>
        <v>0.81779287697688019</v>
      </c>
      <c r="AO9" s="155">
        <f>[1]!BFCFAEQ("SLA",0,0,0,"JSC",0.5,0,0,P9,AO$4,"M","F",0.065,"GM71","GM71","MP","N","","","")</f>
        <v>0.81926810748993195</v>
      </c>
      <c r="AP9" s="155">
        <f>[1]!BFCFAEQ("SLA",0,0,0,"JSC",0.5,0,0,P9,AP$4,"M","F",0.065,"GM71","GM71","MP","N","","","")</f>
        <v>0.82082123567417942</v>
      </c>
      <c r="AQ9" s="155">
        <f>[1]!BFCFAEQ("SLA",0,0,0,"JSC",0.5,0,0,P9,AQ$4,"M","F",0.065,"GM71","GM71","MP","N","","","")</f>
        <v>0.82245522923319114</v>
      </c>
      <c r="AR9" s="155">
        <f>[1]!BFCFAEQ("SLA",0,0,0,"JSC",0.5,0,0,P9,AR$4,"M","F",0.065,"GM71","GM71","MP","N","","","")</f>
        <v>0.8241730771085124</v>
      </c>
      <c r="AS9" s="155">
        <f>[1]!BFCFAEQ("SLA",0,0,0,"JSC",0.5,0,0,P9,AS$4,"M","F",0.065,"GM71","GM71","MP","N","","","")</f>
        <v>0.82597762827590093</v>
      </c>
      <c r="AT9" s="155">
        <f>[1]!BFCFAEQ("SLA",0,0,0,"JSC",0.5,0,0,P9,AT$4,"M","F",0.065,"GM71","GM71","MP","N","","","")</f>
        <v>0.82787186320798434</v>
      </c>
      <c r="AU9" s="155">
        <f>[1]!BFCFAEQ("SLA",0,0,0,"JSC",0.5,0,0,P9,AU$4,"M","F",0.065,"GM71","GM71","MP","N","","","")</f>
        <v>0.82985844073588766</v>
      </c>
      <c r="AV9" s="155">
        <f>[1]!BFCFAEQ("SLA",0,0,0,"JSC",0.5,0,0,P9,AV$4,"M","F",0.065,"GM71","GM71","MP","N","","","")</f>
        <v>0.83193996575428231</v>
      </c>
      <c r="AW9" s="155">
        <f>[1]!BFCFAEQ("SLA",0,0,0,"JSC",0.5,0,0,P9,AW$4,"M","F",0.065,"GM71","GM71","MP","N","","","")</f>
        <v>0.83411896117576745</v>
      </c>
      <c r="AX9" s="155">
        <f>[1]!BFCFAEQ("SLA",0,0,0,"JSC",0.5,0,0,P9,AX$4,"M","F",0.065,"GM71","GM71","MP","N","","","")</f>
        <v>0.83639769908877548</v>
      </c>
      <c r="AY9" s="155">
        <f>[1]!BFCFAEQ("SLA",0,0,0,"JSC",0.5,0,0,P9,AY$4,"M","F",0.065,"GM71","GM71","MP","N","","","")</f>
        <v>0.8387783086424867</v>
      </c>
      <c r="AZ9" s="155">
        <f>[1]!BFCFAEQ("SLA",0,0,0,"JSC",0.5,0,0,P9,AZ$4,"M","F",0.065,"GM71","GM71","MP","N","","","")</f>
        <v>0.84126246995446785</v>
      </c>
      <c r="BA9" s="155">
        <f>[1]!BFCFAEQ("SLA",0,0,0,"JSC",0.5,0,0,P9,BA$4,"M","F",0.065,"GM71","GM71","MP","N","","","")</f>
        <v>0.84385191742481702</v>
      </c>
      <c r="BB9" s="155">
        <f>[1]!BFCFAEQ("SLA",0,0,0,"JSC",0.5,0,0,P9,BB$4,"M","F",0.065,"GM71","GM71","MP","N","","","")</f>
        <v>0.84654772553357815</v>
      </c>
      <c r="BC9" s="155">
        <f>[1]!BFCFAEQ("SLA",0,0,0,"JSC",0.5,0,0,P9,BC$4,"M","F",0.065,"GM71","GM71","MP","N","","","")</f>
        <v>0.84935041631794406</v>
      </c>
      <c r="BD9" s="155">
        <f>[1]!BFCFAEQ("SLA",0,0,0,"JSC",0.5,0,0,P9,BD$4,"M","F",0.065,"GM71","GM71","MP","N","","","")</f>
        <v>0.8522603083448318</v>
      </c>
      <c r="BE9" s="155">
        <f>[1]!BFCFAEQ("SLA",0,0,0,"JSC",0.5,0,0,P9,BE$4,"M","F",0.065,"GM71","GM71","MP","N","","","")</f>
        <v>0.85527708315314199</v>
      </c>
      <c r="BF9" s="155">
        <f>[1]!BFCFAEQ("SLA",0,0,0,"JSC",0.5,0,0,P9,BF$4,"M","F",0.065,"GM71","GM71","MP","N","","","")</f>
        <v>0.85839756227157038</v>
      </c>
      <c r="BG9" s="155">
        <f>[1]!BFCFAEQ("SLA",0,0,0,"JSC",0.5,0,0,P9,BG$4,"M","F",0.065,"GM71","GM71","MP","N","","","")</f>
        <v>0.86161553438390315</v>
      </c>
      <c r="BH9" s="155">
        <f>[1]!BFCFAEQ("SLA",0,0,0,"JSC",0.5,0,0,P9,BH$4,"M","F",0.065,"GM71","GM71","MP","N","","","")</f>
        <v>0.86492540747546731</v>
      </c>
      <c r="BI9" s="155">
        <f>[1]!BFCFAEQ("SLA",0,0,0,"JSC",0.5,0,0,P9,BI$4,"M","F",0.065,"GM71","GM71","MP","N","","","")</f>
        <v>0.8683214460532328</v>
      </c>
      <c r="BJ9" s="155">
        <f>[1]!BFCFAEQ("SLA",0,0,0,"JSC",0.5,0,0,P9,BJ$4,"M","F",0.065,"GM71","GM71","MP","N","","","")</f>
        <v>0.87179832581669892</v>
      </c>
      <c r="BK9" s="155">
        <f>[1]!BFCFAEQ("SLA",0,0,0,"JSC",0.5,0,0,P9,BK$4,"M","F",0.065,"GM71","GM71","MP","N","","","")</f>
        <v>0.8753506235652877</v>
      </c>
      <c r="BL9" s="155">
        <f>[1]!BFCFAEQ("SLA",0,0,0,"JSC",0.5,0,0,P9,BL$4,"M","F",0.065,"GM71","GM71","MP","N","","","")</f>
        <v>0.87897300843735149</v>
      </c>
      <c r="BM9" s="155">
        <f>[1]!BFCFAEQ("SLA",0,0,0,"JSC",0.5,0,0,P9,BM$4,"M","F",0.065,"GM71","GM71","MP","N","","","")</f>
        <v>0.88266008766323578</v>
      </c>
      <c r="BN9" s="155">
        <f>[1]!BFCFAEQ("SLA",0,0,0,"JSC",0.5,0,0,P9,BN$4,"M","F",0.065,"GM71","GM71","MP","N","","","")</f>
        <v>0.88640616570204345</v>
      </c>
      <c r="BO9" s="155">
        <f>[1]!BFCFAEQ("SLA",0,0,0,"JSC",0.5,0,0,P9,BO$4,"M","F",0.065,"GM71","GM71","MP","N","","","")</f>
        <v>0.89020572481113558</v>
      </c>
      <c r="BP9" s="155">
        <f>[1]!BFCFAEQ("SLA",0,0,0,"JSC",0.5,0,0,P9,BP$4,"M","F",0.065,"GM71","GM71","MP","N","","","")</f>
        <v>0.89405248064779319</v>
      </c>
      <c r="BQ9" s="155">
        <f>[1]!BFCFAEQ("SLA",0,0,0,"JSC",0.5,0,0,P9,BQ$4,"M","F",0.065,"GM71","GM71","MP","N","","","")</f>
        <v>0.89794035384963622</v>
      </c>
      <c r="BR9" s="155">
        <f>[1]!BFCFAEQ("SLA",0,0,0,"JSC",0.5,0,0,P9,BR$4,"M","F",0.065,"GM71","GM71","MP","N","","","")</f>
        <v>0.90186256499806439</v>
      </c>
      <c r="BS9" s="155">
        <f>[1]!BFCFAEQ("SLA",0,0,0,"JSC",0.5,0,0,P9,BS$4,"M","F",0.065,"GM71","GM71","MP","N","","","")</f>
        <v>0.9058121031967753</v>
      </c>
      <c r="BT9" s="155">
        <f>[1]!BFCFAEQ("SLA",0,0,0,"JSC",0.5,0,0,P9,BT$4,"M","F",0.065,"GM71","GM71","MP","N","","","")</f>
        <v>0.90978135824315309</v>
      </c>
      <c r="BU9" s="155">
        <f>[1]!BFCFAEQ("SLA",0,0,0,"JSC",0.5,0,0,P9,BU$4,"M","F",0.065,"GM71","GM71","MP","N","","","")</f>
        <v>0.91376263105200672</v>
      </c>
      <c r="BV9" s="155">
        <f>[1]!BFCFAEQ("SLA",0,0,0,"JSC",0.5,0,0,P9,BV$4,"M","F",0.065,"GM71","GM71","MP","N","","","")</f>
        <v>0.91774746396311202</v>
      </c>
      <c r="BW9" s="155">
        <f>[1]!BFCFAEQ("SLA",0,0,0,"JSC",0.5,0,0,P9,BW$4,"M","F",0.065,"GM71","GM71","MP","N","","","")</f>
        <v>0.92172416655425404</v>
      </c>
      <c r="BX9" s="155">
        <f>[1]!BFCFAEQ("SLA",0,0,0,"JSC",0.5,0,0,P9,BX$4,"M","F",0.065,"GM71","GM71","MP","N","","","")</f>
        <v>0.92567341818125748</v>
      </c>
      <c r="BY9" s="155">
        <f>[1]!BFCFAEQ("SLA",0,0,0,"JSC",0.5,0,0,P9,BY$4,"M","F",0.065,"GM71","GM71","MP","N","","","")</f>
        <v>0.92957930595318872</v>
      </c>
      <c r="BZ9" s="155">
        <f>[1]!BFCFAEQ("SLA",0,0,0,"JSC",0.5,0,0,P9,BZ$4,"M","F",0.065,"GM71","GM71","MP","N","","","")</f>
        <v>0.93342952818182068</v>
      </c>
      <c r="CA9" s="155">
        <f>[1]!BFCFAEQ("SLA",0,0,0,"JSC",0.5,0,0,P9,CA$4,"M","F",0.065,"GM71","GM71","MP","N","","","")</f>
        <v>0.93721423860105402</v>
      </c>
      <c r="CB9" s="155">
        <f>[1]!BFCFAEQ("SLA",0,0,0,"JSC",0.5,0,0,P9,CB$4,"M","F",0.065,"GM71","GM71","MP","N","","","")</f>
        <v>0.94092285254441821</v>
      </c>
      <c r="CC9" s="155">
        <f>[1]!BFCFAEQ("SLA",0,0,0,"JSC",0.5,0,0,P9,CC$4,"M","F",0.065,"GM71","GM71","MP","N","","","")</f>
        <v>0.9445406750737374</v>
      </c>
      <c r="CD9" s="155">
        <f>[1]!BFCFAEQ("SLA",0,0,0,"JSC",0.5,0,0,P9,CD$4,"M","F",0.065,"GM71","GM71","MP","N","","","")</f>
        <v>0.94805107743678252</v>
      </c>
      <c r="CE9" s="155">
        <f>[1]!BFCFAEQ("SLA",0,0,0,"JSC",0.5,0,0,P9,CE$4,"M","F",0.065,"GM71","GM71","MP","N","","","")</f>
        <v>0.95144027235838413</v>
      </c>
      <c r="CF9" s="155">
        <f>[1]!BFCFAEQ("SLA",0,0,0,"JSC",0.5,0,0,P9,CF$4,"M","F",0.065,"GM71","GM71","MP","N","","","")</f>
        <v>0.95469826680338998</v>
      </c>
      <c r="CG9" s="155">
        <f>[1]!BFCFAEQ("SLA",0,0,0,"JSC",0.5,0,0,P9,CG$4,"M","F",0.065,"GM71","GM71","MP","N","","","")</f>
        <v>0.95782145770617388</v>
      </c>
      <c r="CH9" s="155">
        <f>[1]!BFCFAEQ("SLA",0,0,0,"JSC",0.5,0,0,P9,CH$4,"M","F",0.065,"GM71","GM71","MP","N","","","")</f>
        <v>0.96080076148056348</v>
      </c>
      <c r="CI9" s="155">
        <f>[1]!BFCFAEQ("SLA",0,0,0,"JSC",0.5,0,0,P9,CI$4,"M","F",0.065,"GM71","GM71","MP","N","","","")</f>
        <v>0.96362845903911976</v>
      </c>
      <c r="CJ9" s="155">
        <f>[1]!BFCFAEQ("SLA",0,0,0,"JSC",0.5,0,0,P9,CJ$4,"M","F",0.065,"GM71","GM71","MP","N","","","")</f>
        <v>0.96630677281880484</v>
      </c>
      <c r="CK9" s="155">
        <f>[1]!BFCFAEQ("SLA",0,0,0,"JSC",0.5,0,0,P9,CK$4,"M","F",0.065,"GM71","GM71","MP","N","","","")</f>
        <v>0.96884901622398278</v>
      </c>
      <c r="CL9" s="155">
        <f>[1]!BFCFAEQ("SLA",0,0,0,"JSC",0.5,0,0,P9,CL$4,"M","F",0.065,"GM71","GM71","MP","N","","","")</f>
        <v>0.97126865193080503</v>
      </c>
      <c r="CM9" s="155">
        <f>[1]!BFCFAEQ("SLA",0,0,0,"JSC",0.5,0,0,P9,CM$4,"M","F",0.065,"GM71","GM71","MP","N","","","")</f>
        <v>0.97357021142852851</v>
      </c>
      <c r="CN9" s="257">
        <f>ROUND([1]!NPVF2("MP","SLA","N",0.05,"M",$P9,$P9,0,0,120,0,"UP84","UP84","P","","")/[1]!NPVF2("MP","JSC","N",0.05,"M",$P9,$P9,CN$4,0.5,0,0,"UP84","UP84","P","",""),4)</f>
        <v>1.0213000000000001</v>
      </c>
      <c r="CO9" s="257">
        <f>ROUND([1]!NPVF2("MP","SLA","N",0.05,"M",$P9,$P9,0,0,120,0,"UP84","UP84","P","","")/[1]!NPVF2("MP","JSC","N",0.05,"M",$P9,$P9,CO$4,0.5,0,0,"UP84","UP84","P","",""),4)</f>
        <v>1.0238</v>
      </c>
      <c r="CP9" s="257">
        <f>ROUND([1]!NPVF2("MP","SLA","N",0.05,"M",$P9,$P9,0,0,120,0,"UP84","UP84","P","","")/[1]!NPVF2("MP","JSC","N",0.05,"M",$P9,$P9,CP$4,0.5,0,0,"UP84","UP84","P","",""),4)</f>
        <v>1.0261</v>
      </c>
      <c r="CQ9" s="257">
        <f>ROUND([1]!NPVF2("MP","SLA","N",0.05,"M",$P9,$P9,0,0,120,0,"UP84","UP84","P","","")/[1]!NPVF2("MP","JSC","N",0.05,"M",$P9,$P9,CQ$4,0.5,0,0,"UP84","UP84","P","",""),4)</f>
        <v>1.0282</v>
      </c>
      <c r="CR9" s="257">
        <f>ROUND([1]!NPVF2("MP","SLA","N",0.05,"M",$P9,$P9,0,0,120,0,"UP84","UP84","P","","")/[1]!NPVF2("MP","JSC","N",0.05,"M",$P9,$P9,CR$4,0.5,0,0,"UP84","UP84","P","",""),4)</f>
        <v>1.0302</v>
      </c>
      <c r="CS9" s="257">
        <f>ROUND([1]!NPVF2("MP","SLA","N",0.05,"M",$P9,$P9,0,0,120,0,"UP84","UP84","P","","")/[1]!NPVF2("MP","JSC","N",0.05,"M",$P9,$P9,CS$4,0.5,0,0,"UP84","UP84","P","",""),4)</f>
        <v>1.032</v>
      </c>
      <c r="CT9" s="257">
        <f>ROUND([1]!NPVF2("MP","SLA","N",0.05,"M",$P9,$P9,0,0,120,0,"UP84","UP84","P","","")/[1]!NPVF2("MP","JSC","N",0.05,"M",$P9,$P9,CT$4,0.5,0,0,"UP84","UP84","P","",""),4)</f>
        <v>1.0337000000000001</v>
      </c>
      <c r="CU9" s="257">
        <f>ROUND([1]!NPVF2("MP","SLA","N",0.05,"M",$P9,$P9,0,0,120,0,"UP84","UP84","P","","")/[1]!NPVF2("MP","JSC","N",0.05,"M",$P9,$P9,CU$4,0.5,0,0,"UP84","UP84","P","",""),4)</f>
        <v>1.0353000000000001</v>
      </c>
      <c r="CV9" s="257">
        <f>ROUND([1]!NPVF2("MP","SLA","N",0.05,"M",$P9,$P9,0,0,120,0,"UP84","UP84","P","","")/[1]!NPVF2("MP","JSC","N",0.05,"M",$P9,$P9,CV$4,0.5,0,0,"UP84","UP84","P","",""),4)</f>
        <v>1.0367999999999999</v>
      </c>
      <c r="CW9" s="258">
        <f>ROUND([1]!NPVF2("MP","SLA","N",0.05,"M",$P9,$P9,0,0,120,0,"UP84","UP84","P","","")/[1]!NPVF2("MP","JSC","N",0.05,"M",$P9,$P9,CW$4,0.5,0,0,"UP84","UP84","P","",""),4)</f>
        <v>1.0381</v>
      </c>
      <c r="CX9" s="62"/>
      <c r="CY9" s="150">
        <v>1.04</v>
      </c>
      <c r="CZ9">
        <v>8</v>
      </c>
      <c r="DB9" s="184" t="s">
        <v>256</v>
      </c>
      <c r="DD9" t="s">
        <v>405</v>
      </c>
      <c r="DF9" t="s">
        <v>539</v>
      </c>
      <c r="DG9" s="193">
        <f>ROUND(DG6*DG8,0)</f>
        <v>0</v>
      </c>
      <c r="DH9" s="39" t="s">
        <v>95</v>
      </c>
      <c r="DL9" t="s">
        <v>352</v>
      </c>
      <c r="DM9">
        <f>DCOUNT(Separated_Vesteds,"PVPBL_ANN_RATES",All_Criteria)</f>
        <v>0</v>
      </c>
      <c r="DN9" t="s">
        <v>422</v>
      </c>
      <c r="DO9" s="274">
        <f>DSUM(Separated_Vesteds,"PVMB_TITLE_IV_NO_LOAD",All_Criteria)</f>
        <v>0</v>
      </c>
      <c r="DP9" s="46">
        <f>DSUM(Separated_Vesteds,"TITLE_IV_LOAD",All_Criteria)</f>
        <v>0</v>
      </c>
      <c r="DQ9" s="46">
        <f t="shared" si="2"/>
        <v>0</v>
      </c>
      <c r="DW9" s="93">
        <v>1913</v>
      </c>
      <c r="DX9" s="16">
        <v>6480</v>
      </c>
      <c r="DY9" s="47">
        <v>6480</v>
      </c>
      <c r="DZ9" s="47">
        <v>6480</v>
      </c>
      <c r="EA9" s="47">
        <v>6480</v>
      </c>
      <c r="EB9" s="47">
        <v>6480</v>
      </c>
      <c r="EC9" s="47">
        <v>6480</v>
      </c>
      <c r="ED9" s="47">
        <v>6480</v>
      </c>
      <c r="EE9" s="47">
        <v>6480</v>
      </c>
      <c r="EF9" s="47">
        <v>6480</v>
      </c>
      <c r="EG9" s="47">
        <v>6480</v>
      </c>
      <c r="EH9" s="47">
        <v>6480</v>
      </c>
      <c r="EI9" s="47">
        <v>6480</v>
      </c>
      <c r="EJ9" s="47">
        <v>6480</v>
      </c>
      <c r="EK9" s="208">
        <v>6480</v>
      </c>
      <c r="EN9" s="43">
        <v>1913</v>
      </c>
      <c r="EO9" s="106"/>
      <c r="EP9" s="127"/>
      <c r="EQ9" s="149"/>
      <c r="ER9" s="127"/>
      <c r="ES9" s="127"/>
      <c r="ET9" s="127"/>
      <c r="EU9" s="127"/>
      <c r="EV9" s="41">
        <v>6480</v>
      </c>
      <c r="EW9" s="127">
        <v>6480</v>
      </c>
      <c r="EX9" s="202">
        <v>6480</v>
      </c>
      <c r="EY9" s="47">
        <v>6480</v>
      </c>
      <c r="EZ9" s="47">
        <v>6480</v>
      </c>
      <c r="FA9" s="47">
        <v>6480</v>
      </c>
      <c r="FB9" s="47">
        <v>6480</v>
      </c>
      <c r="FC9" s="47">
        <v>6480</v>
      </c>
      <c r="FD9" s="47">
        <v>6480</v>
      </c>
      <c r="FE9" s="47">
        <v>6480</v>
      </c>
      <c r="FF9" s="47">
        <v>6480</v>
      </c>
      <c r="FG9" s="47">
        <v>6480</v>
      </c>
      <c r="FH9" s="47">
        <v>6480</v>
      </c>
      <c r="FI9" s="47">
        <v>6480</v>
      </c>
      <c r="FJ9" s="47">
        <v>6480</v>
      </c>
      <c r="FK9" s="208">
        <v>6480</v>
      </c>
    </row>
    <row r="10" spans="1:167" ht="16.5" thickBot="1">
      <c r="A10" s="19">
        <v>60</v>
      </c>
      <c r="B10" s="122">
        <v>0.65</v>
      </c>
      <c r="C10" s="62"/>
      <c r="D10" s="209">
        <f t="shared" si="0"/>
        <v>5</v>
      </c>
      <c r="E10" s="126">
        <f>[1]!PBGCLRF(65+D10/12)</f>
        <v>1.0417000000000001</v>
      </c>
      <c r="F10" s="62"/>
      <c r="G10" s="62"/>
      <c r="H10" s="62"/>
      <c r="I10" s="62"/>
      <c r="J10" s="19">
        <v>6</v>
      </c>
      <c r="K10" s="122">
        <f t="shared" si="1"/>
        <v>0.96666666666666679</v>
      </c>
      <c r="L10" s="62"/>
      <c r="M10" s="297">
        <v>6</v>
      </c>
      <c r="N10" s="122">
        <f>[1]!LRFAEQ(0.065,"M",65,M10,0,"GM71","GM71","MP","Y","N","",65)</f>
        <v>1.0601943658270709</v>
      </c>
      <c r="O10" s="62"/>
      <c r="P10" s="130">
        <v>60</v>
      </c>
      <c r="Q10" s="155">
        <f>[1]!BFCFAEQ("SLA",0,0,0,"JSC",0.5,0,0,P10,Q$4,"M","F",0.065,"GM71","GM71","MP","N","","","")</f>
        <v>0.7882184459842051</v>
      </c>
      <c r="R10" s="155">
        <f>[1]!BFCFAEQ("SLA",0,0,0,"JSC",0.5,0,0,P10,R$4,"M","F",0.065,"GM71","GM71","MP","N","","","")</f>
        <v>0.78867686177114937</v>
      </c>
      <c r="S10" s="155">
        <f>[1]!BFCFAEQ("SLA",0,0,0,"JSC",0.5,0,0,P10,S$4,"M","F",0.065,"GM71","GM71","MP","N","","","")</f>
        <v>0.7891604717117191</v>
      </c>
      <c r="T10" s="155">
        <f>[1]!BFCFAEQ("SLA",0,0,0,"JSC",0.5,0,0,P10,T$4,"M","F",0.065,"GM71","GM71","MP","N","","","")</f>
        <v>0.78967063136960736</v>
      </c>
      <c r="U10" s="155">
        <f>[1]!BFCFAEQ("SLA",0,0,0,"JSC",0.5,0,0,P10,U$4,"M","F",0.065,"GM71","GM71","MP","N","","","")</f>
        <v>0.79020877010563784</v>
      </c>
      <c r="V10" s="155">
        <f>[1]!BFCFAEQ("SLA",0,0,0,"JSC",0.5,0,0,P10,V$4,"M","F",0.065,"GM71","GM71","MP","N","","","")</f>
        <v>0.79070092233352329</v>
      </c>
      <c r="W10" s="155">
        <f>[1]!BFCFAEQ("SLA",0,0,0,"JSC",0.5,0,0,P10,W$4,"M","F",0.065,"GM71","GM71","MP","N","","","")</f>
        <v>0.79122991248827756</v>
      </c>
      <c r="X10" s="155">
        <f>[1]!BFCFAEQ("SLA",0,0,0,"JSC",0.5,0,0,P10,X$4,"M","F",0.065,"GM71","GM71","MP","N","","","")</f>
        <v>0.79179576665932805</v>
      </c>
      <c r="Y10" s="155">
        <f>[1]!BFCFAEQ("SLA",0,0,0,"JSC",0.5,0,0,P10,Y$4,"M","F",0.065,"GM71","GM71","MP","N","","","")</f>
        <v>0.79239877386269186</v>
      </c>
      <c r="Z10" s="155">
        <f>[1]!BFCFAEQ("SLA",0,0,0,"JSC",0.5,0,0,P10,Z$4,"M","F",0.065,"GM71","GM71","MP","N","","","")</f>
        <v>0.7930396566142337</v>
      </c>
      <c r="AA10" s="155">
        <f>[1]!BFCFAEQ("SLA",0,0,0,"JSC",0.5,0,0,P10,AA$4,"M","F",0.065,"GM71","GM71","MP","N","","","")</f>
        <v>0.79371990172922957</v>
      </c>
      <c r="AB10" s="155">
        <f>[1]!BFCFAEQ("SLA",0,0,0,"JSC",0.5,0,0,P10,AB$4,"M","F",0.065,"GM71","GM71","MP","N","","","")</f>
        <v>0.79444077665216506</v>
      </c>
      <c r="AC10" s="155">
        <f>[1]!BFCFAEQ("SLA",0,0,0,"JSC",0.5,0,0,P10,AC$4,"M","F",0.065,"GM71","GM71","MP","N","","","")</f>
        <v>0.7952044788772622</v>
      </c>
      <c r="AD10" s="155">
        <f>[1]!BFCFAEQ("SLA",0,0,0,"JSC",0.5,0,0,P10,AD$4,"M","F",0.065,"GM71","GM71","MP","N","","","")</f>
        <v>0.7960134768790218</v>
      </c>
      <c r="AE10" s="155">
        <f>[1]!BFCFAEQ("SLA",0,0,0,"JSC",0.5,0,0,P10,AE$4,"M","F",0.065,"GM71","GM71","MP","N","","","")</f>
        <v>0.79687018395997744</v>
      </c>
      <c r="AF10" s="155">
        <f>[1]!BFCFAEQ("SLA",0,0,0,"JSC",0.5,0,0,P10,AF$4,"M","F",0.065,"GM71","GM71","MP","N","","","")</f>
        <v>0.79777696051767322</v>
      </c>
      <c r="AG10" s="155">
        <f>[1]!BFCFAEQ("SLA",0,0,0,"JSC",0.5,0,0,P10,AG$4,"M","F",0.065,"GM71","GM71","MP","N","","","")</f>
        <v>0.79873659883465342</v>
      </c>
      <c r="AH10" s="155">
        <f>[1]!BFCFAEQ("SLA",0,0,0,"JSC",0.5,0,0,P10,AH$4,"M","F",0.065,"GM71","GM71","MP","N","","","")</f>
        <v>0.79975167424701776</v>
      </c>
      <c r="AI10" s="155">
        <f>[1]!BFCFAEQ("SLA",0,0,0,"JSC",0.5,0,0,P10,AI$4,"M","F",0.065,"GM71","GM71","MP","N","","","")</f>
        <v>0.80082502757557805</v>
      </c>
      <c r="AJ10" s="155">
        <f>[1]!BFCFAEQ("SLA",0,0,0,"JSC",0.5,0,0,P10,AJ$4,"M","F",0.065,"GM71","GM71","MP","N","","","")</f>
        <v>0.8019595994531572</v>
      </c>
      <c r="AK10" s="155">
        <f>[1]!BFCFAEQ("SLA",0,0,0,"JSC",0.5,0,0,P10,AK$4,"M","F",0.065,"GM71","GM71","MP","N","","","")</f>
        <v>0.80315826739602125</v>
      </c>
      <c r="AL10" s="155">
        <f>[1]!BFCFAEQ("SLA",0,0,0,"JSC",0.5,0,0,P10,AL$4,"M","F",0.065,"GM71","GM71","MP","N","","","")</f>
        <v>0.80442400164245664</v>
      </c>
      <c r="AM10" s="155">
        <f>[1]!BFCFAEQ("SLA",0,0,0,"JSC",0.5,0,0,P10,AM$4,"M","F",0.065,"GM71","GM71","MP","N","","","")</f>
        <v>0.80575970252923468</v>
      </c>
      <c r="AN10" s="155">
        <f>[1]!BFCFAEQ("SLA",0,0,0,"JSC",0.5,0,0,P10,AN$4,"M","F",0.065,"GM71","GM71","MP","N","","","")</f>
        <v>0.80716882099040976</v>
      </c>
      <c r="AO10" s="155">
        <f>[1]!BFCFAEQ("SLA",0,0,0,"JSC",0.5,0,0,P10,AO$4,"M","F",0.065,"GM71","GM71","MP","N","","","")</f>
        <v>0.80865440722439619</v>
      </c>
      <c r="AP10" s="155">
        <f>[1]!BFCFAEQ("SLA",0,0,0,"JSC",0.5,0,0,P10,AP$4,"M","F",0.065,"GM71","GM71","MP","N","","","")</f>
        <v>0.81021957624298613</v>
      </c>
      <c r="AQ10" s="155">
        <f>[1]!BFCFAEQ("SLA",0,0,0,"JSC",0.5,0,0,P10,AQ$4,"M","F",0.065,"GM71","GM71","MP","N","","","")</f>
        <v>0.81186749712935347</v>
      </c>
      <c r="AR10" s="155">
        <f>[1]!BFCFAEQ("SLA",0,0,0,"JSC",0.5,0,0,P10,AR$4,"M","F",0.065,"GM71","GM71","MP","N","","","")</f>
        <v>0.81360138002702242</v>
      </c>
      <c r="AS10" s="155">
        <f>[1]!BFCFAEQ("SLA",0,0,0,"JSC",0.5,0,0,P10,AS$4,"M","F",0.065,"GM71","GM71","MP","N","","","")</f>
        <v>0.81542430981495262</v>
      </c>
      <c r="AT10" s="155">
        <f>[1]!BFCFAEQ("SLA",0,0,0,"JSC",0.5,0,0,P10,AT$4,"M","F",0.065,"GM71","GM71","MP","N","","","")</f>
        <v>0.81733953264342307</v>
      </c>
      <c r="AU10" s="155">
        <f>[1]!BFCFAEQ("SLA",0,0,0,"JSC",0.5,0,0,P10,AU$4,"M","F",0.065,"GM71","GM71","MP","N","","","")</f>
        <v>0.81934998384955504</v>
      </c>
      <c r="AV10" s="155">
        <f>[1]!BFCFAEQ("SLA",0,0,0,"JSC",0.5,0,0,P10,AV$4,"M","F",0.065,"GM71","GM71","MP","N","","","")</f>
        <v>0.82145857046708637</v>
      </c>
      <c r="AW10" s="155">
        <f>[1]!BFCFAEQ("SLA",0,0,0,"JSC",0.5,0,0,P10,AW$4,"M","F",0.065,"GM71","GM71","MP","N","","","")</f>
        <v>0.82366814452806125</v>
      </c>
      <c r="AX10" s="155">
        <f>[1]!BFCFAEQ("SLA",0,0,0,"JSC",0.5,0,0,P10,AX$4,"M","F",0.065,"GM71","GM71","MP","N","","","")</f>
        <v>0.82598132856058426</v>
      </c>
      <c r="AY10" s="155">
        <f>[1]!BFCFAEQ("SLA",0,0,0,"JSC",0.5,0,0,P10,AY$4,"M","F",0.065,"GM71","GM71","MP","N","","","")</f>
        <v>0.82840063127759533</v>
      </c>
      <c r="AZ10" s="155">
        <f>[1]!BFCFAEQ("SLA",0,0,0,"JSC",0.5,0,0,P10,AZ$4,"M","F",0.065,"GM71","GM71","MP","N","","","")</f>
        <v>0.83092812810859062</v>
      </c>
      <c r="BA10" s="155">
        <f>[1]!BFCFAEQ("SLA",0,0,0,"JSC",0.5,0,0,P10,BA$4,"M","F",0.065,"GM71","GM71","MP","N","","","")</f>
        <v>0.83356599241111951</v>
      </c>
      <c r="BB10" s="155">
        <f>[1]!BFCFAEQ("SLA",0,0,0,"JSC",0.5,0,0,P10,BB$4,"M","F",0.065,"GM71","GM71","MP","N","","","")</f>
        <v>0.83631574613484372</v>
      </c>
      <c r="BC10" s="155">
        <f>[1]!BFCFAEQ("SLA",0,0,0,"JSC",0.5,0,0,P10,BC$4,"M","F",0.065,"GM71","GM71","MP","N","","","")</f>
        <v>0.83917837290611641</v>
      </c>
      <c r="BD10" s="155">
        <f>[1]!BFCFAEQ("SLA",0,0,0,"JSC",0.5,0,0,P10,BD$4,"M","F",0.065,"GM71","GM71","MP","N","","","")</f>
        <v>0.84215468575924946</v>
      </c>
      <c r="BE10" s="155">
        <f>[1]!BFCFAEQ("SLA",0,0,0,"JSC",0.5,0,0,P10,BE$4,"M","F",0.065,"GM71","GM71","MP","N","","","")</f>
        <v>0.84524486922738951</v>
      </c>
      <c r="BF10" s="155">
        <f>[1]!BFCFAEQ("SLA",0,0,0,"JSC",0.5,0,0,P10,BF$4,"M","F",0.065,"GM71","GM71","MP","N","","","")</f>
        <v>0.84844612505676043</v>
      </c>
      <c r="BG10" s="155">
        <f>[1]!BFCFAEQ("SLA",0,0,0,"JSC",0.5,0,0,P10,BG$4,"M","F",0.065,"GM71","GM71","MP","N","","","")</f>
        <v>0.85175247363104478</v>
      </c>
      <c r="BH10" s="155">
        <f>[1]!BFCFAEQ("SLA",0,0,0,"JSC",0.5,0,0,P10,BH$4,"M","F",0.065,"GM71","GM71","MP","N","","","")</f>
        <v>0.85515860778831931</v>
      </c>
      <c r="BI10" s="155">
        <f>[1]!BFCFAEQ("SLA",0,0,0,"JSC",0.5,0,0,P10,BI$4,"M","F",0.065,"GM71","GM71","MP","N","","","")</f>
        <v>0.85865908491300791</v>
      </c>
      <c r="BJ10" s="155">
        <f>[1]!BFCFAEQ("SLA",0,0,0,"JSC",0.5,0,0,P10,BJ$4,"M","F",0.065,"GM71","GM71","MP","N","","","")</f>
        <v>0.86224891267977744</v>
      </c>
      <c r="BK10" s="155">
        <f>[1]!BFCFAEQ("SLA",0,0,0,"JSC",0.5,0,0,P10,BK$4,"M","F",0.065,"GM71","GM71","MP","N","","","")</f>
        <v>0.8659230047486397</v>
      </c>
      <c r="BL10" s="155">
        <f>[1]!BFCFAEQ("SLA",0,0,0,"JSC",0.5,0,0,P10,BL$4,"M","F",0.065,"GM71","GM71","MP","N","","","")</f>
        <v>0.86967637878516446</v>
      </c>
      <c r="BM10" s="155">
        <f>[1]!BFCFAEQ("SLA",0,0,0,"JSC",0.5,0,0,P10,BM$4,"M","F",0.065,"GM71","GM71","MP","N","","","")</f>
        <v>0.873503987148466</v>
      </c>
      <c r="BN10" s="155">
        <f>[1]!BFCFAEQ("SLA",0,0,0,"JSC",0.5,0,0,P10,BN$4,"M","F",0.065,"GM71","GM71","MP","N","","","")</f>
        <v>0.87740045421682411</v>
      </c>
      <c r="BO10" s="155">
        <f>[1]!BFCFAEQ("SLA",0,0,0,"JSC",0.5,0,0,P10,BO$4,"M","F",0.065,"GM71","GM71","MP","N","","","")</f>
        <v>0.88136058413656182</v>
      </c>
      <c r="BP10" s="155">
        <f>[1]!BFCFAEQ("SLA",0,0,0,"JSC",0.5,0,0,P10,BP$4,"M","F",0.065,"GM71","GM71","MP","N","","","")</f>
        <v>0.88537834578783792</v>
      </c>
      <c r="BQ10" s="155">
        <f>[1]!BFCFAEQ("SLA",0,0,0,"JSC",0.5,0,0,P10,BQ$4,"M","F",0.065,"GM71","GM71","MP","N","","","")</f>
        <v>0.88944790324058931</v>
      </c>
      <c r="BR10" s="155">
        <f>[1]!BFCFAEQ("SLA",0,0,0,"JSC",0.5,0,0,P10,BR$4,"M","F",0.065,"GM71","GM71","MP","N","","","")</f>
        <v>0.89356263752989273</v>
      </c>
      <c r="BS10" s="155">
        <f>[1]!BFCFAEQ("SLA",0,0,0,"JSC",0.5,0,0,P10,BS$4,"M","F",0.065,"GM71","GM71","MP","N","","","")</f>
        <v>0.89771563722747416</v>
      </c>
      <c r="BT10" s="155">
        <f>[1]!BFCFAEQ("SLA",0,0,0,"JSC",0.5,0,0,P10,BT$4,"M","F",0.065,"GM71","GM71","MP","N","","","")</f>
        <v>0.9018992906904596</v>
      </c>
      <c r="BU10" s="155">
        <f>[1]!BFCFAEQ("SLA",0,0,0,"JSC",0.5,0,0,P10,BU$4,"M","F",0.065,"GM71","GM71","MP","N","","","")</f>
        <v>0.90610582028302877</v>
      </c>
      <c r="BV10" s="155">
        <f>[1]!BFCFAEQ("SLA",0,0,0,"JSC",0.5,0,0,P10,BV$4,"M","F",0.065,"GM71","GM71","MP","N","","","")</f>
        <v>0.91032654334602559</v>
      </c>
      <c r="BW10" s="155">
        <f>[1]!BFCFAEQ("SLA",0,0,0,"JSC",0.5,0,0,P10,BW$4,"M","F",0.065,"GM71","GM71","MP","N","","","")</f>
        <v>0.91454917211737419</v>
      </c>
      <c r="BX10" s="155">
        <f>[1]!BFCFAEQ("SLA",0,0,0,"JSC",0.5,0,0,P10,BX$4,"M","F",0.065,"GM71","GM71","MP","N","","","")</f>
        <v>0.91875300505670088</v>
      </c>
      <c r="BY10" s="155">
        <f>[1]!BFCFAEQ("SLA",0,0,0,"JSC",0.5,0,0,P10,BY$4,"M","F",0.065,"GM71","GM71","MP","N","","","")</f>
        <v>0.92292085402156754</v>
      </c>
      <c r="BZ10" s="155">
        <f>[1]!BFCFAEQ("SLA",0,0,0,"JSC",0.5,0,0,P10,BZ$4,"M","F",0.065,"GM71","GM71","MP","N","","","")</f>
        <v>0.9270393037654987</v>
      </c>
      <c r="CA10" s="155">
        <f>[1]!BFCFAEQ("SLA",0,0,0,"JSC",0.5,0,0,P10,CA$4,"M","F",0.065,"GM71","GM71","MP","N","","","")</f>
        <v>0.93109749269882458</v>
      </c>
      <c r="CB10" s="155">
        <f>[1]!BFCFAEQ("SLA",0,0,0,"JSC",0.5,0,0,P10,CB$4,"M","F",0.065,"GM71","GM71","MP","N","","","")</f>
        <v>0.9350836520791066</v>
      </c>
      <c r="CC10" s="155">
        <f>[1]!BFCFAEQ("SLA",0,0,0,"JSC",0.5,0,0,P10,CC$4,"M","F",0.065,"GM71","GM71","MP","N","","","")</f>
        <v>0.93898141314512329</v>
      </c>
      <c r="CD10" s="155">
        <f>[1]!BFCFAEQ("SLA",0,0,0,"JSC",0.5,0,0,P10,CD$4,"M","F",0.065,"GM71","GM71","MP","N","","","")</f>
        <v>0.94277215587577701</v>
      </c>
      <c r="CE10" s="155">
        <f>[1]!BFCFAEQ("SLA",0,0,0,"JSC",0.5,0,0,P10,CE$4,"M","F",0.065,"GM71","GM71","MP","N","","","")</f>
        <v>0.94644023381002118</v>
      </c>
      <c r="CF10" s="155">
        <f>[1]!BFCFAEQ("SLA",0,0,0,"JSC",0.5,0,0,P10,CF$4,"M","F",0.065,"GM71","GM71","MP","N","","","")</f>
        <v>0.94997404941545449</v>
      </c>
      <c r="CG10" s="155">
        <f>[1]!BFCFAEQ("SLA",0,0,0,"JSC",0.5,0,0,P10,CG$4,"M","F",0.065,"GM71","GM71","MP","N","","","")</f>
        <v>0.95336894660879345</v>
      </c>
      <c r="CH10" s="155">
        <f>[1]!BFCFAEQ("SLA",0,0,0,"JSC",0.5,0,0,P10,CH$4,"M","F",0.065,"GM71","GM71","MP","N","","","")</f>
        <v>0.95661418414036692</v>
      </c>
      <c r="CI10" s="155">
        <f>[1]!BFCFAEQ("SLA",0,0,0,"JSC",0.5,0,0,P10,CI$4,"M","F",0.065,"GM71","GM71","MP","N","","","")</f>
        <v>0.95970045279976235</v>
      </c>
      <c r="CJ10" s="155">
        <f>[1]!BFCFAEQ("SLA",0,0,0,"JSC",0.5,0,0,P10,CJ$4,"M","F",0.065,"GM71","GM71","MP","N","","","")</f>
        <v>0.96262937428243989</v>
      </c>
      <c r="CK10" s="155">
        <f>[1]!BFCFAEQ("SLA",0,0,0,"JSC",0.5,0,0,P10,CK$4,"M","F",0.065,"GM71","GM71","MP","N","","","")</f>
        <v>0.96541485507708302</v>
      </c>
      <c r="CL10" s="155">
        <f>[1]!BFCFAEQ("SLA",0,0,0,"JSC",0.5,0,0,P10,CL$4,"M","F",0.065,"GM71","GM71","MP","N","","","")</f>
        <v>0.96807104695880442</v>
      </c>
      <c r="CM10" s="155">
        <f>[1]!BFCFAEQ("SLA",0,0,0,"JSC",0.5,0,0,P10,CM$4,"M","F",0.065,"GM71","GM71","MP","N","","","")</f>
        <v>0.97060227774667718</v>
      </c>
      <c r="CN10" s="257">
        <f>ROUND([1]!NPVF2("MP","SLA","N",0.05,"M",$P10,$P10,0,0,120,0,"UP84","UP84","P","","")/[1]!NPVF2("MP","JSC","N",0.05,"M",$P10,$P10,CN$4,0.5,0,0,"UP84","UP84","P","",""),4)</f>
        <v>1.024</v>
      </c>
      <c r="CO10" s="257">
        <f>ROUND([1]!NPVF2("MP","SLA","N",0.05,"M",$P10,$P10,0,0,120,0,"UP84","UP84","P","","")/[1]!NPVF2("MP","JSC","N",0.05,"M",$P10,$P10,CO$4,0.5,0,0,"UP84","UP84","P","",""),4)</f>
        <v>1.0266999999999999</v>
      </c>
      <c r="CP10" s="257">
        <f>ROUND([1]!NPVF2("MP","SLA","N",0.05,"M",$P10,$P10,0,0,120,0,"UP84","UP84","P","","")/[1]!NPVF2("MP","JSC","N",0.05,"M",$P10,$P10,CP$4,0.5,0,0,"UP84","UP84","P","",""),4)</f>
        <v>1.0291999999999999</v>
      </c>
      <c r="CQ10" s="257">
        <f>ROUND([1]!NPVF2("MP","SLA","N",0.05,"M",$P10,$P10,0,0,120,0,"UP84","UP84","P","","")/[1]!NPVF2("MP","JSC","N",0.05,"M",$P10,$P10,CQ$4,0.5,0,0,"UP84","UP84","P","",""),4)</f>
        <v>1.0316000000000001</v>
      </c>
      <c r="CR10" s="257">
        <f>ROUND([1]!NPVF2("MP","SLA","N",0.05,"M",$P10,$P10,0,0,120,0,"UP84","UP84","P","","")/[1]!NPVF2("MP","JSC","N",0.05,"M",$P10,$P10,CR$4,0.5,0,0,"UP84","UP84","P","",""),4)</f>
        <v>1.0338000000000001</v>
      </c>
      <c r="CS10" s="257">
        <f>ROUND([1]!NPVF2("MP","SLA","N",0.05,"M",$P10,$P10,0,0,120,0,"UP84","UP84","P","","")/[1]!NPVF2("MP","JSC","N",0.05,"M",$P10,$P10,CS$4,0.5,0,0,"UP84","UP84","P","",""),4)</f>
        <v>1.0358000000000001</v>
      </c>
      <c r="CT10" s="257">
        <f>ROUND([1]!NPVF2("MP","SLA","N",0.05,"M",$P10,$P10,0,0,120,0,"UP84","UP84","P","","")/[1]!NPVF2("MP","JSC","N",0.05,"M",$P10,$P10,CT$4,0.5,0,0,"UP84","UP84","P","",""),4)</f>
        <v>1.0377000000000001</v>
      </c>
      <c r="CU10" s="257">
        <f>ROUND([1]!NPVF2("MP","SLA","N",0.05,"M",$P10,$P10,0,0,120,0,"UP84","UP84","P","","")/[1]!NPVF2("MP","JSC","N",0.05,"M",$P10,$P10,CU$4,0.5,0,0,"UP84","UP84","P","",""),4)</f>
        <v>1.0395000000000001</v>
      </c>
      <c r="CV10" s="257">
        <f>ROUND([1]!NPVF2("MP","SLA","N",0.05,"M",$P10,$P10,0,0,120,0,"UP84","UP84","P","","")/[1]!NPVF2("MP","JSC","N",0.05,"M",$P10,$P10,CV$4,0.5,0,0,"UP84","UP84","P","",""),4)</f>
        <v>1.0410999999999999</v>
      </c>
      <c r="CW10" s="258">
        <f>ROUND([1]!NPVF2("MP","SLA","N",0.05,"M",$P10,$P10,0,0,120,0,"UP84","UP84","P","","")/[1]!NPVF2("MP","JSC","N",0.05,"M",$P10,$P10,CW$4,0.5,0,0,"UP84","UP84","P","",""),4)</f>
        <v>1.0426</v>
      </c>
      <c r="CX10" s="62"/>
      <c r="CY10" s="150">
        <v>1.04</v>
      </c>
      <c r="CZ10">
        <v>999</v>
      </c>
      <c r="DD10" s="76" t="s">
        <v>730</v>
      </c>
      <c r="DF10" t="s">
        <v>491</v>
      </c>
      <c r="DG10" s="193">
        <f>DG5+DG9</f>
        <v>0</v>
      </c>
      <c r="DH10" s="39" t="s">
        <v>390</v>
      </c>
      <c r="DL10" t="s">
        <v>404</v>
      </c>
      <c r="DM10">
        <v>0</v>
      </c>
      <c r="DN10" t="s">
        <v>422</v>
      </c>
      <c r="DO10" s="46">
        <v>0</v>
      </c>
      <c r="DP10" s="46">
        <v>0</v>
      </c>
      <c r="DQ10" s="46">
        <f t="shared" si="2"/>
        <v>0</v>
      </c>
      <c r="DW10" s="93">
        <v>1914</v>
      </c>
      <c r="DX10" s="16">
        <v>7044</v>
      </c>
      <c r="DY10" s="47">
        <v>7044</v>
      </c>
      <c r="DZ10" s="47">
        <v>7044</v>
      </c>
      <c r="EA10" s="47">
        <v>7044</v>
      </c>
      <c r="EB10" s="47">
        <v>7044</v>
      </c>
      <c r="EC10" s="47">
        <v>7044</v>
      </c>
      <c r="ED10" s="47">
        <v>7044</v>
      </c>
      <c r="EE10" s="47">
        <v>7044</v>
      </c>
      <c r="EF10" s="47">
        <v>7044</v>
      </c>
      <c r="EG10" s="47">
        <v>7044</v>
      </c>
      <c r="EH10" s="47">
        <v>7044</v>
      </c>
      <c r="EI10" s="47">
        <v>7044</v>
      </c>
      <c r="EJ10" s="47">
        <v>7044</v>
      </c>
      <c r="EK10" s="208">
        <v>7044</v>
      </c>
      <c r="EN10" s="43">
        <v>1914</v>
      </c>
      <c r="EO10" s="106"/>
      <c r="EP10" s="127"/>
      <c r="EQ10" s="149"/>
      <c r="ER10" s="127"/>
      <c r="ES10" s="127"/>
      <c r="ET10" s="127"/>
      <c r="EU10" s="127"/>
      <c r="EV10" s="41">
        <v>7044</v>
      </c>
      <c r="EW10" s="127">
        <v>7044</v>
      </c>
      <c r="EX10" s="202">
        <v>7044</v>
      </c>
      <c r="EY10" s="47">
        <v>7044</v>
      </c>
      <c r="EZ10" s="47">
        <v>7044</v>
      </c>
      <c r="FA10" s="47">
        <v>7044</v>
      </c>
      <c r="FB10" s="47">
        <v>7044</v>
      </c>
      <c r="FC10" s="47">
        <v>7044</v>
      </c>
      <c r="FD10" s="47">
        <v>7044</v>
      </c>
      <c r="FE10" s="47">
        <v>7044</v>
      </c>
      <c r="FF10" s="47">
        <v>7044</v>
      </c>
      <c r="FG10" s="47">
        <v>7044</v>
      </c>
      <c r="FH10" s="47">
        <v>7044</v>
      </c>
      <c r="FI10" s="47">
        <v>7044</v>
      </c>
      <c r="FJ10" s="47">
        <v>7044</v>
      </c>
      <c r="FK10" s="208">
        <v>7044</v>
      </c>
    </row>
    <row r="11" spans="1:167" ht="16.5" thickBot="1">
      <c r="A11" s="164">
        <v>59</v>
      </c>
      <c r="B11" s="122">
        <v>0.61</v>
      </c>
      <c r="C11" s="62"/>
      <c r="D11" s="209">
        <f t="shared" si="0"/>
        <v>6</v>
      </c>
      <c r="E11" s="126">
        <f>[1]!PBGCLRF(65+D11/12)</f>
        <v>1.05</v>
      </c>
      <c r="F11" s="62"/>
      <c r="G11" s="54" t="s">
        <v>23</v>
      </c>
      <c r="H11" s="111" t="s">
        <v>386</v>
      </c>
      <c r="I11" s="62"/>
      <c r="J11" s="19">
        <v>7</v>
      </c>
      <c r="K11" s="122">
        <f t="shared" si="1"/>
        <v>0.96111111111111125</v>
      </c>
      <c r="L11" s="62"/>
      <c r="M11" s="297">
        <v>7</v>
      </c>
      <c r="N11" s="122">
        <f>[1]!LRFAEQ(0.065,"M",65,M11,0,"GM71","GM71","MP","Y","N","",65)</f>
        <v>1.0702267601315827</v>
      </c>
      <c r="O11" s="62"/>
      <c r="P11" s="130">
        <v>61</v>
      </c>
      <c r="Q11" s="155">
        <f>[1]!BFCFAEQ("SLA",0,0,0,"JSC",0.5,0,0,P11,Q$4,"M","F",0.065,"GM71","GM71","MP","N","","","")</f>
        <v>0.77709108556115258</v>
      </c>
      <c r="R11" s="155">
        <f>[1]!BFCFAEQ("SLA",0,0,0,"JSC",0.5,0,0,P11,R$4,"M","F",0.065,"GM71","GM71","MP","N","","","")</f>
        <v>0.77755085905398291</v>
      </c>
      <c r="S11" s="155">
        <f>[1]!BFCFAEQ("SLA",0,0,0,"JSC",0.5,0,0,P11,S$4,"M","F",0.065,"GM71","GM71","MP","N","","","")</f>
        <v>0.77803589005594331</v>
      </c>
      <c r="T11" s="155">
        <f>[1]!BFCFAEQ("SLA",0,0,0,"JSC",0.5,0,0,P11,T$4,"M","F",0.065,"GM71","GM71","MP","N","","","")</f>
        <v>0.7785475338705159</v>
      </c>
      <c r="U11" s="155">
        <f>[1]!BFCFAEQ("SLA",0,0,0,"JSC",0.5,0,0,P11,U$4,"M","F",0.065,"GM71","GM71","MP","N","","","")</f>
        <v>0.77908722026966803</v>
      </c>
      <c r="V11" s="155">
        <f>[1]!BFCFAEQ("SLA",0,0,0,"JSC",0.5,0,0,P11,V$4,"M","F",0.065,"GM71","GM71","MP","N","","","")</f>
        <v>0.77957809172925263</v>
      </c>
      <c r="W11" s="155">
        <f>[1]!BFCFAEQ("SLA",0,0,0,"JSC",0.5,0,0,P11,W$4,"M","F",0.065,"GM71","GM71","MP","N","","","")</f>
        <v>0.78010607817292521</v>
      </c>
      <c r="X11" s="155">
        <f>[1]!BFCFAEQ("SLA",0,0,0,"JSC",0.5,0,0,P11,X$4,"M","F",0.065,"GM71","GM71","MP","N","","","")</f>
        <v>0.7806711578792066</v>
      </c>
      <c r="Y11" s="155">
        <f>[1]!BFCFAEQ("SLA",0,0,0,"JSC",0.5,0,0,P11,Y$4,"M","F",0.065,"GM71","GM71","MP","N","","","")</f>
        <v>0.78127358053754536</v>
      </c>
      <c r="Z11" s="155">
        <f>[1]!BFCFAEQ("SLA",0,0,0,"JSC",0.5,0,0,P11,Z$4,"M","F",0.065,"GM71","GM71","MP","N","","","")</f>
        <v>0.78191404507188345</v>
      </c>
      <c r="AA11" s="155">
        <f>[1]!BFCFAEQ("SLA",0,0,0,"JSC",0.5,0,0,P11,AA$4,"M","F",0.065,"GM71","GM71","MP","N","","","")</f>
        <v>0.78259404421883905</v>
      </c>
      <c r="AB11" s="155">
        <f>[1]!BFCFAEQ("SLA",0,0,0,"JSC",0.5,0,0,P11,AB$4,"M","F",0.065,"GM71","GM71","MP","N","","","")</f>
        <v>0.78331484332142243</v>
      </c>
      <c r="AC11" s="155">
        <f>[1]!BFCFAEQ("SLA",0,0,0,"JSC",0.5,0,0,P11,AC$4,"M","F",0.065,"GM71","GM71","MP","N","","","")</f>
        <v>0.78407867562530964</v>
      </c>
      <c r="AD11" s="155">
        <f>[1]!BFCFAEQ("SLA",0,0,0,"JSC",0.5,0,0,P11,AD$4,"M","F",0.065,"GM71","GM71","MP","N","","","")</f>
        <v>0.78488805855842614</v>
      </c>
      <c r="AE11" s="155">
        <f>[1]!BFCFAEQ("SLA",0,0,0,"JSC",0.5,0,0,P11,AE$4,"M","F",0.065,"GM71","GM71","MP","N","","","")</f>
        <v>0.78574545551182073</v>
      </c>
      <c r="AF11" s="155">
        <f>[1]!BFCFAEQ("SLA",0,0,0,"JSC",0.5,0,0,P11,AF$4,"M","F",0.065,"GM71","GM71","MP","N","","","")</f>
        <v>0.78665327889836412</v>
      </c>
      <c r="AG11" s="155">
        <f>[1]!BFCFAEQ("SLA",0,0,0,"JSC",0.5,0,0,P11,AG$4,"M","F",0.065,"GM71","GM71","MP","N","","","")</f>
        <v>0.78761439535973887</v>
      </c>
      <c r="AH11" s="155">
        <f>[1]!BFCFAEQ("SLA",0,0,0,"JSC",0.5,0,0,P11,AH$4,"M","F",0.065,"GM71","GM71","MP","N","","","")</f>
        <v>0.78863145184638994</v>
      </c>
      <c r="AI11" s="155">
        <f>[1]!BFCFAEQ("SLA",0,0,0,"JSC",0.5,0,0,P11,AI$4,"M","F",0.065,"GM71","GM71","MP","N","","","")</f>
        <v>0.78970737848526795</v>
      </c>
      <c r="AJ11" s="155">
        <f>[1]!BFCFAEQ("SLA",0,0,0,"JSC",0.5,0,0,P11,AJ$4,"M","F",0.065,"GM71","GM71","MP","N","","","")</f>
        <v>0.79084521730574853</v>
      </c>
      <c r="AK11" s="155">
        <f>[1]!BFCFAEQ("SLA",0,0,0,"JSC",0.5,0,0,P11,AK$4,"M","F",0.065,"GM71","GM71","MP","N","","","")</f>
        <v>0.79204795353928736</v>
      </c>
      <c r="AL11" s="155">
        <f>[1]!BFCFAEQ("SLA",0,0,0,"JSC",0.5,0,0,P11,AL$4,"M","F",0.065,"GM71","GM71","MP","N","","","")</f>
        <v>0.7933186788161124</v>
      </c>
      <c r="AM11" s="155">
        <f>[1]!BFCFAEQ("SLA",0,0,0,"JSC",0.5,0,0,P11,AM$4,"M","F",0.065,"GM71","GM71","MP","N","","","")</f>
        <v>0.79466042267149684</v>
      </c>
      <c r="AN11" s="155">
        <f>[1]!BFCFAEQ("SLA",0,0,0,"JSC",0.5,0,0,P11,AN$4,"M","F",0.065,"GM71","GM71","MP","N","","","")</f>
        <v>0.79607680053688068</v>
      </c>
      <c r="AO11" s="155">
        <f>[1]!BFCFAEQ("SLA",0,0,0,"JSC",0.5,0,0,P11,AO$4,"M","F",0.065,"GM71","GM71","MP","N","","","")</f>
        <v>0.797571023232302</v>
      </c>
      <c r="AP11" s="155">
        <f>[1]!BFCFAEQ("SLA",0,0,0,"JSC",0.5,0,0,P11,AP$4,"M","F",0.065,"GM71","GM71","MP","N","","","")</f>
        <v>0.79914638329394083</v>
      </c>
      <c r="AQ11" s="155">
        <f>[1]!BFCFAEQ("SLA",0,0,0,"JSC",0.5,0,0,P11,AQ$4,"M","F",0.065,"GM71","GM71","MP","N","","","")</f>
        <v>0.80080624541848877</v>
      </c>
      <c r="AR11" s="155">
        <f>[1]!BFCFAEQ("SLA",0,0,0,"JSC",0.5,0,0,P11,AR$4,"M","F",0.065,"GM71","GM71","MP","N","","","")</f>
        <v>0.80255403497989874</v>
      </c>
      <c r="AS11" s="155">
        <f>[1]!BFCFAEQ("SLA",0,0,0,"JSC",0.5,0,0,P11,AS$4,"M","F",0.065,"GM71","GM71","MP","N","","","")</f>
        <v>0.80439306659568643</v>
      </c>
      <c r="AT11" s="155">
        <f>[1]!BFCFAEQ("SLA",0,0,0,"JSC",0.5,0,0,P11,AT$4,"M","F",0.065,"GM71","GM71","MP","N","","","")</f>
        <v>0.80632684609381622</v>
      </c>
      <c r="AU11" s="155">
        <f>[1]!BFCFAEQ("SLA",0,0,0,"JSC",0.5,0,0,P11,AU$4,"M","F",0.065,"GM71","GM71","MP","N","","","")</f>
        <v>0.80835857958062152</v>
      </c>
      <c r="AV11" s="155">
        <f>[1]!BFCFAEQ("SLA",0,0,0,"JSC",0.5,0,0,P11,AV$4,"M","F",0.065,"GM71","GM71","MP","N","","","")</f>
        <v>0.81049147112421671</v>
      </c>
      <c r="AW11" s="155">
        <f>[1]!BFCFAEQ("SLA",0,0,0,"JSC",0.5,0,0,P11,AW$4,"M","F",0.065,"GM71","GM71","MP","N","","","")</f>
        <v>0.81272869755462473</v>
      </c>
      <c r="AX11" s="155">
        <f>[1]!BFCFAEQ("SLA",0,0,0,"JSC",0.5,0,0,P11,AX$4,"M","F",0.065,"GM71","GM71","MP","N","","","")</f>
        <v>0.81507322844331498</v>
      </c>
      <c r="AY11" s="155">
        <f>[1]!BFCFAEQ("SLA",0,0,0,"JSC",0.5,0,0,P11,AY$4,"M","F",0.065,"GM71","GM71","MP","N","","","")</f>
        <v>0.81752795008219303</v>
      </c>
      <c r="AZ11" s="155">
        <f>[1]!BFCFAEQ("SLA",0,0,0,"JSC",0.5,0,0,P11,AZ$4,"M","F",0.065,"GM71","GM71","MP","N","","","")</f>
        <v>0.82009533300445925</v>
      </c>
      <c r="BA11" s="155">
        <f>[1]!BFCFAEQ("SLA",0,0,0,"JSC",0.5,0,0,P11,BA$4,"M","F",0.065,"GM71","GM71","MP","N","","","")</f>
        <v>0.82277799194785661</v>
      </c>
      <c r="BB11" s="155">
        <f>[1]!BFCFAEQ("SLA",0,0,0,"JSC",0.5,0,0,P11,BB$4,"M","F",0.065,"GM71","GM71","MP","N","","","")</f>
        <v>0.82557790139785348</v>
      </c>
      <c r="BC11" s="155">
        <f>[1]!BFCFAEQ("SLA",0,0,0,"JSC",0.5,0,0,P11,BC$4,"M","F",0.065,"GM71","GM71","MP","N","","","")</f>
        <v>0.82849651514859035</v>
      </c>
      <c r="BD11" s="155">
        <f>[1]!BFCFAEQ("SLA",0,0,0,"JSC",0.5,0,0,P11,BD$4,"M","F",0.065,"GM71","GM71","MP","N","","","")</f>
        <v>0.83153515421017055</v>
      </c>
      <c r="BE11" s="155">
        <f>[1]!BFCFAEQ("SLA",0,0,0,"JSC",0.5,0,0,P11,BE$4,"M","F",0.065,"GM71","GM71","MP","N","","","")</f>
        <v>0.83469452507579256</v>
      </c>
      <c r="BF11" s="155">
        <f>[1]!BFCFAEQ("SLA",0,0,0,"JSC",0.5,0,0,P11,BF$4,"M","F",0.065,"GM71","GM71","MP","N","","","")</f>
        <v>0.83797223206950822</v>
      </c>
      <c r="BG11" s="155">
        <f>[1]!BFCFAEQ("SLA",0,0,0,"JSC",0.5,0,0,P11,BG$4,"M","F",0.065,"GM71","GM71","MP","N","","","")</f>
        <v>0.84136255198516652</v>
      </c>
      <c r="BH11" s="155">
        <f>[1]!BFCFAEQ("SLA",0,0,0,"JSC",0.5,0,0,P11,BH$4,"M","F",0.065,"GM71","GM71","MP","N","","","")</f>
        <v>0.8448604937160844</v>
      </c>
      <c r="BI11" s="155">
        <f>[1]!BFCFAEQ("SLA",0,0,0,"JSC",0.5,0,0,P11,BI$4,"M","F",0.065,"GM71","GM71","MP","N","","","")</f>
        <v>0.84846094493154534</v>
      </c>
      <c r="BJ11" s="155">
        <f>[1]!BFCFAEQ("SLA",0,0,0,"JSC",0.5,0,0,P11,BJ$4,"M","F",0.065,"GM71","GM71","MP","N","","","")</f>
        <v>0.85215929094298204</v>
      </c>
      <c r="BK11" s="155">
        <f>[1]!BFCFAEQ("SLA",0,0,0,"JSC",0.5,0,0,P11,BK$4,"M","F",0.065,"GM71","GM71","MP","N","","","")</f>
        <v>0.85595083682061868</v>
      </c>
      <c r="BL11" s="155">
        <f>[1]!BFCFAEQ("SLA",0,0,0,"JSC",0.5,0,0,P11,BL$4,"M","F",0.065,"GM71","GM71","MP","N","","","")</f>
        <v>0.85983101328767864</v>
      </c>
      <c r="BM11" s="155">
        <f>[1]!BFCFAEQ("SLA",0,0,0,"JSC",0.5,0,0,P11,BM$4,"M","F",0.065,"GM71","GM71","MP","N","","","")</f>
        <v>0.86379519201052968</v>
      </c>
      <c r="BN11" s="155">
        <f>[1]!BFCFAEQ("SLA",0,0,0,"JSC",0.5,0,0,P11,BN$4,"M","F",0.065,"GM71","GM71","MP","N","","","")</f>
        <v>0.86783839960321696</v>
      </c>
      <c r="BO11" s="155">
        <f>[1]!BFCFAEQ("SLA",0,0,0,"JSC",0.5,0,0,P11,BO$4,"M","F",0.065,"GM71","GM71","MP","N","","","")</f>
        <v>0.87195585236971029</v>
      </c>
      <c r="BP11" s="155">
        <f>[1]!BFCFAEQ("SLA",0,0,0,"JSC",0.5,0,0,P11,BP$4,"M","F",0.065,"GM71","GM71","MP","N","","","")</f>
        <v>0.87614186805629735</v>
      </c>
      <c r="BQ11" s="155">
        <f>[1]!BFCFAEQ("SLA",0,0,0,"JSC",0.5,0,0,P11,BQ$4,"M","F",0.065,"GM71","GM71","MP","N","","","")</f>
        <v>0.88039095824303559</v>
      </c>
      <c r="BR11" s="155">
        <f>[1]!BFCFAEQ("SLA",0,0,0,"JSC",0.5,0,0,P11,BR$4,"M","F",0.065,"GM71","GM71","MP","N","","","")</f>
        <v>0.88469677423245197</v>
      </c>
      <c r="BS11" s="155">
        <f>[1]!BFCFAEQ("SLA",0,0,0,"JSC",0.5,0,0,P11,BS$4,"M","F",0.065,"GM71","GM71","MP","N","","","")</f>
        <v>0.88905261991007956</v>
      </c>
      <c r="BT11" s="155">
        <f>[1]!BFCFAEQ("SLA",0,0,0,"JSC",0.5,0,0,P11,BT$4,"M","F",0.065,"GM71","GM71","MP","N","","","")</f>
        <v>0.89345100182454729</v>
      </c>
      <c r="BU11" s="155">
        <f>[1]!BFCFAEQ("SLA",0,0,0,"JSC",0.5,0,0,P11,BU$4,"M","F",0.065,"GM71","GM71","MP","N","","","")</f>
        <v>0.8978841887672665</v>
      </c>
      <c r="BV11" s="155">
        <f>[1]!BFCFAEQ("SLA",0,0,0,"JSC",0.5,0,0,P11,BV$4,"M","F",0.065,"GM71","GM71","MP","N","","","")</f>
        <v>0.90234339953576215</v>
      </c>
      <c r="BW11" s="155">
        <f>[1]!BFCFAEQ("SLA",0,0,0,"JSC",0.5,0,0,P11,BW$4,"M","F",0.065,"GM71","GM71","MP","N","","","")</f>
        <v>0.90681585981314061</v>
      </c>
      <c r="BX11" s="155">
        <f>[1]!BFCFAEQ("SLA",0,0,0,"JSC",0.5,0,0,P11,BX$4,"M","F",0.065,"GM71","GM71","MP","N","","","")</f>
        <v>0.91127954641533382</v>
      </c>
      <c r="BY11" s="155">
        <f>[1]!BFCFAEQ("SLA",0,0,0,"JSC",0.5,0,0,P11,BY$4,"M","F",0.065,"GM71","GM71","MP","N","","","")</f>
        <v>0.91571604104343951</v>
      </c>
      <c r="BZ11" s="155">
        <f>[1]!BFCFAEQ("SLA",0,0,0,"JSC",0.5,0,0,P11,BZ$4,"M","F",0.065,"GM71","GM71","MP","N","","","")</f>
        <v>0.9201108433502837</v>
      </c>
      <c r="CA11" s="155">
        <f>[1]!BFCFAEQ("SLA",0,0,0,"JSC",0.5,0,0,P11,CA$4,"M","F",0.065,"GM71","GM71","MP","N","","","")</f>
        <v>0.92445208678310753</v>
      </c>
      <c r="CB11" s="155">
        <f>[1]!BFCFAEQ("SLA",0,0,0,"JSC",0.5,0,0,P11,CB$4,"M","F",0.065,"GM71","GM71","MP","N","","","")</f>
        <v>0.92872679760273713</v>
      </c>
      <c r="CC11" s="155">
        <f>[1]!BFCFAEQ("SLA",0,0,0,"JSC",0.5,0,0,P11,CC$4,"M","F",0.065,"GM71","GM71","MP","N","","","")</f>
        <v>0.93291685875372532</v>
      </c>
      <c r="CD11" s="155">
        <f>[1]!BFCFAEQ("SLA",0,0,0,"JSC",0.5,0,0,P11,CD$4,"M","F",0.065,"GM71","GM71","MP","N","","","")</f>
        <v>0.93700154080569154</v>
      </c>
      <c r="CE11" s="155">
        <f>[1]!BFCFAEQ("SLA",0,0,0,"JSC",0.5,0,0,P11,CE$4,"M","F",0.065,"GM71","GM71","MP","N","","","")</f>
        <v>0.94096320927328569</v>
      </c>
      <c r="CF11" s="155">
        <f>[1]!BFCFAEQ("SLA",0,0,0,"JSC",0.5,0,0,P11,CF$4,"M","F",0.065,"GM71","GM71","MP","N","","","")</f>
        <v>0.94478853396296447</v>
      </c>
      <c r="CG11" s="155">
        <f>[1]!BFCFAEQ("SLA",0,0,0,"JSC",0.5,0,0,P11,CG$4,"M","F",0.065,"GM71","GM71","MP","N","","","")</f>
        <v>0.94847170812111781</v>
      </c>
      <c r="CH11" s="155">
        <f>[1]!BFCFAEQ("SLA",0,0,0,"JSC",0.5,0,0,P11,CH$4,"M","F",0.065,"GM71","GM71","MP","N","","","")</f>
        <v>0.95200016767089779</v>
      </c>
      <c r="CI11" s="155">
        <f>[1]!BFCFAEQ("SLA",0,0,0,"JSC",0.5,0,0,P11,CI$4,"M","F",0.065,"GM71","GM71","MP","N","","","")</f>
        <v>0.95536283412261436</v>
      </c>
      <c r="CJ11" s="155">
        <f>[1]!BFCFAEQ("SLA",0,0,0,"JSC",0.5,0,0,P11,CJ$4,"M","F",0.065,"GM71","GM71","MP","N","","","")</f>
        <v>0.95856062332913938</v>
      </c>
      <c r="CK11" s="155">
        <f>[1]!BFCFAEQ("SLA",0,0,0,"JSC",0.5,0,0,P11,CK$4,"M","F",0.065,"GM71","GM71","MP","N","","","")</f>
        <v>0.96160803563301689</v>
      </c>
      <c r="CL11" s="155">
        <f>[1]!BFCFAEQ("SLA",0,0,0,"JSC",0.5,0,0,P11,CL$4,"M","F",0.065,"GM71","GM71","MP","N","","","")</f>
        <v>0.96451992132978914</v>
      </c>
      <c r="CM11" s="155">
        <f>[1]!BFCFAEQ("SLA",0,0,0,"JSC",0.5,0,0,P11,CM$4,"M","F",0.065,"GM71","GM71","MP","N","","","")</f>
        <v>0.9673003196734189</v>
      </c>
      <c r="CN11" s="257">
        <f>ROUND([1]!NPVF2("MP","SLA","N",0.05,"M",$P11,$P11,0,0,120,0,"UP84","UP84","P","","")/[1]!NPVF2("MP","JSC","N",0.05,"M",$P11,$P11,CN$4,0.5,0,0,"UP84","UP84","P","",""),4)</f>
        <v>1.0269999999999999</v>
      </c>
      <c r="CO11" s="257">
        <f>ROUND([1]!NPVF2("MP","SLA","N",0.05,"M",$P11,$P11,0,0,120,0,"UP84","UP84","P","","")/[1]!NPVF2("MP","JSC","N",0.05,"M",$P11,$P11,CO$4,0.5,0,0,"UP84","UP84","P","",""),4)</f>
        <v>1.0299</v>
      </c>
      <c r="CP11" s="257">
        <f>ROUND([1]!NPVF2("MP","SLA","N",0.05,"M",$P11,$P11,0,0,120,0,"UP84","UP84","P","","")/[1]!NPVF2("MP","JSC","N",0.05,"M",$P11,$P11,CP$4,0.5,0,0,"UP84","UP84","P","",""),4)</f>
        <v>1.0327</v>
      </c>
      <c r="CQ11" s="257">
        <f>ROUND([1]!NPVF2("MP","SLA","N",0.05,"M",$P11,$P11,0,0,120,0,"UP84","UP84","P","","")/[1]!NPVF2("MP","JSC","N",0.05,"M",$P11,$P11,CQ$4,0.5,0,0,"UP84","UP84","P","",""),4)</f>
        <v>1.0354000000000001</v>
      </c>
      <c r="CR11" s="257">
        <f>ROUND([1]!NPVF2("MP","SLA","N",0.05,"M",$P11,$P11,0,0,120,0,"UP84","UP84","P","","")/[1]!NPVF2("MP","JSC","N",0.05,"M",$P11,$P11,CR$4,0.5,0,0,"UP84","UP84","P","",""),4)</f>
        <v>1.0378000000000001</v>
      </c>
      <c r="CS11" s="257">
        <f>ROUND([1]!NPVF2("MP","SLA","N",0.05,"M",$P11,$P11,0,0,120,0,"UP84","UP84","P","","")/[1]!NPVF2("MP","JSC","N",0.05,"M",$P11,$P11,CS$4,0.5,0,0,"UP84","UP84","P","",""),4)</f>
        <v>1.0401</v>
      </c>
      <c r="CT11" s="257">
        <f>ROUND([1]!NPVF2("MP","SLA","N",0.05,"M",$P11,$P11,0,0,120,0,"UP84","UP84","P","","")/[1]!NPVF2("MP","JSC","N",0.05,"M",$P11,$P11,CT$4,0.5,0,0,"UP84","UP84","P","",""),4)</f>
        <v>1.0422</v>
      </c>
      <c r="CU11" s="257">
        <f>ROUND([1]!NPVF2("MP","SLA","N",0.05,"M",$P11,$P11,0,0,120,0,"UP84","UP84","P","","")/[1]!NPVF2("MP","JSC","N",0.05,"M",$P11,$P11,CU$4,0.5,0,0,"UP84","UP84","P","",""),4)</f>
        <v>1.0441</v>
      </c>
      <c r="CV11" s="257">
        <f>ROUND([1]!NPVF2("MP","SLA","N",0.05,"M",$P11,$P11,0,0,120,0,"UP84","UP84","P","","")/[1]!NPVF2("MP","JSC","N",0.05,"M",$P11,$P11,CV$4,0.5,0,0,"UP84","UP84","P","",""),4)</f>
        <v>1.0459000000000001</v>
      </c>
      <c r="CW11" s="258">
        <f>ROUND([1]!NPVF2("MP","SLA","N",0.05,"M",$P11,$P11,0,0,120,0,"UP84","UP84","P","","")/[1]!NPVF2("MP","JSC","N",0.05,"M",$P11,$P11,CW$4,0.5,0,0,"UP84","UP84","P","",""),4)</f>
        <v>1.0476000000000001</v>
      </c>
      <c r="CX11" s="62"/>
      <c r="CY11" s="150"/>
      <c r="DB11" s="79">
        <v>40298</v>
      </c>
      <c r="DF11" t="s">
        <v>215</v>
      </c>
      <c r="DG11" s="150" t="e">
        <f>ROUND(DG10/DG3,4)</f>
        <v>#DIV/0!</v>
      </c>
      <c r="DH11" s="39" t="s">
        <v>334</v>
      </c>
      <c r="DI11">
        <v>9</v>
      </c>
      <c r="DL11" t="s">
        <v>125</v>
      </c>
      <c r="DM11">
        <v>0</v>
      </c>
      <c r="DN11" t="s">
        <v>422</v>
      </c>
      <c r="DO11" s="46">
        <v>0</v>
      </c>
      <c r="DP11" s="46">
        <v>0</v>
      </c>
      <c r="DQ11" s="46">
        <f t="shared" si="2"/>
        <v>0</v>
      </c>
      <c r="DW11" s="93">
        <v>1915</v>
      </c>
      <c r="DX11" s="16">
        <v>7692</v>
      </c>
      <c r="DY11" s="47">
        <v>7692</v>
      </c>
      <c r="DZ11" s="47">
        <v>7692</v>
      </c>
      <c r="EA11" s="47">
        <v>7692</v>
      </c>
      <c r="EB11" s="47">
        <v>7692</v>
      </c>
      <c r="EC11" s="47">
        <v>7692</v>
      </c>
      <c r="ED11" s="47">
        <v>7692</v>
      </c>
      <c r="EE11" s="47">
        <v>7692</v>
      </c>
      <c r="EF11" s="47">
        <v>7692</v>
      </c>
      <c r="EG11" s="47">
        <v>7692</v>
      </c>
      <c r="EH11" s="47">
        <v>7692</v>
      </c>
      <c r="EI11" s="47">
        <v>7692</v>
      </c>
      <c r="EJ11" s="47">
        <v>7692</v>
      </c>
      <c r="EK11" s="208">
        <v>7692</v>
      </c>
      <c r="EN11" s="43">
        <v>1915</v>
      </c>
      <c r="EO11" s="106"/>
      <c r="EP11" s="127"/>
      <c r="EQ11" s="149"/>
      <c r="ER11" s="127"/>
      <c r="ES11" s="127"/>
      <c r="ET11" s="127"/>
      <c r="EU11" s="127"/>
      <c r="EV11" s="41">
        <v>7692</v>
      </c>
      <c r="EW11" s="127">
        <v>7692</v>
      </c>
      <c r="EX11" s="202">
        <v>7692</v>
      </c>
      <c r="EY11" s="47">
        <v>7692</v>
      </c>
      <c r="EZ11" s="47">
        <v>7692</v>
      </c>
      <c r="FA11" s="47">
        <v>7692</v>
      </c>
      <c r="FB11" s="47">
        <v>7692</v>
      </c>
      <c r="FC11" s="47">
        <v>7692</v>
      </c>
      <c r="FD11" s="47">
        <v>7692</v>
      </c>
      <c r="FE11" s="47">
        <v>7692</v>
      </c>
      <c r="FF11" s="47">
        <v>7692</v>
      </c>
      <c r="FG11" s="47">
        <v>7692</v>
      </c>
      <c r="FH11" s="47">
        <v>7692</v>
      </c>
      <c r="FI11" s="47">
        <v>7692</v>
      </c>
      <c r="FJ11" s="47">
        <v>7692</v>
      </c>
      <c r="FK11" s="208">
        <v>7692</v>
      </c>
    </row>
    <row r="12" spans="1:167" ht="15.75">
      <c r="A12" s="19">
        <v>58</v>
      </c>
      <c r="B12" s="122">
        <v>0.56999999999999995</v>
      </c>
      <c r="C12" s="62"/>
      <c r="D12" s="209">
        <f t="shared" si="0"/>
        <v>7</v>
      </c>
      <c r="E12" s="126">
        <f>[1]!PBGCLRF(65+D12/12)</f>
        <v>1.0583</v>
      </c>
      <c r="F12" s="62"/>
      <c r="G12" s="181">
        <v>0</v>
      </c>
      <c r="H12" s="251">
        <v>0</v>
      </c>
      <c r="I12" s="62"/>
      <c r="J12" s="19">
        <v>8</v>
      </c>
      <c r="K12" s="122">
        <f t="shared" si="1"/>
        <v>0.95555555555555571</v>
      </c>
      <c r="L12" s="62"/>
      <c r="M12" s="297">
        <v>8</v>
      </c>
      <c r="N12" s="122">
        <f>[1]!LRFAEQ(0.065,"M",65,M12,0,"GM71","GM71","MP","Y","N","",65)</f>
        <v>1.0802591544360944</v>
      </c>
      <c r="O12" s="62"/>
      <c r="P12" s="130">
        <v>62</v>
      </c>
      <c r="Q12" s="155">
        <f>[1]!BFCFAEQ("SLA",0,0,0,"JSC",0.5,0,0,P12,Q$4,"M","F",0.065,"GM71","GM71","MP","N","","","")</f>
        <v>0.76550737183043516</v>
      </c>
      <c r="R12" s="155">
        <f>[1]!BFCFAEQ("SLA",0,0,0,"JSC",0.5,0,0,P12,R$4,"M","F",0.065,"GM71","GM71","MP","N","","","")</f>
        <v>0.76596822574835244</v>
      </c>
      <c r="S12" s="155">
        <f>[1]!BFCFAEQ("SLA",0,0,0,"JSC",0.5,0,0,P12,S$4,"M","F",0.065,"GM71","GM71","MP","N","","","")</f>
        <v>0.76645438277920108</v>
      </c>
      <c r="T12" s="155">
        <f>[1]!BFCFAEQ("SLA",0,0,0,"JSC",0.5,0,0,P12,T$4,"M","F",0.065,"GM71","GM71","MP","N","","","")</f>
        <v>0.76696719466759522</v>
      </c>
      <c r="U12" s="155">
        <f>[1]!BFCFAEQ("SLA",0,0,0,"JSC",0.5,0,0,P12,U$4,"M","F",0.065,"GM71","GM71","MP","N","","","")</f>
        <v>0.767508088887079</v>
      </c>
      <c r="V12" s="155">
        <f>[1]!BFCFAEQ("SLA",0,0,0,"JSC",0.5,0,0,P12,V$4,"M","F",0.065,"GM71","GM71","MP","N","","","")</f>
        <v>0.76799731380526426</v>
      </c>
      <c r="W12" s="155">
        <f>[1]!BFCFAEQ("SLA",0,0,0,"JSC",0.5,0,0,P12,W$4,"M","F",0.065,"GM71","GM71","MP","N","","","")</f>
        <v>0.76852390115767333</v>
      </c>
      <c r="X12" s="155">
        <f>[1]!BFCFAEQ("SLA",0,0,0,"JSC",0.5,0,0,P12,X$4,"M","F",0.065,"GM71","GM71","MP","N","","","")</f>
        <v>0.76908777878503787</v>
      </c>
      <c r="Y12" s="155">
        <f>[1]!BFCFAEQ("SLA",0,0,0,"JSC",0.5,0,0,P12,Y$4,"M","F",0.065,"GM71","GM71","MP","N","","","")</f>
        <v>0.76968915399436644</v>
      </c>
      <c r="Z12" s="155">
        <f>[1]!BFCFAEQ("SLA",0,0,0,"JSC",0.5,0,0,P12,Z$4,"M","F",0.065,"GM71","GM71","MP","N","","","")</f>
        <v>0.77032869862759612</v>
      </c>
      <c r="AA12" s="155">
        <f>[1]!BFCFAEQ("SLA",0,0,0,"JSC",0.5,0,0,P12,AA$4,"M","F",0.065,"GM71","GM71","MP","N","","","")</f>
        <v>0.77100790741237901</v>
      </c>
      <c r="AB12" s="155">
        <f>[1]!BFCFAEQ("SLA",0,0,0,"JSC",0.5,0,0,P12,AB$4,"M","F",0.065,"GM71","GM71","MP","N","","","")</f>
        <v>0.77172803921271671</v>
      </c>
      <c r="AC12" s="155">
        <f>[1]!BFCFAEQ("SLA",0,0,0,"JSC",0.5,0,0,P12,AC$4,"M","F",0.065,"GM71","GM71","MP","N","","","")</f>
        <v>0.77249135820771886</v>
      </c>
      <c r="AD12" s="155">
        <f>[1]!BFCFAEQ("SLA",0,0,0,"JSC",0.5,0,0,P12,AD$4,"M","F",0.065,"GM71","GM71","MP","N","","","")</f>
        <v>0.77330042552353162</v>
      </c>
      <c r="AE12" s="155">
        <f>[1]!BFCFAEQ("SLA",0,0,0,"JSC",0.5,0,0,P12,AE$4,"M","F",0.065,"GM71","GM71","MP","N","","","")</f>
        <v>0.77415774895336487</v>
      </c>
      <c r="AF12" s="155">
        <f>[1]!BFCFAEQ("SLA",0,0,0,"JSC",0.5,0,0,P12,AF$4,"M","F",0.065,"GM71","GM71","MP","N","","","")</f>
        <v>0.77506578682433724</v>
      </c>
      <c r="AG12" s="155">
        <f>[1]!BFCFAEQ("SLA",0,0,0,"JSC",0.5,0,0,P12,AG$4,"M","F",0.065,"GM71","GM71","MP","N","","","")</f>
        <v>0.77602747368109148</v>
      </c>
      <c r="AH12" s="155">
        <f>[1]!BFCFAEQ("SLA",0,0,0,"JSC",0.5,0,0,P12,AH$4,"M","F",0.065,"GM71","GM71","MP","N","","","")</f>
        <v>0.77704552129058091</v>
      </c>
      <c r="AI12" s="155">
        <f>[1]!BFCFAEQ("SLA",0,0,0,"JSC",0.5,0,0,P12,AI$4,"M","F",0.065,"GM71","GM71","MP","N","","","")</f>
        <v>0.77812294205668908</v>
      </c>
      <c r="AJ12" s="155">
        <f>[1]!BFCFAEQ("SLA",0,0,0,"JSC",0.5,0,0,P12,AJ$4,"M","F",0.065,"GM71","GM71","MP","N","","","")</f>
        <v>0.7792628722306536</v>
      </c>
      <c r="AK12" s="155">
        <f>[1]!BFCFAEQ("SLA",0,0,0,"JSC",0.5,0,0,P12,AK$4,"M","F",0.065,"GM71","GM71","MP","N","","","")</f>
        <v>0.78046839752470609</v>
      </c>
      <c r="AL12" s="155">
        <f>[1]!BFCFAEQ("SLA",0,0,0,"JSC",0.5,0,0,P12,AL$4,"M","F",0.065,"GM71","GM71","MP","N","","","")</f>
        <v>0.78174272378097065</v>
      </c>
      <c r="AM12" s="155">
        <f>[1]!BFCFAEQ("SLA",0,0,0,"JSC",0.5,0,0,P12,AM$4,"M","F",0.065,"GM71","GM71","MP","N","","","")</f>
        <v>0.78308900268701365</v>
      </c>
      <c r="AN12" s="155">
        <f>[1]!BFCFAEQ("SLA",0,0,0,"JSC",0.5,0,0,P12,AN$4,"M","F",0.065,"GM71","GM71","MP","N","","","")</f>
        <v>0.78451100739781143</v>
      </c>
      <c r="AO12" s="155">
        <f>[1]!BFCFAEQ("SLA",0,0,0,"JSC",0.5,0,0,P12,AO$4,"M","F",0.065,"GM71","GM71","MP","N","","","")</f>
        <v>0.78601210277027522</v>
      </c>
      <c r="AP12" s="155">
        <f>[1]!BFCFAEQ("SLA",0,0,0,"JSC",0.5,0,0,P12,AP$4,"M","F",0.065,"GM71","GM71","MP","N","","","")</f>
        <v>0.78759575251678293</v>
      </c>
      <c r="AQ12" s="155">
        <f>[1]!BFCFAEQ("SLA",0,0,0,"JSC",0.5,0,0,P12,AQ$4,"M","F",0.065,"GM71","GM71","MP","N","","","")</f>
        <v>0.78926551065879813</v>
      </c>
      <c r="AR12" s="155">
        <f>[1]!BFCFAEQ("SLA",0,0,0,"JSC",0.5,0,0,P12,AR$4,"M","F",0.065,"GM71","GM71","MP","N","","","")</f>
        <v>0.7910250113318873</v>
      </c>
      <c r="AS12" s="155">
        <f>[1]!BFCFAEQ("SLA",0,0,0,"JSC",0.5,0,0,P12,AS$4,"M","F",0.065,"GM71","GM71","MP","N","","","")</f>
        <v>0.79287779212796461</v>
      </c>
      <c r="AT12" s="155">
        <f>[1]!BFCFAEQ("SLA",0,0,0,"JSC",0.5,0,0,P12,AT$4,"M","F",0.065,"GM71","GM71","MP","N","","","")</f>
        <v>0.79482761164946658</v>
      </c>
      <c r="AU12" s="155">
        <f>[1]!BFCFAEQ("SLA",0,0,0,"JSC",0.5,0,0,P12,AU$4,"M","F",0.065,"GM71","GM71","MP","N","","","")</f>
        <v>0.79687793984677735</v>
      </c>
      <c r="AV12" s="155">
        <f>[1]!BFCFAEQ("SLA",0,0,0,"JSC",0.5,0,0,P12,AV$4,"M","F",0.065,"GM71","GM71","MP","N","","","")</f>
        <v>0.79903227127473175</v>
      </c>
      <c r="AW12" s="155">
        <f>[1]!BFCFAEQ("SLA",0,0,0,"JSC",0.5,0,0,P12,AW$4,"M","F",0.065,"GM71","GM71","MP","N","","","")</f>
        <v>0.80129410165514658</v>
      </c>
      <c r="AX12" s="155">
        <f>[1]!BFCFAEQ("SLA",0,0,0,"JSC",0.5,0,0,P12,AX$4,"M","F",0.065,"GM71","GM71","MP","N","","","")</f>
        <v>0.80366674243346159</v>
      </c>
      <c r="AY12" s="155">
        <f>[1]!BFCFAEQ("SLA",0,0,0,"JSC",0.5,0,0,P12,AY$4,"M","F",0.065,"GM71","GM71","MP","N","","","")</f>
        <v>0.80615345334400046</v>
      </c>
      <c r="AZ12" s="155">
        <f>[1]!BFCFAEQ("SLA",0,0,0,"JSC",0.5,0,0,P12,AZ$4,"M","F",0.065,"GM71","GM71","MP","N","","","")</f>
        <v>0.80875709720958522</v>
      </c>
      <c r="BA12" s="155">
        <f>[1]!BFCFAEQ("SLA",0,0,0,"JSC",0.5,0,0,P12,BA$4,"M","F",0.065,"GM71","GM71","MP","N","","","")</f>
        <v>0.8114807295560279</v>
      </c>
      <c r="BB12" s="155">
        <f>[1]!BFCFAEQ("SLA",0,0,0,"JSC",0.5,0,0,P12,BB$4,"M","F",0.065,"GM71","GM71","MP","N","","","")</f>
        <v>0.81432677914105944</v>
      </c>
      <c r="BC12" s="155">
        <f>[1]!BFCFAEQ("SLA",0,0,0,"JSC",0.5,0,0,P12,BC$4,"M","F",0.065,"GM71","GM71","MP","N","","","")</f>
        <v>0.8172971745765627</v>
      </c>
      <c r="BD12" s="155">
        <f>[1]!BFCFAEQ("SLA",0,0,0,"JSC",0.5,0,0,P12,BD$4,"M","F",0.065,"GM71","GM71","MP","N","","","")</f>
        <v>0.82039375357939281</v>
      </c>
      <c r="BE12" s="155">
        <f>[1]!BFCFAEQ("SLA",0,0,0,"JSC",0.5,0,0,P12,BE$4,"M","F",0.065,"GM71","GM71","MP","N","","","")</f>
        <v>0.82361775827608952</v>
      </c>
      <c r="BF12" s="155">
        <f>[1]!BFCFAEQ("SLA",0,0,0,"JSC",0.5,0,0,P12,BF$4,"M","F",0.065,"GM71","GM71","MP","N","","","")</f>
        <v>0.82696721278941265</v>
      </c>
      <c r="BG12" s="155">
        <f>[1]!BFCFAEQ("SLA",0,0,0,"JSC",0.5,0,0,P12,BG$4,"M","F",0.065,"GM71","GM71","MP","N","","","")</f>
        <v>0.83043667062160165</v>
      </c>
      <c r="BH12" s="155">
        <f>[1]!BFCFAEQ("SLA",0,0,0,"JSC",0.5,0,0,P12,BH$4,"M","F",0.065,"GM71","GM71","MP","N","","","")</f>
        <v>0.8340214836915697</v>
      </c>
      <c r="BI12" s="155">
        <f>[1]!BFCFAEQ("SLA",0,0,0,"JSC",0.5,0,0,P12,BI$4,"M","F",0.065,"GM71","GM71","MP","N","","","")</f>
        <v>0.8377169031231223</v>
      </c>
      <c r="BJ12" s="155">
        <f>[1]!BFCFAEQ("SLA",0,0,0,"JSC",0.5,0,0,P12,BJ$4,"M","F",0.065,"GM71","GM71","MP","N","","","")</f>
        <v>0.8415187327208854</v>
      </c>
      <c r="BK12" s="155">
        <f>[1]!BFCFAEQ("SLA",0,0,0,"JSC",0.5,0,0,P12,BK$4,"M","F",0.065,"GM71","GM71","MP","N","","","")</f>
        <v>0.84542271824693926</v>
      </c>
      <c r="BL12" s="155">
        <f>[1]!BFCFAEQ("SLA",0,0,0,"JSC",0.5,0,0,P12,BL$4,"M","F",0.065,"GM71","GM71","MP","N","","","")</f>
        <v>0.84942476300388003</v>
      </c>
      <c r="BM12" s="155">
        <f>[1]!BFCFAEQ("SLA",0,0,0,"JSC",0.5,0,0,P12,BM$4,"M","F",0.065,"GM71","GM71","MP","N","","","")</f>
        <v>0.85352072839439874</v>
      </c>
      <c r="BN12" s="155">
        <f>[1]!BFCFAEQ("SLA",0,0,0,"JSC",0.5,0,0,P12,BN$4,"M","F",0.065,"GM71","GM71","MP","N","","","")</f>
        <v>0.8577061240278433</v>
      </c>
      <c r="BO12" s="155">
        <f>[1]!BFCFAEQ("SLA",0,0,0,"JSC",0.5,0,0,P12,BO$4,"M","F",0.065,"GM71","GM71","MP","N","","","")</f>
        <v>0.86197666946094853</v>
      </c>
      <c r="BP12" s="155">
        <f>[1]!BFCFAEQ("SLA",0,0,0,"JSC",0.5,0,0,P12,BP$4,"M","F",0.065,"GM71","GM71","MP","N","","","")</f>
        <v>0.86632712917273247</v>
      </c>
      <c r="BQ12" s="155">
        <f>[1]!BFCFAEQ("SLA",0,0,0,"JSC",0.5,0,0,P12,BQ$4,"M","F",0.065,"GM71","GM71","MP","N","","","")</f>
        <v>0.87075246887178159</v>
      </c>
      <c r="BR12" s="155">
        <f>[1]!BFCFAEQ("SLA",0,0,0,"JSC",0.5,0,0,P12,BR$4,"M","F",0.065,"GM71","GM71","MP","N","","","")</f>
        <v>0.87524672384011326</v>
      </c>
      <c r="BS12" s="155">
        <f>[1]!BFCFAEQ("SLA",0,0,0,"JSC",0.5,0,0,P12,BS$4,"M","F",0.065,"GM71","GM71","MP","N","","","")</f>
        <v>0.87980353494295394</v>
      </c>
      <c r="BT12" s="155">
        <f>[1]!BFCFAEQ("SLA",0,0,0,"JSC",0.5,0,0,P12,BT$4,"M","F",0.065,"GM71","GM71","MP","N","","","")</f>
        <v>0.88441565420555324</v>
      </c>
      <c r="BU12" s="155">
        <f>[1]!BFCFAEQ("SLA",0,0,0,"JSC",0.5,0,0,P12,BU$4,"M","F",0.065,"GM71","GM71","MP","N","","","")</f>
        <v>0.88907553032922004</v>
      </c>
      <c r="BV12" s="155">
        <f>[1]!BFCFAEQ("SLA",0,0,0,"JSC",0.5,0,0,P12,BV$4,"M","F",0.065,"GM71","GM71","MP","N","","","")</f>
        <v>0.89377442030896481</v>
      </c>
      <c r="BW12" s="155">
        <f>[1]!BFCFAEQ("SLA",0,0,0,"JSC",0.5,0,0,P12,BW$4,"M","F",0.065,"GM71","GM71","MP","N","","","")</f>
        <v>0.89849918920149585</v>
      </c>
      <c r="BX12" s="155">
        <f>[1]!BFCFAEQ("SLA",0,0,0,"JSC",0.5,0,0,P12,BX$4,"M","F",0.065,"GM71","GM71","MP","N","","","")</f>
        <v>0.90322657400131046</v>
      </c>
      <c r="BY12" s="155">
        <f>[1]!BFCFAEQ("SLA",0,0,0,"JSC",0.5,0,0,P12,BY$4,"M","F",0.065,"GM71","GM71","MP","N","","","")</f>
        <v>0.90793700183485815</v>
      </c>
      <c r="BZ12" s="155">
        <f>[1]!BFCFAEQ("SLA",0,0,0,"JSC",0.5,0,0,P12,BZ$4,"M","F",0.065,"GM71","GM71","MP","N","","","")</f>
        <v>0.9126149517784844</v>
      </c>
      <c r="CA12" s="155">
        <f>[1]!BFCFAEQ("SLA",0,0,0,"JSC",0.5,0,0,P12,CA$4,"M","F",0.065,"GM71","GM71","MP","N","","","")</f>
        <v>0.91724759508399067</v>
      </c>
      <c r="CB12" s="155">
        <f>[1]!BFCFAEQ("SLA",0,0,0,"JSC",0.5,0,0,P12,CB$4,"M","F",0.065,"GM71","GM71","MP","N","","","")</f>
        <v>0.92182075640963368</v>
      </c>
      <c r="CC12" s="155">
        <f>[1]!BFCFAEQ("SLA",0,0,0,"JSC",0.5,0,0,P12,CC$4,"M","F",0.065,"GM71","GM71","MP","N","","","")</f>
        <v>0.92631451187225466</v>
      </c>
      <c r="CD12" s="155">
        <f>[1]!BFCFAEQ("SLA",0,0,0,"JSC",0.5,0,0,P12,CD$4,"M","F",0.065,"GM71","GM71","MP","N","","","")</f>
        <v>0.93070591312322237</v>
      </c>
      <c r="CE12" s="155">
        <f>[1]!BFCFAEQ("SLA",0,0,0,"JSC",0.5,0,0,P12,CE$4,"M","F",0.065,"GM71","GM71","MP","N","","","")</f>
        <v>0.9349752139931885</v>
      </c>
      <c r="CF12" s="155">
        <f>[1]!BFCFAEQ("SLA",0,0,0,"JSC",0.5,0,0,P12,CF$4,"M","F",0.065,"GM71","GM71","MP","N","","","")</f>
        <v>0.93910722764336629</v>
      </c>
      <c r="CG12" s="155">
        <f>[1]!BFCFAEQ("SLA",0,0,0,"JSC",0.5,0,0,P12,CG$4,"M","F",0.065,"GM71","GM71","MP","N","","","")</f>
        <v>0.94309490302564403</v>
      </c>
      <c r="CH12" s="155">
        <f>[1]!BFCFAEQ("SLA",0,0,0,"JSC",0.5,0,0,P12,CH$4,"M","F",0.065,"GM71","GM71","MP","N","","","")</f>
        <v>0.94692368745666478</v>
      </c>
      <c r="CI12" s="155">
        <f>[1]!BFCFAEQ("SLA",0,0,0,"JSC",0.5,0,0,P12,CI$4,"M","F",0.065,"GM71","GM71","MP","N","","","")</f>
        <v>0.95058055137708164</v>
      </c>
      <c r="CJ12" s="155">
        <f>[1]!BFCFAEQ("SLA",0,0,0,"JSC",0.5,0,0,P12,CJ$4,"M","F",0.065,"GM71","GM71","MP","N","","","")</f>
        <v>0.9540656023294467</v>
      </c>
      <c r="CK12" s="155">
        <f>[1]!BFCFAEQ("SLA",0,0,0,"JSC",0.5,0,0,P12,CK$4,"M","F",0.065,"GM71","GM71","MP","N","","","")</f>
        <v>0.95739394655146359</v>
      </c>
      <c r="CL12" s="155">
        <f>[1]!BFCFAEQ("SLA",0,0,0,"JSC",0.5,0,0,P12,CL$4,"M","F",0.065,"GM71","GM71","MP","N","","","")</f>
        <v>0.96058115412605638</v>
      </c>
      <c r="CM12" s="155">
        <f>[1]!BFCFAEQ("SLA",0,0,0,"JSC",0.5,0,0,P12,CM$4,"M","F",0.065,"GM71","GM71","MP","N","","","")</f>
        <v>0.96363089342511632</v>
      </c>
      <c r="CN12" s="257">
        <f>ROUND([1]!NPVF2("MP","SLA","N",0.05,"M",$P12,$P12,0,0,120,0,"UP84","UP84","P","","")/[1]!NPVF2("MP","JSC","N",0.05,"M",$P12,$P12,CN$4,0.5,0,0,"UP84","UP84","P","",""),4)</f>
        <v>1.0303</v>
      </c>
      <c r="CO12" s="257">
        <f>ROUND([1]!NPVF2("MP","SLA","N",0.05,"M",$P12,$P12,0,0,120,0,"UP84","UP84","P","","")/[1]!NPVF2("MP","JSC","N",0.05,"M",$P12,$P12,CO$4,0.5,0,0,"UP84","UP84","P","",""),4)</f>
        <v>1.0336000000000001</v>
      </c>
      <c r="CP12" s="257">
        <f>ROUND([1]!NPVF2("MP","SLA","N",0.05,"M",$P12,$P12,0,0,120,0,"UP84","UP84","P","","")/[1]!NPVF2("MP","JSC","N",0.05,"M",$P12,$P12,CP$4,0.5,0,0,"UP84","UP84","P","",""),4)</f>
        <v>1.0367</v>
      </c>
      <c r="CQ12" s="257">
        <f>ROUND([1]!NPVF2("MP","SLA","N",0.05,"M",$P12,$P12,0,0,120,0,"UP84","UP84","P","","")/[1]!NPVF2("MP","JSC","N",0.05,"M",$P12,$P12,CQ$4,0.5,0,0,"UP84","UP84","P","",""),4)</f>
        <v>1.0396000000000001</v>
      </c>
      <c r="CR12" s="257">
        <f>ROUND([1]!NPVF2("MP","SLA","N",0.05,"M",$P12,$P12,0,0,120,0,"UP84","UP84","P","","")/[1]!NPVF2("MP","JSC","N",0.05,"M",$P12,$P12,CR$4,0.5,0,0,"UP84","UP84","P","",""),4)</f>
        <v>1.0423</v>
      </c>
      <c r="CS12" s="257">
        <f>ROUND([1]!NPVF2("MP","SLA","N",0.05,"M",$P12,$P12,0,0,120,0,"UP84","UP84","P","","")/[1]!NPVF2("MP","JSC","N",0.05,"M",$P12,$P12,CS$4,0.5,0,0,"UP84","UP84","P","",""),4)</f>
        <v>1.0448</v>
      </c>
      <c r="CT12" s="257">
        <f>ROUND([1]!NPVF2("MP","SLA","N",0.05,"M",$P12,$P12,0,0,120,0,"UP84","UP84","P","","")/[1]!NPVF2("MP","JSC","N",0.05,"M",$P12,$P12,CT$4,0.5,0,0,"UP84","UP84","P","",""),4)</f>
        <v>1.0470999999999999</v>
      </c>
      <c r="CU12" s="257">
        <f>ROUND([1]!NPVF2("MP","SLA","N",0.05,"M",$P12,$P12,0,0,120,0,"UP84","UP84","P","","")/[1]!NPVF2("MP","JSC","N",0.05,"M",$P12,$P12,CU$4,0.5,0,0,"UP84","UP84","P","",""),4)</f>
        <v>1.0492999999999999</v>
      </c>
      <c r="CV12" s="257">
        <f>ROUND([1]!NPVF2("MP","SLA","N",0.05,"M",$P12,$P12,0,0,120,0,"UP84","UP84","P","","")/[1]!NPVF2("MP","JSC","N",0.05,"M",$P12,$P12,CV$4,0.5,0,0,"UP84","UP84","P","",""),4)</f>
        <v>1.0512999999999999</v>
      </c>
      <c r="CW12" s="258">
        <f>ROUND([1]!NPVF2("MP","SLA","N",0.05,"M",$P12,$P12,0,0,120,0,"UP84","UP84","P","","")/[1]!NPVF2("MP","JSC","N",0.05,"M",$P12,$P12,CW$4,0.5,0,0,"UP84","UP84","P","",""),4)</f>
        <v>1.0531999999999999</v>
      </c>
      <c r="CX12" s="62"/>
      <c r="CY12" s="343" t="s">
        <v>462</v>
      </c>
      <c r="CZ12" s="342"/>
      <c r="DH12" s="66"/>
      <c r="DO12" s="46">
        <f>SUM(DO6:DO11)</f>
        <v>0</v>
      </c>
      <c r="DP12" s="46"/>
      <c r="DQ12" s="46">
        <f>SUM(DQ6:DQ11)</f>
        <v>0</v>
      </c>
      <c r="DW12" s="93">
        <v>1916</v>
      </c>
      <c r="DX12" s="16">
        <v>8460</v>
      </c>
      <c r="DY12" s="47">
        <v>8460</v>
      </c>
      <c r="DZ12" s="47">
        <v>8460</v>
      </c>
      <c r="EA12" s="47">
        <v>8460</v>
      </c>
      <c r="EB12" s="47">
        <v>8460</v>
      </c>
      <c r="EC12" s="47">
        <v>8460</v>
      </c>
      <c r="ED12" s="47">
        <v>8460</v>
      </c>
      <c r="EE12" s="47">
        <v>8460</v>
      </c>
      <c r="EF12" s="47">
        <v>8460</v>
      </c>
      <c r="EG12" s="47">
        <v>8460</v>
      </c>
      <c r="EH12" s="47">
        <v>8460</v>
      </c>
      <c r="EI12" s="47">
        <v>8460</v>
      </c>
      <c r="EJ12" s="47">
        <v>8460</v>
      </c>
      <c r="EK12" s="208">
        <v>8460</v>
      </c>
      <c r="EN12" s="43">
        <v>1916</v>
      </c>
      <c r="EO12" s="106"/>
      <c r="EP12" s="127"/>
      <c r="EQ12" s="149"/>
      <c r="ER12" s="127"/>
      <c r="ES12" s="127"/>
      <c r="ET12" s="127"/>
      <c r="EU12" s="127"/>
      <c r="EV12" s="41">
        <v>8460</v>
      </c>
      <c r="EW12" s="127">
        <v>8460</v>
      </c>
      <c r="EX12" s="202">
        <v>8460</v>
      </c>
      <c r="EY12" s="47">
        <v>8460</v>
      </c>
      <c r="EZ12" s="47">
        <v>8460</v>
      </c>
      <c r="FA12" s="47">
        <v>8460</v>
      </c>
      <c r="FB12" s="47">
        <v>8460</v>
      </c>
      <c r="FC12" s="47">
        <v>8460</v>
      </c>
      <c r="FD12" s="47">
        <v>8460</v>
      </c>
      <c r="FE12" s="47">
        <v>8460</v>
      </c>
      <c r="FF12" s="47">
        <v>8460</v>
      </c>
      <c r="FG12" s="47">
        <v>8460</v>
      </c>
      <c r="FH12" s="47">
        <v>8460</v>
      </c>
      <c r="FI12" s="47">
        <v>8460</v>
      </c>
      <c r="FJ12" s="47">
        <v>8460</v>
      </c>
      <c r="FK12" s="208">
        <v>8460</v>
      </c>
    </row>
    <row r="13" spans="1:167" ht="15.75">
      <c r="A13" s="164">
        <v>57</v>
      </c>
      <c r="B13" s="122">
        <v>0.53</v>
      </c>
      <c r="C13" s="62"/>
      <c r="D13" s="209">
        <f t="shared" si="0"/>
        <v>8</v>
      </c>
      <c r="E13" s="126">
        <f>[1]!PBGCLRF(65+D13/12)</f>
        <v>1.0667</v>
      </c>
      <c r="F13" s="62"/>
      <c r="G13" s="175">
        <v>5</v>
      </c>
      <c r="H13" s="151">
        <v>1</v>
      </c>
      <c r="I13" s="62"/>
      <c r="J13" s="19">
        <v>9</v>
      </c>
      <c r="K13" s="122">
        <f t="shared" si="1"/>
        <v>0.95000000000000018</v>
      </c>
      <c r="L13" s="62"/>
      <c r="M13" s="297">
        <v>9</v>
      </c>
      <c r="N13" s="122">
        <f>[1]!LRFAEQ(0.065,"M",65,M13,0,"GM71","GM71","MP","Y","N","",65)</f>
        <v>1.0902915487406062</v>
      </c>
      <c r="O13" s="62"/>
      <c r="P13" s="130">
        <v>63</v>
      </c>
      <c r="Q13" s="155">
        <f>[1]!BFCFAEQ("SLA",0,0,0,"JSC",0.5,0,0,P13,Q$4,"M","F",0.065,"GM71","GM71","MP","N","","","")</f>
        <v>0.75344533780428768</v>
      </c>
      <c r="R13" s="155">
        <f>[1]!BFCFAEQ("SLA",0,0,0,"JSC",0.5,0,0,P13,R$4,"M","F",0.065,"GM71","GM71","MP","N","","","")</f>
        <v>0.75390696957164183</v>
      </c>
      <c r="S13" s="155">
        <f>[1]!BFCFAEQ("SLA",0,0,0,"JSC",0.5,0,0,P13,S$4,"M","F",0.065,"GM71","GM71","MP","N","","","")</f>
        <v>0.75439393318217995</v>
      </c>
      <c r="T13" s="155">
        <f>[1]!BFCFAEQ("SLA",0,0,0,"JSC",0.5,0,0,P13,T$4,"M","F",0.065,"GM71","GM71","MP","N","","","")</f>
        <v>0.75490757281489818</v>
      </c>
      <c r="U13" s="155">
        <f>[1]!BFCFAEQ("SLA",0,0,0,"JSC",0.5,0,0,P13,U$4,"M","F",0.065,"GM71","GM71","MP","N","","","")</f>
        <v>0.75544930993779336</v>
      </c>
      <c r="V13" s="155">
        <f>[1]!BFCFAEQ("SLA",0,0,0,"JSC",0.5,0,0,P13,V$4,"M","F",0.065,"GM71","GM71","MP","N","","","")</f>
        <v>0.75593650583882177</v>
      </c>
      <c r="W13" s="155">
        <f>[1]!BFCFAEQ("SLA",0,0,0,"JSC",0.5,0,0,P13,W$4,"M","F",0.065,"GM71","GM71","MP","N","","","")</f>
        <v>0.75646128049942007</v>
      </c>
      <c r="X13" s="155">
        <f>[1]!BFCFAEQ("SLA",0,0,0,"JSC",0.5,0,0,P13,X$4,"M","F",0.065,"GM71","GM71","MP","N","","","")</f>
        <v>0.75702350902374549</v>
      </c>
      <c r="Y13" s="155">
        <f>[1]!BFCFAEQ("SLA",0,0,0,"JSC",0.5,0,0,P13,Y$4,"M","F",0.065,"GM71","GM71","MP","N","","","")</f>
        <v>0.75762335355347421</v>
      </c>
      <c r="Z13" s="155">
        <f>[1]!BFCFAEQ("SLA",0,0,0,"JSC",0.5,0,0,P13,Z$4,"M","F",0.065,"GM71","GM71","MP","N","","","")</f>
        <v>0.75826145557972602</v>
      </c>
      <c r="AA13" s="155">
        <f>[1]!BFCFAEQ("SLA",0,0,0,"JSC",0.5,0,0,P13,AA$4,"M","F",0.065,"GM71","GM71","MP","N","","","")</f>
        <v>0.75893930802458509</v>
      </c>
      <c r="AB13" s="155">
        <f>[1]!BFCFAEQ("SLA",0,0,0,"JSC",0.5,0,0,P13,AB$4,"M","F",0.065,"GM71","GM71","MP","N","","","")</f>
        <v>0.75965815904377443</v>
      </c>
      <c r="AC13" s="155">
        <f>[1]!BFCFAEQ("SLA",0,0,0,"JSC",0.5,0,0,P13,AC$4,"M","F",0.065,"GM71","GM71","MP","N","","","")</f>
        <v>0.76042029896321051</v>
      </c>
      <c r="AD13" s="155">
        <f>[1]!BFCFAEQ("SLA",0,0,0,"JSC",0.5,0,0,P13,AD$4,"M","F",0.065,"GM71","GM71","MP","N","","","")</f>
        <v>0.76122832732537604</v>
      </c>
      <c r="AE13" s="155">
        <f>[1]!BFCFAEQ("SLA",0,0,0,"JSC",0.5,0,0,P13,AE$4,"M","F",0.065,"GM71","GM71","MP","N","","","")</f>
        <v>0.76208479057931255</v>
      </c>
      <c r="AF13" s="155">
        <f>[1]!BFCFAEQ("SLA",0,0,0,"JSC",0.5,0,0,P13,AF$4,"M","F",0.065,"GM71","GM71","MP","N","","","")</f>
        <v>0.7629921867659003</v>
      </c>
      <c r="AG13" s="155">
        <f>[1]!BFCFAEQ("SLA",0,0,0,"JSC",0.5,0,0,P13,AG$4,"M","F",0.065,"GM71","GM71","MP","N","","","")</f>
        <v>0.76395351166349668</v>
      </c>
      <c r="AH13" s="155">
        <f>[1]!BFCFAEQ("SLA",0,0,0,"JSC",0.5,0,0,P13,AH$4,"M","F",0.065,"GM71","GM71","MP","N","","","")</f>
        <v>0.76497153480625812</v>
      </c>
      <c r="AI13" s="155">
        <f>[1]!BFCFAEQ("SLA",0,0,0,"JSC",0.5,0,0,P13,AI$4,"M","F",0.065,"GM71","GM71","MP","N","","","")</f>
        <v>0.76604934345658304</v>
      </c>
      <c r="AJ13" s="155">
        <f>[1]!BFCFAEQ("SLA",0,0,0,"JSC",0.5,0,0,P13,AJ$4,"M","F",0.065,"GM71","GM71","MP","N","","","")</f>
        <v>0.76719016040548138</v>
      </c>
      <c r="AK13" s="155">
        <f>[1]!BFCFAEQ("SLA",0,0,0,"JSC",0.5,0,0,P13,AK$4,"M","F",0.065,"GM71","GM71","MP","N","","","")</f>
        <v>0.76839716400269475</v>
      </c>
      <c r="AL13" s="155">
        <f>[1]!BFCFAEQ("SLA",0,0,0,"JSC",0.5,0,0,P13,AL$4,"M","F",0.065,"GM71","GM71","MP","N","","","")</f>
        <v>0.76967366639693202</v>
      </c>
      <c r="AM13" s="155">
        <f>[1]!BFCFAEQ("SLA",0,0,0,"JSC",0.5,0,0,P13,AM$4,"M","F",0.065,"GM71","GM71","MP","N","","","")</f>
        <v>0.77102293357179341</v>
      </c>
      <c r="AN13" s="155">
        <f>[1]!BFCFAEQ("SLA",0,0,0,"JSC",0.5,0,0,P13,AN$4,"M","F",0.065,"GM71","GM71","MP","N","","","")</f>
        <v>0.77244888870837003</v>
      </c>
      <c r="AO13" s="155">
        <f>[1]!BFCFAEQ("SLA",0,0,0,"JSC",0.5,0,0,P13,AO$4,"M","F",0.065,"GM71","GM71","MP","N","","","")</f>
        <v>0.77395504321693342</v>
      </c>
      <c r="AP13" s="155">
        <f>[1]!BFCFAEQ("SLA",0,0,0,"JSC",0.5,0,0,P13,AP$4,"M","F",0.065,"GM71","GM71","MP","N","","","")</f>
        <v>0.77554502474796838</v>
      </c>
      <c r="AQ13" s="155">
        <f>[1]!BFCFAEQ("SLA",0,0,0,"JSC",0.5,0,0,P13,AQ$4,"M","F",0.065,"GM71","GM71","MP","N","","","")</f>
        <v>0.77722256965118464</v>
      </c>
      <c r="AR13" s="155">
        <f>[1]!BFCFAEQ("SLA",0,0,0,"JSC",0.5,0,0,P13,AR$4,"M","F",0.065,"GM71","GM71","MP","N","","","")</f>
        <v>0.77899151387604149</v>
      </c>
      <c r="AS13" s="155">
        <f>[1]!BFCFAEQ("SLA",0,0,0,"JSC",0.5,0,0,P13,AS$4,"M","F",0.065,"GM71","GM71","MP","N","","","")</f>
        <v>0.78085561080996879</v>
      </c>
      <c r="AT13" s="155">
        <f>[1]!BFCFAEQ("SLA",0,0,0,"JSC",0.5,0,0,P13,AT$4,"M","F",0.065,"GM71","GM71","MP","N","","","")</f>
        <v>0.78281886436768611</v>
      </c>
      <c r="AU13" s="155">
        <f>[1]!BFCFAEQ("SLA",0,0,0,"JSC",0.5,0,0,P13,AU$4,"M","F",0.065,"GM71","GM71","MP","N","","","")</f>
        <v>0.78488500062313538</v>
      </c>
      <c r="AV13" s="155">
        <f>[1]!BFCFAEQ("SLA",0,0,0,"JSC",0.5,0,0,P13,AV$4,"M","F",0.065,"GM71","GM71","MP","N","","","")</f>
        <v>0.78705779692701339</v>
      </c>
      <c r="AW13" s="155">
        <f>[1]!BFCFAEQ("SLA",0,0,0,"JSC",0.5,0,0,P13,AW$4,"M","F",0.065,"GM71","GM71","MP","N","","","")</f>
        <v>0.78934106059207376</v>
      </c>
      <c r="AX13" s="155">
        <f>[1]!BFCFAEQ("SLA",0,0,0,"JSC",0.5,0,0,P13,AX$4,"M","F",0.065,"GM71","GM71","MP","N","","","")</f>
        <v>0.79173843826771972</v>
      </c>
      <c r="AY13" s="155">
        <f>[1]!BFCFAEQ("SLA",0,0,0,"JSC",0.5,0,0,P13,AY$4,"M","F",0.065,"GM71","GM71","MP","N","","","")</f>
        <v>0.79425355728811908</v>
      </c>
      <c r="AZ13" s="155">
        <f>[1]!BFCFAEQ("SLA",0,0,0,"JSC",0.5,0,0,P13,AZ$4,"M","F",0.065,"GM71","GM71","MP","N","","","")</f>
        <v>0.79688966790861004</v>
      </c>
      <c r="BA13" s="155">
        <f>[1]!BFCFAEQ("SLA",0,0,0,"JSC",0.5,0,0,P13,BA$4,"M","F",0.065,"GM71","GM71","MP","N","","","")</f>
        <v>0.7996502632482817</v>
      </c>
      <c r="BB13" s="155">
        <f>[1]!BFCFAEQ("SLA",0,0,0,"JSC",0.5,0,0,P13,BB$4,"M","F",0.065,"GM71","GM71","MP","N","","","")</f>
        <v>0.8025382251897305</v>
      </c>
      <c r="BC13" s="155">
        <f>[1]!BFCFAEQ("SLA",0,0,0,"JSC",0.5,0,0,P13,BC$4,"M","F",0.065,"GM71","GM71","MP","N","","","")</f>
        <v>0.80555595857671258</v>
      </c>
      <c r="BD13" s="155">
        <f>[1]!BFCFAEQ("SLA",0,0,0,"JSC",0.5,0,0,P13,BD$4,"M","F",0.065,"GM71","GM71","MP","N","","","")</f>
        <v>0.80870582264049906</v>
      </c>
      <c r="BE13" s="155">
        <f>[1]!BFCFAEQ("SLA",0,0,0,"JSC",0.5,0,0,P13,BE$4,"M","F",0.065,"GM71","GM71","MP","N","","","")</f>
        <v>0.81198960408892396</v>
      </c>
      <c r="BF13" s="155">
        <f>[1]!BFCFAEQ("SLA",0,0,0,"JSC",0.5,0,0,P13,BF$4,"M","F",0.065,"GM71","GM71","MP","N","","","")</f>
        <v>0.81540575915436309</v>
      </c>
      <c r="BG13" s="155">
        <f>[1]!BFCFAEQ("SLA",0,0,0,"JSC",0.5,0,0,P13,BG$4,"M","F",0.065,"GM71","GM71","MP","N","","","")</f>
        <v>0.81894913345228482</v>
      </c>
      <c r="BH13" s="155">
        <f>[1]!BFCFAEQ("SLA",0,0,0,"JSC",0.5,0,0,P13,BH$4,"M","F",0.065,"GM71","GM71","MP","N","","","")</f>
        <v>0.82261544397944397</v>
      </c>
      <c r="BI13" s="155">
        <f>[1]!BFCFAEQ("SLA",0,0,0,"JSC",0.5,0,0,P13,BI$4,"M","F",0.065,"GM71","GM71","MP","N","","","")</f>
        <v>0.8264003339442445</v>
      </c>
      <c r="BJ13" s="155">
        <f>[1]!BFCFAEQ("SLA",0,0,0,"JSC",0.5,0,0,P13,BJ$4,"M","F",0.065,"GM71","GM71","MP","N","","","")</f>
        <v>0.83030006187231853</v>
      </c>
      <c r="BK13" s="155">
        <f>[1]!BFCFAEQ("SLA",0,0,0,"JSC",0.5,0,0,P13,BK$4,"M","F",0.065,"GM71","GM71","MP","N","","","")</f>
        <v>0.83431085839879937</v>
      </c>
      <c r="BL13" s="155">
        <f>[1]!BFCFAEQ("SLA",0,0,0,"JSC",0.5,0,0,P13,BL$4,"M","F",0.065,"GM71","GM71","MP","N","","","")</f>
        <v>0.83842915332527712</v>
      </c>
      <c r="BM13" s="155">
        <f>[1]!BFCFAEQ("SLA",0,0,0,"JSC",0.5,0,0,P13,BM$4,"M","F",0.065,"GM71","GM71","MP","N","","","")</f>
        <v>0.84265136299188947</v>
      </c>
      <c r="BN13" s="155">
        <f>[1]!BFCFAEQ("SLA",0,0,0,"JSC",0.5,0,0,P13,BN$4,"M","F",0.065,"GM71","GM71","MP","N","","","")</f>
        <v>0.84697355701573751</v>
      </c>
      <c r="BO13" s="155">
        <f>[1]!BFCFAEQ("SLA",0,0,0,"JSC",0.5,0,0,P13,BO$4,"M","F",0.065,"GM71","GM71","MP","N","","","")</f>
        <v>0.85139204794900591</v>
      </c>
      <c r="BP13" s="155">
        <f>[1]!BFCFAEQ("SLA",0,0,0,"JSC",0.5,0,0,P13,BP$4,"M","F",0.065,"GM71","GM71","MP","N","","","")</f>
        <v>0.85590214639281414</v>
      </c>
      <c r="BQ13" s="155">
        <f>[1]!BFCFAEQ("SLA",0,0,0,"JSC",0.5,0,0,P13,BQ$4,"M","F",0.065,"GM71","GM71","MP","N","","","")</f>
        <v>0.8604993817804204</v>
      </c>
      <c r="BR13" s="155">
        <f>[1]!BFCFAEQ("SLA",0,0,0,"JSC",0.5,0,0,P13,BR$4,"M","F",0.065,"GM71","GM71","MP","N","","","")</f>
        <v>0.86517829070307928</v>
      </c>
      <c r="BS13" s="155">
        <f>[1]!BFCFAEQ("SLA",0,0,0,"JSC",0.5,0,0,P13,BS$4,"M","F",0.065,"GM71","GM71","MP","N","","","")</f>
        <v>0.86993297782085632</v>
      </c>
      <c r="BT13" s="155">
        <f>[1]!BFCFAEQ("SLA",0,0,0,"JSC",0.5,0,0,P13,BT$4,"M","F",0.065,"GM71","GM71","MP","N","","","")</f>
        <v>0.87475657538665841</v>
      </c>
      <c r="BU13" s="155">
        <f>[1]!BFCFAEQ("SLA",0,0,0,"JSC",0.5,0,0,P13,BU$4,"M","F",0.065,"GM71","GM71","MP","N","","","")</f>
        <v>0.87964185508636339</v>
      </c>
      <c r="BV13" s="155">
        <f>[1]!BFCFAEQ("SLA",0,0,0,"JSC",0.5,0,0,P13,BV$4,"M","F",0.065,"GM71","GM71","MP","N","","","")</f>
        <v>0.88458025964330989</v>
      </c>
      <c r="BW13" s="155">
        <f>[1]!BFCFAEQ("SLA",0,0,0,"JSC",0.5,0,0,P13,BW$4,"M","F",0.065,"GM71","GM71","MP","N","","","")</f>
        <v>0.8895584321776564</v>
      </c>
      <c r="BX13" s="155">
        <f>[1]!BFCFAEQ("SLA",0,0,0,"JSC",0.5,0,0,P13,BX$4,"M","F",0.065,"GM71","GM71","MP","N","","","")</f>
        <v>0.89455196870283016</v>
      </c>
      <c r="BY13" s="155">
        <f>[1]!BFCFAEQ("SLA",0,0,0,"JSC",0.5,0,0,P13,BY$4,"M","F",0.065,"GM71","GM71","MP","N","","","")</f>
        <v>0.89954024113650355</v>
      </c>
      <c r="BZ13" s="155">
        <f>[1]!BFCFAEQ("SLA",0,0,0,"JSC",0.5,0,0,P13,BZ$4,"M","F",0.065,"GM71","GM71","MP","N","","","")</f>
        <v>0.90450680576712472</v>
      </c>
      <c r="CA13" s="155">
        <f>[1]!BFCFAEQ("SLA",0,0,0,"JSC",0.5,0,0,P13,CA$4,"M","F",0.065,"GM71","GM71","MP","N","","","")</f>
        <v>0.90943795466022892</v>
      </c>
      <c r="CB13" s="155">
        <f>[1]!BFCFAEQ("SLA",0,0,0,"JSC",0.5,0,0,P13,CB$4,"M","F",0.065,"GM71","GM71","MP","N","","","")</f>
        <v>0.91431835033642006</v>
      </c>
      <c r="CC13" s="155">
        <f>[1]!BFCFAEQ("SLA",0,0,0,"JSC",0.5,0,0,P13,CC$4,"M","F",0.065,"GM71","GM71","MP","N","","","")</f>
        <v>0.91912622877840122</v>
      </c>
      <c r="CD13" s="155">
        <f>[1]!BFCFAEQ("SLA",0,0,0,"JSC",0.5,0,0,P13,CD$4,"M","F",0.065,"GM71","GM71","MP","N","","","")</f>
        <v>0.92383632728958009</v>
      </c>
      <c r="CE13" s="155">
        <f>[1]!BFCFAEQ("SLA",0,0,0,"JSC",0.5,0,0,P13,CE$4,"M","F",0.065,"GM71","GM71","MP","N","","","")</f>
        <v>0.92842667044954985</v>
      </c>
      <c r="CF13" s="155">
        <f>[1]!BFCFAEQ("SLA",0,0,0,"JSC",0.5,0,0,P13,CF$4,"M","F",0.065,"GM71","GM71","MP","N","","","")</f>
        <v>0.93288009377696834</v>
      </c>
      <c r="CG13" s="155">
        <f>[1]!BFCFAEQ("SLA",0,0,0,"JSC",0.5,0,0,P13,CG$4,"M","F",0.065,"GM71","GM71","MP","N","","","")</f>
        <v>0.93718821303854483</v>
      </c>
      <c r="CH13" s="155">
        <f>[1]!BFCFAEQ("SLA",0,0,0,"JSC",0.5,0,0,P13,CH$4,"M","F",0.065,"GM71","GM71","MP","N","","","")</f>
        <v>0.94133431954382196</v>
      </c>
      <c r="CI13" s="155">
        <f>[1]!BFCFAEQ("SLA",0,0,0,"JSC",0.5,0,0,P13,CI$4,"M","F",0.065,"GM71","GM71","MP","N","","","")</f>
        <v>0.94530324528492715</v>
      </c>
      <c r="CJ13" s="155">
        <f>[1]!BFCFAEQ("SLA",0,0,0,"JSC",0.5,0,0,P13,CJ$4,"M","F",0.065,"GM71","GM71","MP","N","","","")</f>
        <v>0.94909418734970474</v>
      </c>
      <c r="CK13" s="155">
        <f>[1]!BFCFAEQ("SLA",0,0,0,"JSC",0.5,0,0,P13,CK$4,"M","F",0.065,"GM71","GM71","MP","N","","","")</f>
        <v>0.95272288454127008</v>
      </c>
      <c r="CL13" s="155">
        <f>[1]!BFCFAEQ("SLA",0,0,0,"JSC",0.5,0,0,P13,CL$4,"M","F",0.065,"GM71","GM71","MP","N","","","")</f>
        <v>0.95620566876795388</v>
      </c>
      <c r="CM13" s="155">
        <f>[1]!BFCFAEQ("SLA",0,0,0,"JSC",0.5,0,0,P13,CM$4,"M","F",0.065,"GM71","GM71","MP","N","","","")</f>
        <v>0.95954576613327314</v>
      </c>
      <c r="CN13" s="257">
        <f>ROUND([1]!NPVF2("MP","SLA","N",0.05,"M",$P13,$P13,0,0,120,0,"UP84","UP84","P","","")/[1]!NPVF2("MP","JSC","N",0.05,"M",$P13,$P13,CN$4,0.5,0,0,"UP84","UP84","P","",""),4)</f>
        <v>1.034</v>
      </c>
      <c r="CO13" s="257">
        <f>ROUND([1]!NPVF2("MP","SLA","N",0.05,"M",$P13,$P13,0,0,120,0,"UP84","UP84","P","","")/[1]!NPVF2("MP","JSC","N",0.05,"M",$P13,$P13,CO$4,0.5,0,0,"UP84","UP84","P","",""),4)</f>
        <v>1.0377000000000001</v>
      </c>
      <c r="CP13" s="257">
        <f>ROUND([1]!NPVF2("MP","SLA","N",0.05,"M",$P13,$P13,0,0,120,0,"UP84","UP84","P","","")/[1]!NPVF2("MP","JSC","N",0.05,"M",$P13,$P13,CP$4,0.5,0,0,"UP84","UP84","P","",""),4)</f>
        <v>1.0410999999999999</v>
      </c>
      <c r="CQ13" s="257">
        <f>ROUND([1]!NPVF2("MP","SLA","N",0.05,"M",$P13,$P13,0,0,120,0,"UP84","UP84","P","","")/[1]!NPVF2("MP","JSC","N",0.05,"M",$P13,$P13,CQ$4,0.5,0,0,"UP84","UP84","P","",""),4)</f>
        <v>1.0443</v>
      </c>
      <c r="CR13" s="257">
        <f>ROUND([1]!NPVF2("MP","SLA","N",0.05,"M",$P13,$P13,0,0,120,0,"UP84","UP84","P","","")/[1]!NPVF2("MP","JSC","N",0.05,"M",$P13,$P13,CR$4,0.5,0,0,"UP84","UP84","P","",""),4)</f>
        <v>1.0472999999999999</v>
      </c>
      <c r="CS13" s="257">
        <f>ROUND([1]!NPVF2("MP","SLA","N",0.05,"M",$P13,$P13,0,0,120,0,"UP84","UP84","P","","")/[1]!NPVF2("MP","JSC","N",0.05,"M",$P13,$P13,CS$4,0.5,0,0,"UP84","UP84","P","",""),4)</f>
        <v>1.05</v>
      </c>
      <c r="CT13" s="257">
        <f>ROUND([1]!NPVF2("MP","SLA","N",0.05,"M",$P13,$P13,0,0,120,0,"UP84","UP84","P","","")/[1]!NPVF2("MP","JSC","N",0.05,"M",$P13,$P13,CT$4,0.5,0,0,"UP84","UP84","P","",""),4)</f>
        <v>1.0526</v>
      </c>
      <c r="CU13" s="257">
        <f>ROUND([1]!NPVF2("MP","SLA","N",0.05,"M",$P13,$P13,0,0,120,0,"UP84","UP84","P","","")/[1]!NPVF2("MP","JSC","N",0.05,"M",$P13,$P13,CU$4,0.5,0,0,"UP84","UP84","P","",""),4)</f>
        <v>1.0549999999999999</v>
      </c>
      <c r="CV13" s="257">
        <f>ROUND([1]!NPVF2("MP","SLA","N",0.05,"M",$P13,$P13,0,0,120,0,"UP84","UP84","P","","")/[1]!NPVF2("MP","JSC","N",0.05,"M",$P13,$P13,CV$4,0.5,0,0,"UP84","UP84","P","",""),4)</f>
        <v>1.0572999999999999</v>
      </c>
      <c r="CW13" s="258">
        <f>ROUND([1]!NPVF2("MP","SLA","N",0.05,"M",$P13,$P13,0,0,120,0,"UP84","UP84","P","","")/[1]!NPVF2("MP","JSC","N",0.05,"M",$P13,$P13,CW$4,0.5,0,0,"UP84","UP84","P","",""),4)</f>
        <v>1.0592999999999999</v>
      </c>
      <c r="CX13" s="62"/>
      <c r="CY13" s="150">
        <v>2.5000000000000001E-2</v>
      </c>
      <c r="CZ13">
        <v>20</v>
      </c>
      <c r="DB13" s="184" t="s">
        <v>394</v>
      </c>
      <c r="DD13" s="184" t="s">
        <v>299</v>
      </c>
      <c r="DE13" s="184"/>
      <c r="DF13" s="112" t="s">
        <v>389</v>
      </c>
      <c r="DG13" s="42">
        <v>1.11E-2</v>
      </c>
      <c r="DH13" s="90" t="s">
        <v>205</v>
      </c>
      <c r="DI13" s="112" t="s">
        <v>340</v>
      </c>
      <c r="DP13" s="46"/>
      <c r="DW13" s="93">
        <v>1917</v>
      </c>
      <c r="DX13" s="16">
        <v>9300</v>
      </c>
      <c r="DY13" s="47">
        <v>9300</v>
      </c>
      <c r="DZ13" s="47">
        <v>9300</v>
      </c>
      <c r="EA13" s="47">
        <v>9300</v>
      </c>
      <c r="EB13" s="47">
        <v>9300</v>
      </c>
      <c r="EC13" s="47">
        <v>9300</v>
      </c>
      <c r="ED13" s="47">
        <v>9300</v>
      </c>
      <c r="EE13" s="47">
        <v>9300</v>
      </c>
      <c r="EF13" s="47">
        <v>9300</v>
      </c>
      <c r="EG13" s="47">
        <v>9300</v>
      </c>
      <c r="EH13" s="47">
        <v>9300</v>
      </c>
      <c r="EI13" s="47">
        <v>9300</v>
      </c>
      <c r="EJ13" s="47">
        <v>9300</v>
      </c>
      <c r="EK13" s="208">
        <v>9300</v>
      </c>
      <c r="EN13" s="43">
        <v>1917</v>
      </c>
      <c r="EO13" s="106">
        <v>11004</v>
      </c>
      <c r="EP13" s="127"/>
      <c r="EQ13" s="149"/>
      <c r="ER13" s="127"/>
      <c r="ES13" s="127"/>
      <c r="ET13" s="127"/>
      <c r="EU13" s="127"/>
      <c r="EV13" s="41">
        <v>9300</v>
      </c>
      <c r="EW13" s="127">
        <v>9300</v>
      </c>
      <c r="EX13" s="202">
        <v>9300</v>
      </c>
      <c r="EY13" s="47">
        <v>9300</v>
      </c>
      <c r="EZ13" s="47">
        <v>9300</v>
      </c>
      <c r="FA13" s="47">
        <v>9300</v>
      </c>
      <c r="FB13" s="47">
        <v>9300</v>
      </c>
      <c r="FC13" s="47">
        <v>9300</v>
      </c>
      <c r="FD13" s="47">
        <v>9300</v>
      </c>
      <c r="FE13" s="47">
        <v>9300</v>
      </c>
      <c r="FF13" s="47">
        <v>9300</v>
      </c>
      <c r="FG13" s="47">
        <v>9300</v>
      </c>
      <c r="FH13" s="47">
        <v>9300</v>
      </c>
      <c r="FI13" s="47">
        <v>9300</v>
      </c>
      <c r="FJ13" s="47">
        <v>9300</v>
      </c>
      <c r="FK13" s="208">
        <v>9300</v>
      </c>
    </row>
    <row r="14" spans="1:167" ht="15.75">
      <c r="A14" s="19">
        <v>56</v>
      </c>
      <c r="B14" s="122">
        <v>0.49</v>
      </c>
      <c r="C14" s="62"/>
      <c r="D14" s="209">
        <f t="shared" si="0"/>
        <v>9</v>
      </c>
      <c r="E14" s="126">
        <f>[1]!PBGCLRF(65+D14/12)</f>
        <v>1.075</v>
      </c>
      <c r="F14" s="62"/>
      <c r="G14" s="175">
        <v>5</v>
      </c>
      <c r="H14" s="151">
        <v>1</v>
      </c>
      <c r="I14" s="62"/>
      <c r="J14" s="19">
        <v>10</v>
      </c>
      <c r="K14" s="122">
        <f t="shared" si="1"/>
        <v>0.94444444444444464</v>
      </c>
      <c r="L14" s="62"/>
      <c r="M14" s="297">
        <v>10</v>
      </c>
      <c r="N14" s="122">
        <f>[1]!LRFAEQ(0.065,"M",65,M14,0,"GM71","GM71","MP","Y","N","",65)</f>
        <v>1.1003239430451182</v>
      </c>
      <c r="O14" s="62"/>
      <c r="P14" s="130">
        <v>64</v>
      </c>
      <c r="Q14" s="155">
        <f>[1]!BFCFAEQ("SLA",0,0,0,"JSC",0.5,0,0,P14,Q$4,"M","F",0.065,"GM71","GM71","MP","N","","","")</f>
        <v>0.74088879415116249</v>
      </c>
      <c r="R14" s="155">
        <f>[1]!BFCFAEQ("SLA",0,0,0,"JSC",0.5,0,0,P14,R$4,"M","F",0.065,"GM71","GM71","MP","N","","","")</f>
        <v>0.74135087196905169</v>
      </c>
      <c r="S14" s="155">
        <f>[1]!BFCFAEQ("SLA",0,0,0,"JSC",0.5,0,0,P14,S$4,"M","F",0.065,"GM71","GM71","MP","N","","","")</f>
        <v>0.74183829399590628</v>
      </c>
      <c r="T14" s="155">
        <f>[1]!BFCFAEQ("SLA",0,0,0,"JSC",0.5,0,0,P14,T$4,"M","F",0.065,"GM71","GM71","MP","N","","","")</f>
        <v>0.74235239303072531</v>
      </c>
      <c r="U14" s="155">
        <f>[1]!BFCFAEQ("SLA",0,0,0,"JSC",0.5,0,0,P14,U$4,"M","F",0.065,"GM71","GM71","MP","N","","","")</f>
        <v>0.74289458003115905</v>
      </c>
      <c r="V14" s="155">
        <f>[1]!BFCFAEQ("SLA",0,0,0,"JSC",0.5,0,0,P14,V$4,"M","F",0.065,"GM71","GM71","MP","N","","","")</f>
        <v>0.74337934734017541</v>
      </c>
      <c r="W14" s="155">
        <f>[1]!BFCFAEQ("SLA",0,0,0,"JSC",0.5,0,0,P14,W$4,"M","F",0.065,"GM71","GM71","MP","N","","","")</f>
        <v>0.74390187665671703</v>
      </c>
      <c r="X14" s="155">
        <f>[1]!BFCFAEQ("SLA",0,0,0,"JSC",0.5,0,0,P14,X$4,"M","F",0.065,"GM71","GM71","MP","N","","","")</f>
        <v>0.74446198845419798</v>
      </c>
      <c r="Y14" s="155">
        <f>[1]!BFCFAEQ("SLA",0,0,0,"JSC",0.5,0,0,P14,Y$4,"M","F",0.065,"GM71","GM71","MP","N","","","")</f>
        <v>0.74505979727890193</v>
      </c>
      <c r="Z14" s="155">
        <f>[1]!BFCFAEQ("SLA",0,0,0,"JSC",0.5,0,0,P14,Z$4,"M","F",0.065,"GM71","GM71","MP","N","","","")</f>
        <v>0.74569591126792989</v>
      </c>
      <c r="AA14" s="155">
        <f>[1]!BFCFAEQ("SLA",0,0,0,"JSC",0.5,0,0,P14,AA$4,"M","F",0.065,"GM71","GM71","MP","N","","","")</f>
        <v>0.74637181789073259</v>
      </c>
      <c r="AB14" s="155">
        <f>[1]!BFCFAEQ("SLA",0,0,0,"JSC",0.5,0,0,P14,AB$4,"M","F",0.065,"GM71","GM71","MP","N","","","")</f>
        <v>0.74708875056304169</v>
      </c>
      <c r="AC14" s="155">
        <f>[1]!BFCFAEQ("SLA",0,0,0,"JSC",0.5,0,0,P14,AC$4,"M","F",0.065,"GM71","GM71","MP","N","","","")</f>
        <v>0.74784902100734163</v>
      </c>
      <c r="AD14" s="155">
        <f>[1]!BFCFAEQ("SLA",0,0,0,"JSC",0.5,0,0,P14,AD$4,"M","F",0.065,"GM71","GM71","MP","N","","","")</f>
        <v>0.74865526189283393</v>
      </c>
      <c r="AE14" s="155">
        <f>[1]!BFCFAEQ("SLA",0,0,0,"JSC",0.5,0,0,P14,AE$4,"M","F",0.065,"GM71","GM71","MP","N","","","")</f>
        <v>0.74951005255390613</v>
      </c>
      <c r="AF14" s="155">
        <f>[1]!BFCFAEQ("SLA",0,0,0,"JSC",0.5,0,0,P14,AF$4,"M","F",0.065,"GM71","GM71","MP","N","","","")</f>
        <v>0.75041592448708561</v>
      </c>
      <c r="AG14" s="155">
        <f>[1]!BFCFAEQ("SLA",0,0,0,"JSC",0.5,0,0,P14,AG$4,"M","F",0.065,"GM71","GM71","MP","N","","","")</f>
        <v>0.75137592785714324</v>
      </c>
      <c r="AH14" s="155">
        <f>[1]!BFCFAEQ("SLA",0,0,0,"JSC",0.5,0,0,P14,AH$4,"M","F",0.065,"GM71","GM71","MP","N","","","")</f>
        <v>0.75239288271003657</v>
      </c>
      <c r="AI14" s="155">
        <f>[1]!BFCFAEQ("SLA",0,0,0,"JSC",0.5,0,0,P14,AI$4,"M","F",0.065,"GM71","GM71","MP","N","","","")</f>
        <v>0.75346994342693119</v>
      </c>
      <c r="AJ14" s="155">
        <f>[1]!BFCFAEQ("SLA",0,0,0,"JSC",0.5,0,0,P14,AJ$4,"M","F",0.065,"GM71","GM71","MP","N","","","")</f>
        <v>0.75461041120506045</v>
      </c>
      <c r="AK14" s="155">
        <f>[1]!BFCFAEQ("SLA",0,0,0,"JSC",0.5,0,0,P14,AK$4,"M","F",0.065,"GM71","GM71","MP","N","","","")</f>
        <v>0.75581754863237571</v>
      </c>
      <c r="AL14" s="155">
        <f>[1]!BFCFAEQ("SLA",0,0,0,"JSC",0.5,0,0,P14,AL$4,"M","F",0.065,"GM71","GM71","MP","N","","","")</f>
        <v>0.75709476556730815</v>
      </c>
      <c r="AM14" s="155">
        <f>[1]!BFCFAEQ("SLA",0,0,0,"JSC",0.5,0,0,P14,AM$4,"M","F",0.065,"GM71","GM71","MP","N","","","")</f>
        <v>0.75844543363872041</v>
      </c>
      <c r="AN14" s="155">
        <f>[1]!BFCFAEQ("SLA",0,0,0,"JSC",0.5,0,0,P14,AN$4,"M","F",0.065,"GM71","GM71","MP","N","","","")</f>
        <v>0.75987361736226222</v>
      </c>
      <c r="AO14" s="155">
        <f>[1]!BFCFAEQ("SLA",0,0,0,"JSC",0.5,0,0,P14,AO$4,"M","F",0.065,"GM71","GM71","MP","N","","","")</f>
        <v>0.76138296624195334</v>
      </c>
      <c r="AP14" s="155">
        <f>[1]!BFCFAEQ("SLA",0,0,0,"JSC",0.5,0,0,P14,AP$4,"M","F",0.065,"GM71","GM71","MP","N","","","")</f>
        <v>0.76297726360592533</v>
      </c>
      <c r="AQ14" s="155">
        <f>[1]!BFCFAEQ("SLA",0,0,0,"JSC",0.5,0,0,P14,AQ$4,"M","F",0.065,"GM71","GM71","MP","N","","","")</f>
        <v>0.76466042011518776</v>
      </c>
      <c r="AR14" s="155">
        <f>[1]!BFCFAEQ("SLA",0,0,0,"JSC",0.5,0,0,P14,AR$4,"M","F",0.065,"GM71","GM71","MP","N","","","")</f>
        <v>0.76643646575266933</v>
      </c>
      <c r="AS14" s="155">
        <f>[1]!BFCFAEQ("SLA",0,0,0,"JSC",0.5,0,0,P14,AS$4,"M","F",0.065,"GM71","GM71","MP","N","","","")</f>
        <v>0.76830936195352839</v>
      </c>
      <c r="AT14" s="155">
        <f>[1]!BFCFAEQ("SLA",0,0,0,"JSC",0.5,0,0,P14,AT$4,"M","F",0.065,"GM71","GM71","MP","N","","","")</f>
        <v>0.77028334992120817</v>
      </c>
      <c r="AU14" s="155">
        <f>[1]!BFCFAEQ("SLA",0,0,0,"JSC",0.5,0,0,P14,AU$4,"M","F",0.065,"GM71","GM71","MP","N","","","")</f>
        <v>0.77236240347751506</v>
      </c>
      <c r="AV14" s="155">
        <f>[1]!BFCFAEQ("SLA",0,0,0,"JSC",0.5,0,0,P14,AV$4,"M","F",0.065,"GM71","GM71","MP","N","","","")</f>
        <v>0.77455057410739614</v>
      </c>
      <c r="AW14" s="155">
        <f>[1]!BFCFAEQ("SLA",0,0,0,"JSC",0.5,0,0,P14,AW$4,"M","F",0.065,"GM71","GM71","MP","N","","","")</f>
        <v>0.77685197204932988</v>
      </c>
      <c r="AX14" s="155">
        <f>[1]!BFCFAEQ("SLA",0,0,0,"JSC",0.5,0,0,P14,AX$4,"M","F",0.065,"GM71","GM71","MP","N","","","")</f>
        <v>0.77927057085835472</v>
      </c>
      <c r="AY14" s="155">
        <f>[1]!BFCFAEQ("SLA",0,0,0,"JSC",0.5,0,0,P14,AY$4,"M","F",0.065,"GM71","GM71","MP","N","","","")</f>
        <v>0.7818103578397646</v>
      </c>
      <c r="AZ14" s="155">
        <f>[1]!BFCFAEQ("SLA",0,0,0,"JSC",0.5,0,0,P14,AZ$4,"M","F",0.065,"GM71","GM71","MP","N","","","")</f>
        <v>0.78447496384671345</v>
      </c>
      <c r="BA14" s="155">
        <f>[1]!BFCFAEQ("SLA",0,0,0,"JSC",0.5,0,0,P14,BA$4,"M","F",0.065,"GM71","GM71","MP","N","","","")</f>
        <v>0.78726831392934182</v>
      </c>
      <c r="BB14" s="155">
        <f>[1]!BFCFAEQ("SLA",0,0,0,"JSC",0.5,0,0,P14,BB$4,"M","F",0.065,"GM71","GM71","MP","N","","","")</f>
        <v>0.79019373896958489</v>
      </c>
      <c r="BC14" s="155">
        <f>[1]!BFCFAEQ("SLA",0,0,0,"JSC",0.5,0,0,P14,BC$4,"M","F",0.065,"GM71","GM71","MP","N","","","")</f>
        <v>0.79325411813079771</v>
      </c>
      <c r="BD14" s="155">
        <f>[1]!BFCFAEQ("SLA",0,0,0,"JSC",0.5,0,0,P14,BD$4,"M","F",0.065,"GM71","GM71","MP","N","","","")</f>
        <v>0.79645233315332198</v>
      </c>
      <c r="BE14" s="155">
        <f>[1]!BFCFAEQ("SLA",0,0,0,"JSC",0.5,0,0,P14,BE$4,"M","F",0.065,"GM71","GM71","MP","N","","","")</f>
        <v>0.79979071975227889</v>
      </c>
      <c r="BF14" s="155">
        <f>[1]!BFCFAEQ("SLA",0,0,0,"JSC",0.5,0,0,P14,BF$4,"M","F",0.065,"GM71","GM71","MP","N","","","")</f>
        <v>0.80326817363632641</v>
      </c>
      <c r="BG14" s="155">
        <f>[1]!BFCFAEQ("SLA",0,0,0,"JSC",0.5,0,0,P14,BG$4,"M","F",0.065,"GM71","GM71","MP","N","","","")</f>
        <v>0.80687984293646642</v>
      </c>
      <c r="BH14" s="155">
        <f>[1]!BFCFAEQ("SLA",0,0,0,"JSC",0.5,0,0,P14,BH$4,"M","F",0.065,"GM71","GM71","MP","N","","","")</f>
        <v>0.81062182612597067</v>
      </c>
      <c r="BI14" s="155">
        <f>[1]!BFCFAEQ("SLA",0,0,0,"JSC",0.5,0,0,P14,BI$4,"M","F",0.065,"GM71","GM71","MP","N","","","")</f>
        <v>0.81449018155687913</v>
      </c>
      <c r="BJ14" s="155">
        <f>[1]!BFCFAEQ("SLA",0,0,0,"JSC",0.5,0,0,P14,BJ$4,"M","F",0.065,"GM71","GM71","MP","N","","","")</f>
        <v>0.81848165339883427</v>
      </c>
      <c r="BK14" s="155">
        <f>[1]!BFCFAEQ("SLA",0,0,0,"JSC",0.5,0,0,P14,BK$4,"M","F",0.065,"GM71","GM71","MP","N","","","")</f>
        <v>0.82259299599405467</v>
      </c>
      <c r="BL14" s="155">
        <f>[1]!BFCFAEQ("SLA",0,0,0,"JSC",0.5,0,0,P14,BL$4,"M","F",0.065,"GM71","GM71","MP","N","","","")</f>
        <v>0.82682121362205907</v>
      </c>
      <c r="BM14" s="155">
        <f>[1]!BFCFAEQ("SLA",0,0,0,"JSC",0.5,0,0,P14,BM$4,"M","F",0.065,"GM71","GM71","MP","N","","","")</f>
        <v>0.83116333625793382</v>
      </c>
      <c r="BN14" s="155">
        <f>[1]!BFCFAEQ("SLA",0,0,0,"JSC",0.5,0,0,P14,BN$4,"M","F",0.065,"GM71","GM71","MP","N","","","")</f>
        <v>0.83561606445654202</v>
      </c>
      <c r="BO14" s="155">
        <f>[1]!BFCFAEQ("SLA",0,0,0,"JSC",0.5,0,0,P14,BO$4,"M","F",0.065,"GM71","GM71","MP","N","","","")</f>
        <v>0.84017638891872759</v>
      </c>
      <c r="BP14" s="155">
        <f>[1]!BFCFAEQ("SLA",0,0,0,"JSC",0.5,0,0,P14,BP$4,"M","F",0.065,"GM71","GM71","MP","N","","","")</f>
        <v>0.84484026394474121</v>
      </c>
      <c r="BQ14" s="155">
        <f>[1]!BFCFAEQ("SLA",0,0,0,"JSC",0.5,0,0,P14,BQ$4,"M","F",0.065,"GM71","GM71","MP","N","","","")</f>
        <v>0.84960389343992959</v>
      </c>
      <c r="BR14" s="155">
        <f>[1]!BFCFAEQ("SLA",0,0,0,"JSC",0.5,0,0,P14,BR$4,"M","F",0.065,"GM71","GM71","MP","N","","","")</f>
        <v>0.85446243552432166</v>
      </c>
      <c r="BS14" s="155">
        <f>[1]!BFCFAEQ("SLA",0,0,0,"JSC",0.5,0,0,P14,BS$4,"M","F",0.065,"GM71","GM71","MP","N","","","")</f>
        <v>0.85941058897991751</v>
      </c>
      <c r="BT14" s="155">
        <f>[1]!BFCFAEQ("SLA",0,0,0,"JSC",0.5,0,0,P14,BT$4,"M","F",0.065,"GM71","GM71","MP","N","","","")</f>
        <v>0.8644420062910918</v>
      </c>
      <c r="BU14" s="155">
        <f>[1]!BFCFAEQ("SLA",0,0,0,"JSC",0.5,0,0,P14,BU$4,"M","F",0.065,"GM71","GM71","MP","N","","","")</f>
        <v>0.86954993294596594</v>
      </c>
      <c r="BV14" s="155">
        <f>[1]!BFCFAEQ("SLA",0,0,0,"JSC",0.5,0,0,P14,BV$4,"M","F",0.065,"GM71","GM71","MP","N","","","")</f>
        <v>0.87472615509897611</v>
      </c>
      <c r="BW14" s="155">
        <f>[1]!BFCFAEQ("SLA",0,0,0,"JSC",0.5,0,0,P14,BW$4,"M","F",0.065,"GM71","GM71","MP","N","","","")</f>
        <v>0.87995724430940714</v>
      </c>
      <c r="BX14" s="155">
        <f>[1]!BFCFAEQ("SLA",0,0,0,"JSC",0.5,0,0,P14,BX$4,"M","F",0.065,"GM71","GM71","MP","N","","","")</f>
        <v>0.8852177683792245</v>
      </c>
      <c r="BY14" s="155">
        <f>[1]!BFCFAEQ("SLA",0,0,0,"JSC",0.5,0,0,P14,BY$4,"M","F",0.065,"GM71","GM71","MP","N","","","")</f>
        <v>0.89048616148440207</v>
      </c>
      <c r="BZ14" s="155">
        <f>[1]!BFCFAEQ("SLA",0,0,0,"JSC",0.5,0,0,P14,BZ$4,"M","F",0.065,"GM71","GM71","MP","N","","","")</f>
        <v>0.89574518072817555</v>
      </c>
      <c r="CA14" s="155">
        <f>[1]!BFCFAEQ("SLA",0,0,0,"JSC",0.5,0,0,P14,CA$4,"M","F",0.065,"GM71","GM71","MP","N","","","")</f>
        <v>0.90098035856741809</v>
      </c>
      <c r="CB14" s="155">
        <f>[1]!BFCFAEQ("SLA",0,0,0,"JSC",0.5,0,0,P14,CB$4,"M","F",0.065,"GM71","GM71","MP","N","","","")</f>
        <v>0.90617527895118721</v>
      </c>
      <c r="CC14" s="155">
        <f>[1]!BFCFAEQ("SLA",0,0,0,"JSC",0.5,0,0,P14,CC$4,"M","F",0.065,"GM71","GM71","MP","N","","","")</f>
        <v>0.91130634285504775</v>
      </c>
      <c r="CD14" s="155">
        <f>[1]!BFCFAEQ("SLA",0,0,0,"JSC",0.5,0,0,P14,CD$4,"M","F",0.065,"GM71","GM71","MP","N","","","")</f>
        <v>0.91634590380021863</v>
      </c>
      <c r="CE14" s="155">
        <f>[1]!BFCFAEQ("SLA",0,0,0,"JSC",0.5,0,0,P14,CE$4,"M","F",0.065,"GM71","GM71","MP","N","","","")</f>
        <v>0.92126965419911255</v>
      </c>
      <c r="CF14" s="155">
        <f>[1]!BFCFAEQ("SLA",0,0,0,"JSC",0.5,0,0,P14,CF$4,"M","F",0.065,"GM71","GM71","MP","N","","","")</f>
        <v>0.92605833739802723</v>
      </c>
      <c r="CG14" s="155">
        <f>[1]!BFCFAEQ("SLA",0,0,0,"JSC",0.5,0,0,P14,CG$4,"M","F",0.065,"GM71","GM71","MP","N","","","")</f>
        <v>0.93070215230068909</v>
      </c>
      <c r="CH14" s="155">
        <f>[1]!BFCFAEQ("SLA",0,0,0,"JSC",0.5,0,0,P14,CH$4,"M","F",0.065,"GM71","GM71","MP","N","","","")</f>
        <v>0.93518206738710796</v>
      </c>
      <c r="CI14" s="155">
        <f>[1]!BFCFAEQ("SLA",0,0,0,"JSC",0.5,0,0,P14,CI$4,"M","F",0.065,"GM71","GM71","MP","N","","","")</f>
        <v>0.93948058579170357</v>
      </c>
      <c r="CJ14" s="155">
        <f>[1]!BFCFAEQ("SLA",0,0,0,"JSC",0.5,0,0,P14,CJ$4,"M","F",0.065,"GM71","GM71","MP","N","","","")</f>
        <v>0.94359589281541401</v>
      </c>
      <c r="CK14" s="155">
        <f>[1]!BFCFAEQ("SLA",0,0,0,"JSC",0.5,0,0,P14,CK$4,"M","F",0.065,"GM71","GM71","MP","N","","","")</f>
        <v>0.94754439907907972</v>
      </c>
      <c r="CL14" s="155">
        <f>[1]!BFCFAEQ("SLA",0,0,0,"JSC",0.5,0,0,P14,CL$4,"M","F",0.065,"GM71","GM71","MP","N","","","")</f>
        <v>0.95134326085302345</v>
      </c>
      <c r="CM14" s="155">
        <f>[1]!BFCFAEQ("SLA",0,0,0,"JSC",0.5,0,0,P14,CM$4,"M","F",0.065,"GM71","GM71","MP","N","","","")</f>
        <v>0.95499520616534828</v>
      </c>
      <c r="CN14" s="257">
        <f>ROUND([1]!NPVF2("MP","SLA","N",0.05,"M",$P14,$P14,0,0,120,0,"UP84","UP84","P","","")/[1]!NPVF2("MP","JSC","N",0.05,"M",$P14,$P14,CN$4,0.5,0,0,"UP84","UP84","P","",""),4)</f>
        <v>1.0382</v>
      </c>
      <c r="CO14" s="257">
        <f>ROUND([1]!NPVF2("MP","SLA","N",0.05,"M",$P14,$P14,0,0,120,0,"UP84","UP84","P","","")/[1]!NPVF2("MP","JSC","N",0.05,"M",$P14,$P14,CO$4,0.5,0,0,"UP84","UP84","P","",""),4)</f>
        <v>1.0421</v>
      </c>
      <c r="CP14" s="257">
        <f>ROUND([1]!NPVF2("MP","SLA","N",0.05,"M",$P14,$P14,0,0,120,0,"UP84","UP84","P","","")/[1]!NPVF2("MP","JSC","N",0.05,"M",$P14,$P14,CP$4,0.5,0,0,"UP84","UP84","P","",""),4)</f>
        <v>1.0459000000000001</v>
      </c>
      <c r="CQ14" s="257">
        <f>ROUND([1]!NPVF2("MP","SLA","N",0.05,"M",$P14,$P14,0,0,120,0,"UP84","UP84","P","","")/[1]!NPVF2("MP","JSC","N",0.05,"M",$P14,$P14,CQ$4,0.5,0,0,"UP84","UP84","P","",""),4)</f>
        <v>1.0494000000000001</v>
      </c>
      <c r="CR14" s="257">
        <f>ROUND([1]!NPVF2("MP","SLA","N",0.05,"M",$P14,$P14,0,0,120,0,"UP84","UP84","P","","")/[1]!NPVF2("MP","JSC","N",0.05,"M",$P14,$P14,CR$4,0.5,0,0,"UP84","UP84","P","",""),4)</f>
        <v>1.0527</v>
      </c>
      <c r="CS14" s="257">
        <f>ROUND([1]!NPVF2("MP","SLA","N",0.05,"M",$P14,$P14,0,0,120,0,"UP84","UP84","P","","")/[1]!NPVF2("MP","JSC","N",0.05,"M",$P14,$P14,CS$4,0.5,0,0,"UP84","UP84","P","",""),4)</f>
        <v>1.0558000000000001</v>
      </c>
      <c r="CT14" s="257">
        <f>ROUND([1]!NPVF2("MP","SLA","N",0.05,"M",$P14,$P14,0,0,120,0,"UP84","UP84","P","","")/[1]!NPVF2("MP","JSC","N",0.05,"M",$P14,$P14,CT$4,0.5,0,0,"UP84","UP84","P","",""),4)</f>
        <v>1.0587</v>
      </c>
      <c r="CU14" s="257">
        <f>ROUND([1]!NPVF2("MP","SLA","N",0.05,"M",$P14,$P14,0,0,120,0,"UP84","UP84","P","","")/[1]!NPVF2("MP","JSC","N",0.05,"M",$P14,$P14,CU$4,0.5,0,0,"UP84","UP84","P","",""),4)</f>
        <v>1.0613999999999999</v>
      </c>
      <c r="CV14" s="257">
        <f>ROUND([1]!NPVF2("MP","SLA","N",0.05,"M",$P14,$P14,0,0,120,0,"UP84","UP84","P","","")/[1]!NPVF2("MP","JSC","N",0.05,"M",$P14,$P14,CV$4,0.5,0,0,"UP84","UP84","P","",""),4)</f>
        <v>1.0638000000000001</v>
      </c>
      <c r="CW14" s="258">
        <f>ROUND([1]!NPVF2("MP","SLA","N",0.05,"M",$P14,$P14,0,0,120,0,"UP84","UP84","P","","")/[1]!NPVF2("MP","JSC","N",0.05,"M",$P14,$P14,CW$4,0.5,0,0,"UP84","UP84","P","",""),4)</f>
        <v>1.0661</v>
      </c>
      <c r="CX14" s="62"/>
      <c r="CY14" s="150">
        <v>3.2000000000000001E-2</v>
      </c>
      <c r="CZ14">
        <v>999</v>
      </c>
      <c r="DB14" s="174">
        <v>4789.7700000000004</v>
      </c>
      <c r="DH14" s="66"/>
      <c r="DK14" t="s">
        <v>124</v>
      </c>
      <c r="DL14" t="s">
        <v>179</v>
      </c>
      <c r="DM14" s="76">
        <f>DCOUNT(Retirees,"PVPBL_ANN_RATES",All_Criteria)</f>
        <v>0</v>
      </c>
      <c r="DN14" t="s">
        <v>422</v>
      </c>
      <c r="DO14" s="274">
        <f>DSUM(Retirees,"BNNFA_PVMB_NO_LOAD",All_Criteria)</f>
        <v>0</v>
      </c>
      <c r="DP14" s="274">
        <f>DSUM(Retirees,"BNNFA_LOAD",All_Criteria)</f>
        <v>0</v>
      </c>
      <c r="DQ14" s="46">
        <f t="shared" ref="DQ14:DQ19" si="3">DO14 + DP14</f>
        <v>0</v>
      </c>
      <c r="DS14" s="76"/>
      <c r="DW14" s="93">
        <v>1918</v>
      </c>
      <c r="DX14" s="16">
        <v>10236</v>
      </c>
      <c r="DY14" s="47">
        <v>10236</v>
      </c>
      <c r="DZ14" s="47">
        <v>10236</v>
      </c>
      <c r="EA14" s="47">
        <v>10236</v>
      </c>
      <c r="EB14" s="47">
        <v>10236</v>
      </c>
      <c r="EC14" s="47">
        <v>10236</v>
      </c>
      <c r="ED14" s="47">
        <v>10236</v>
      </c>
      <c r="EE14" s="47">
        <v>10236</v>
      </c>
      <c r="EF14" s="47">
        <v>10236</v>
      </c>
      <c r="EG14" s="47">
        <v>10236</v>
      </c>
      <c r="EH14" s="47">
        <v>10236</v>
      </c>
      <c r="EI14" s="47">
        <v>10236</v>
      </c>
      <c r="EJ14" s="47">
        <v>10236</v>
      </c>
      <c r="EK14" s="208">
        <v>10236</v>
      </c>
      <c r="EN14" s="43">
        <v>1918</v>
      </c>
      <c r="EO14" s="106">
        <v>11892</v>
      </c>
      <c r="EP14" s="127">
        <v>11892</v>
      </c>
      <c r="EQ14" s="149"/>
      <c r="ER14" s="127"/>
      <c r="ES14" s="127"/>
      <c r="ET14" s="127"/>
      <c r="EU14" s="127"/>
      <c r="EV14" s="41">
        <v>10236</v>
      </c>
      <c r="EW14" s="127">
        <v>10236</v>
      </c>
      <c r="EX14" s="202">
        <v>10236</v>
      </c>
      <c r="EY14" s="47">
        <v>10236</v>
      </c>
      <c r="EZ14" s="47">
        <v>10236</v>
      </c>
      <c r="FA14" s="47">
        <v>10236</v>
      </c>
      <c r="FB14" s="47">
        <v>10236</v>
      </c>
      <c r="FC14" s="47">
        <v>10236</v>
      </c>
      <c r="FD14" s="47">
        <v>10236</v>
      </c>
      <c r="FE14" s="47">
        <v>10236</v>
      </c>
      <c r="FF14" s="47">
        <v>10236</v>
      </c>
      <c r="FG14" s="47">
        <v>10236</v>
      </c>
      <c r="FH14" s="47">
        <v>10236</v>
      </c>
      <c r="FI14" s="47">
        <v>10236</v>
      </c>
      <c r="FJ14" s="47">
        <v>10236</v>
      </c>
      <c r="FK14" s="208">
        <v>10236</v>
      </c>
    </row>
    <row r="15" spans="1:167" ht="15.75">
      <c r="A15" s="164">
        <v>55</v>
      </c>
      <c r="B15" s="122">
        <v>0.45</v>
      </c>
      <c r="C15" s="62"/>
      <c r="D15" s="209">
        <f t="shared" si="0"/>
        <v>10</v>
      </c>
      <c r="E15" s="126">
        <f>[1]!PBGCLRF(65+D15/12)</f>
        <v>1.0832999999999999</v>
      </c>
      <c r="F15" s="62"/>
      <c r="G15" s="175">
        <v>5</v>
      </c>
      <c r="H15" s="151">
        <v>1</v>
      </c>
      <c r="I15" s="62"/>
      <c r="J15" s="19">
        <v>11</v>
      </c>
      <c r="K15" s="122">
        <f t="shared" si="1"/>
        <v>0.93888888888888911</v>
      </c>
      <c r="L15" s="62"/>
      <c r="M15" s="297">
        <v>11</v>
      </c>
      <c r="N15" s="122">
        <f>[1]!LRFAEQ(0.065,"M",65,M15,0,"GM71","GM71","MP","Y","N","",65)</f>
        <v>1.1103563373496297</v>
      </c>
      <c r="O15" s="62"/>
      <c r="P15" s="130">
        <v>65</v>
      </c>
      <c r="Q15" s="155">
        <f>[1]!BFCFAEQ("SLA",0,0,0,"JSC",0.5,0,0,P15,Q$4,"M","F",0.065,"GM71","GM71","MP","N","","","")</f>
        <v>0.72786182841307223</v>
      </c>
      <c r="R15" s="155">
        <f>[1]!BFCFAEQ("SLA",0,0,0,"JSC",0.5,0,0,P15,R$4,"M","F",0.065,"GM71","GM71","MP","N","","","")</f>
        <v>0.72832399227619304</v>
      </c>
      <c r="S15" s="155">
        <f>[1]!BFCFAEQ("SLA",0,0,0,"JSC",0.5,0,0,P15,S$4,"M","F",0.065,"GM71","GM71","MP","N","","","")</f>
        <v>0.72881149602438988</v>
      </c>
      <c r="T15" s="155">
        <f>[1]!BFCFAEQ("SLA",0,0,0,"JSC",0.5,0,0,P15,T$4,"M","F",0.065,"GM71","GM71","MP","N","","","")</f>
        <v>0.72932565763470647</v>
      </c>
      <c r="U15" s="155">
        <f>[1]!BFCFAEQ("SLA",0,0,0,"JSC",0.5,0,0,P15,U$4,"M","F",0.065,"GM71","GM71","MP","N","","","")</f>
        <v>0.72986787315974455</v>
      </c>
      <c r="V15" s="155">
        <f>[1]!BFCFAEQ("SLA",0,0,0,"JSC",0.5,0,0,P15,V$4,"M","F",0.065,"GM71","GM71","MP","N","","","")</f>
        <v>0.7303498052561469</v>
      </c>
      <c r="W15" s="155">
        <f>[1]!BFCFAEQ("SLA",0,0,0,"JSC",0.5,0,0,P15,W$4,"M","F",0.065,"GM71","GM71","MP","N","","","")</f>
        <v>0.73086964726873715</v>
      </c>
      <c r="X15" s="155">
        <f>[1]!BFCFAEQ("SLA",0,0,0,"JSC",0.5,0,0,P15,X$4,"M","F",0.065,"GM71","GM71","MP","N","","","")</f>
        <v>0.73142716371631711</v>
      </c>
      <c r="Y15" s="155">
        <f>[1]!BFCFAEQ("SLA",0,0,0,"JSC",0.5,0,0,P15,Y$4,"M","F",0.065,"GM71","GM71","MP","N","","","")</f>
        <v>0.73202241966268888</v>
      </c>
      <c r="Z15" s="155">
        <f>[1]!BFCFAEQ("SLA",0,0,0,"JSC",0.5,0,0,P15,Z$4,"M","F",0.065,"GM71","GM71","MP","N","","","")</f>
        <v>0.73265598732737447</v>
      </c>
      <c r="AA15" s="155">
        <f>[1]!BFCFAEQ("SLA",0,0,0,"JSC",0.5,0,0,P15,AA$4,"M","F",0.065,"GM71","GM71","MP","N","","","")</f>
        <v>0.73332934530517002</v>
      </c>
      <c r="AB15" s="155">
        <f>[1]!BFCFAEQ("SLA",0,0,0,"JSC",0.5,0,0,P15,AB$4,"M","F",0.065,"GM71","GM71","MP","N","","","")</f>
        <v>0.73404370855869117</v>
      </c>
      <c r="AC15" s="155">
        <f>[1]!BFCFAEQ("SLA",0,0,0,"JSC",0.5,0,0,P15,AC$4,"M","F",0.065,"GM71","GM71","MP","N","","","")</f>
        <v>0.7348014055366362</v>
      </c>
      <c r="AD15" s="155">
        <f>[1]!BFCFAEQ("SLA",0,0,0,"JSC",0.5,0,0,P15,AD$4,"M","F",0.065,"GM71","GM71","MP","N","","","")</f>
        <v>0.73560509674333818</v>
      </c>
      <c r="AE15" s="155">
        <f>[1]!BFCFAEQ("SLA",0,0,0,"JSC",0.5,0,0,P15,AE$4,"M","F",0.065,"GM71","GM71","MP","N","","","")</f>
        <v>0.73645738864859656</v>
      </c>
      <c r="AF15" s="155">
        <f>[1]!BFCFAEQ("SLA",0,0,0,"JSC",0.5,0,0,P15,AF$4,"M","F",0.065,"GM71","GM71","MP","N","","","")</f>
        <v>0.73736083996346857</v>
      </c>
      <c r="AG15" s="155">
        <f>[1]!BFCFAEQ("SLA",0,0,0,"JSC",0.5,0,0,P15,AG$4,"M","F",0.065,"GM71","GM71","MP","N","","","")</f>
        <v>0.7383185482408956</v>
      </c>
      <c r="AH15" s="155">
        <f>[1]!BFCFAEQ("SLA",0,0,0,"JSC",0.5,0,0,P15,AH$4,"M","F",0.065,"GM71","GM71","MP","N","","","")</f>
        <v>0.73933337664714094</v>
      </c>
      <c r="AI15" s="155">
        <f>[1]!BFCFAEQ("SLA",0,0,0,"JSC",0.5,0,0,P15,AI$4,"M","F",0.065,"GM71","GM71","MP","N","","","")</f>
        <v>0.7404085386608471</v>
      </c>
      <c r="AJ15" s="155">
        <f>[1]!BFCFAEQ("SLA",0,0,0,"JSC",0.5,0,0,P15,AJ$4,"M","F",0.065,"GM71","GM71","MP","N","","","")</f>
        <v>0.74154740536220753</v>
      </c>
      <c r="AK15" s="155">
        <f>[1]!BFCFAEQ("SLA",0,0,0,"JSC",0.5,0,0,P15,AK$4,"M","F",0.065,"GM71","GM71","MP","N","","","")</f>
        <v>0.74275331468243777</v>
      </c>
      <c r="AL15" s="155">
        <f>[1]!BFCFAEQ("SLA",0,0,0,"JSC",0.5,0,0,P15,AL$4,"M","F",0.065,"GM71","GM71","MP","N","","","")</f>
        <v>0.74402976494047934</v>
      </c>
      <c r="AM15" s="155">
        <f>[1]!BFCFAEQ("SLA",0,0,0,"JSC",0.5,0,0,P15,AM$4,"M","F",0.065,"GM71","GM71","MP","N","","","")</f>
        <v>0.74538022399361115</v>
      </c>
      <c r="AN15" s="155">
        <f>[1]!BFCFAEQ("SLA",0,0,0,"JSC",0.5,0,0,P15,AN$4,"M","F",0.065,"GM71","GM71","MP","N","","","")</f>
        <v>0.74680888792530065</v>
      </c>
      <c r="AO15" s="155">
        <f>[1]!BFCFAEQ("SLA",0,0,0,"JSC",0.5,0,0,P15,AO$4,"M","F",0.065,"GM71","GM71","MP","N","","","")</f>
        <v>0.7483195347902647</v>
      </c>
      <c r="AP15" s="155">
        <f>[1]!BFCFAEQ("SLA",0,0,0,"JSC",0.5,0,0,P15,AP$4,"M","F",0.065,"GM71","GM71","MP","N","","","")</f>
        <v>0.74991609415582516</v>
      </c>
      <c r="AQ15" s="155">
        <f>[1]!BFCFAEQ("SLA",0,0,0,"JSC",0.5,0,0,P15,AQ$4,"M","F",0.065,"GM71","GM71","MP","N","","","")</f>
        <v>0.75160264171816138</v>
      </c>
      <c r="AR15" s="155">
        <f>[1]!BFCFAEQ("SLA",0,0,0,"JSC",0.5,0,0,P15,AR$4,"M","F",0.065,"GM71","GM71","MP","N","","","")</f>
        <v>0.75338339241941432</v>
      </c>
      <c r="AS15" s="155">
        <f>[1]!BFCFAEQ("SLA",0,0,0,"JSC",0.5,0,0,P15,AS$4,"M","F",0.065,"GM71","GM71","MP","N","","","")</f>
        <v>0.75526250691222685</v>
      </c>
      <c r="AT15" s="155">
        <f>[1]!BFCFAEQ("SLA",0,0,0,"JSC",0.5,0,0,P15,AT$4,"M","F",0.065,"GM71","GM71","MP","N","","","")</f>
        <v>0.75724445474035207</v>
      </c>
      <c r="AU15" s="155">
        <f>[1]!BFCFAEQ("SLA",0,0,0,"JSC",0.5,0,0,P15,AU$4,"M","F",0.065,"GM71","GM71","MP","N","","","")</f>
        <v>0.75933344825574856</v>
      </c>
      <c r="AV15" s="155">
        <f>[1]!BFCFAEQ("SLA",0,0,0,"JSC",0.5,0,0,P15,AV$4,"M","F",0.065,"GM71","GM71","MP","N","","","")</f>
        <v>0.76153380335359966</v>
      </c>
      <c r="AW15" s="155">
        <f>[1]!BFCFAEQ("SLA",0,0,0,"JSC",0.5,0,0,P15,AW$4,"M","F",0.065,"GM71","GM71","MP","N","","","")</f>
        <v>0.76384992306003963</v>
      </c>
      <c r="AX15" s="155">
        <f>[1]!BFCFAEQ("SLA",0,0,0,"JSC",0.5,0,0,P15,AX$4,"M","F",0.065,"GM71","GM71","MP","N","","","")</f>
        <v>0.76628609761202948</v>
      </c>
      <c r="AY15" s="155">
        <f>[1]!BFCFAEQ("SLA",0,0,0,"JSC",0.5,0,0,P15,AY$4,"M","F",0.065,"GM71","GM71","MP","N","","","")</f>
        <v>0.76884666433032822</v>
      </c>
      <c r="AZ15" s="155">
        <f>[1]!BFCFAEQ("SLA",0,0,0,"JSC",0.5,0,0,P15,AZ$4,"M","F",0.065,"GM71","GM71","MP","N","","","")</f>
        <v>0.77153562534118558</v>
      </c>
      <c r="BA15" s="155">
        <f>[1]!BFCFAEQ("SLA",0,0,0,"JSC",0.5,0,0,P15,BA$4,"M","F",0.065,"GM71","GM71","MP","N","","","")</f>
        <v>0.77435732899565779</v>
      </c>
      <c r="BB15" s="155">
        <f>[1]!BFCFAEQ("SLA",0,0,0,"JSC",0.5,0,0,P15,BB$4,"M","F",0.065,"GM71","GM71","MP","N","","","")</f>
        <v>0.77731554764241839</v>
      </c>
      <c r="BC15" s="155">
        <f>[1]!BFCFAEQ("SLA",0,0,0,"JSC",0.5,0,0,P15,BC$4,"M","F",0.065,"GM71","GM71","MP","N","","","")</f>
        <v>0.78041362877617826</v>
      </c>
      <c r="BD15" s="155">
        <f>[1]!BFCFAEQ("SLA",0,0,0,"JSC",0.5,0,0,P15,BD$4,"M","F",0.065,"GM71","GM71","MP","N","","","")</f>
        <v>0.78365497293166464</v>
      </c>
      <c r="BE15" s="155">
        <f>[1]!BFCFAEQ("SLA",0,0,0,"JSC",0.5,0,0,P15,BE$4,"M","F",0.065,"GM71","GM71","MP","N","","","")</f>
        <v>0.7870424639917154</v>
      </c>
      <c r="BF15" s="155">
        <f>[1]!BFCFAEQ("SLA",0,0,0,"JSC",0.5,0,0,P15,BF$4,"M","F",0.065,"GM71","GM71","MP","N","","","")</f>
        <v>0.79057543931793217</v>
      </c>
      <c r="BG15" s="155">
        <f>[1]!BFCFAEQ("SLA",0,0,0,"JSC",0.5,0,0,P15,BG$4,"M","F",0.065,"GM71","GM71","MP","N","","","")</f>
        <v>0.79424935485387183</v>
      </c>
      <c r="BH15" s="155">
        <f>[1]!BFCFAEQ("SLA",0,0,0,"JSC",0.5,0,0,P15,BH$4,"M","F",0.065,"GM71","GM71","MP","N","","","")</f>
        <v>0.7980607007521886</v>
      </c>
      <c r="BI15" s="155">
        <f>[1]!BFCFAEQ("SLA",0,0,0,"JSC",0.5,0,0,P15,BI$4,"M","F",0.065,"GM71","GM71","MP","N","","","")</f>
        <v>0.80200596678910507</v>
      </c>
      <c r="BJ15" s="155">
        <f>[1]!BFCFAEQ("SLA",0,0,0,"JSC",0.5,0,0,P15,BJ$4,"M","F",0.065,"GM71","GM71","MP","N","","","")</f>
        <v>0.80608240668461251</v>
      </c>
      <c r="BK15" s="155">
        <f>[1]!BFCFAEQ("SLA",0,0,0,"JSC",0.5,0,0,P15,BK$4,"M","F",0.065,"GM71","GM71","MP","N","","","")</f>
        <v>0.81028733059965008</v>
      </c>
      <c r="BL15" s="155">
        <f>[1]!BFCFAEQ("SLA",0,0,0,"JSC",0.5,0,0,P15,BL$4,"M","F",0.065,"GM71","GM71","MP","N","","","")</f>
        <v>0.8146183582643366</v>
      </c>
      <c r="BM15" s="155">
        <f>[1]!BFCFAEQ("SLA",0,0,0,"JSC",0.5,0,0,P15,BM$4,"M","F",0.065,"GM71","GM71","MP","N","","","")</f>
        <v>0.81907318417708874</v>
      </c>
      <c r="BN15" s="155">
        <f>[1]!BFCFAEQ("SLA",0,0,0,"JSC",0.5,0,0,P15,BN$4,"M","F",0.065,"GM71","GM71","MP","N","","","")</f>
        <v>0.8236492022350721</v>
      </c>
      <c r="BO15" s="155">
        <f>[1]!BFCFAEQ("SLA",0,0,0,"JSC",0.5,0,0,P15,BO$4,"M","F",0.065,"GM71","GM71","MP","N","","","")</f>
        <v>0.82834415794571237</v>
      </c>
      <c r="BP15" s="155">
        <f>[1]!BFCFAEQ("SLA",0,0,0,"JSC",0.5,0,0,P15,BP$4,"M","F",0.065,"GM71","GM71","MP","N","","","")</f>
        <v>0.83315474016297209</v>
      </c>
      <c r="BQ15" s="155">
        <f>[1]!BFCFAEQ("SLA",0,0,0,"JSC",0.5,0,0,P15,BQ$4,"M","F",0.065,"GM71","GM71","MP","N","","","")</f>
        <v>0.83807793372807837</v>
      </c>
      <c r="BR15" s="155">
        <f>[1]!BFCFAEQ("SLA",0,0,0,"JSC",0.5,0,0,P15,BR$4,"M","F",0.065,"GM71","GM71","MP","N","","","")</f>
        <v>0.84310963753886936</v>
      </c>
      <c r="BS15" s="155">
        <f>[1]!BFCFAEQ("SLA",0,0,0,"JSC",0.5,0,0,P15,BS$4,"M","F",0.065,"GM71","GM71","MP","N","","","")</f>
        <v>0.84824527534196981</v>
      </c>
      <c r="BT15" s="155">
        <f>[1]!BFCFAEQ("SLA",0,0,0,"JSC",0.5,0,0,P15,BT$4,"M","F",0.065,"GM71","GM71","MP","N","","","")</f>
        <v>0.85347916090185583</v>
      </c>
      <c r="BU15" s="155">
        <f>[1]!BFCFAEQ("SLA",0,0,0,"JSC",0.5,0,0,P15,BU$4,"M","F",0.065,"GM71","GM71","MP","N","","","")</f>
        <v>0.85880516675756313</v>
      </c>
      <c r="BV15" s="155">
        <f>[1]!BFCFAEQ("SLA",0,0,0,"JSC",0.5,0,0,P15,BV$4,"M","F",0.065,"GM71","GM71","MP","N","","","")</f>
        <v>0.86421558526614939</v>
      </c>
      <c r="BW15" s="155">
        <f>[1]!BFCFAEQ("SLA",0,0,0,"JSC",0.5,0,0,P15,BW$4,"M","F",0.065,"GM71","GM71","MP","N","","","")</f>
        <v>0.8696970756315221</v>
      </c>
      <c r="BX15" s="155">
        <f>[1]!BFCFAEQ("SLA",0,0,0,"JSC",0.5,0,0,P15,BX$4,"M","F",0.065,"GM71","GM71","MP","N","","","")</f>
        <v>0.87522330389904945</v>
      </c>
      <c r="BY15" s="155">
        <f>[1]!BFCFAEQ("SLA",0,0,0,"JSC",0.5,0,0,P15,BY$4,"M","F",0.065,"GM71","GM71","MP","N","","","")</f>
        <v>0.88077189777304721</v>
      </c>
      <c r="BZ15" s="155">
        <f>[1]!BFCFAEQ("SLA",0,0,0,"JSC",0.5,0,0,P15,BZ$4,"M","F",0.065,"GM71","GM71","MP","N","","","")</f>
        <v>0.88632495650661047</v>
      </c>
      <c r="CA15" s="155">
        <f>[1]!BFCFAEQ("SLA",0,0,0,"JSC",0.5,0,0,P15,CA$4,"M","F",0.065,"GM71","GM71","MP","N","","","")</f>
        <v>0.89186739842216256</v>
      </c>
      <c r="CB15" s="155">
        <f>[1]!BFCFAEQ("SLA",0,0,0,"JSC",0.5,0,0,P15,CB$4,"M","F",0.065,"GM71","GM71","MP","N","","","")</f>
        <v>0.89738185091734324</v>
      </c>
      <c r="CC15" s="155">
        <f>[1]!BFCFAEQ("SLA",0,0,0,"JSC",0.5,0,0,P15,CC$4,"M","F",0.065,"GM71","GM71","MP","N","","","")</f>
        <v>0.90284293365810964</v>
      </c>
      <c r="CD15" s="155">
        <f>[1]!BFCFAEQ("SLA",0,0,0,"JSC",0.5,0,0,P15,CD$4,"M","F",0.065,"GM71","GM71","MP","N","","","")</f>
        <v>0.9082205906835058</v>
      </c>
      <c r="CE15" s="155">
        <f>[1]!BFCFAEQ("SLA",0,0,0,"JSC",0.5,0,0,P15,CE$4,"M","F",0.065,"GM71","GM71","MP","N","","","")</f>
        <v>0.9134881099581359</v>
      </c>
      <c r="CF15" s="155">
        <f>[1]!BFCFAEQ("SLA",0,0,0,"JSC",0.5,0,0,P15,CF$4,"M","F",0.065,"GM71","GM71","MP","N","","","")</f>
        <v>0.91862404644546802</v>
      </c>
      <c r="CG15" s="155">
        <f>[1]!BFCFAEQ("SLA",0,0,0,"JSC",0.5,0,0,P15,CG$4,"M","F",0.065,"GM71","GM71","MP","N","","","")</f>
        <v>0.92361710735491098</v>
      </c>
      <c r="CH15" s="155">
        <f>[1]!BFCFAEQ("SLA",0,0,0,"JSC",0.5,0,0,P15,CH$4,"M","F",0.065,"GM71","GM71","MP","N","","","")</f>
        <v>0.92844577812063311</v>
      </c>
      <c r="CI15" s="155">
        <f>[1]!BFCFAEQ("SLA",0,0,0,"JSC",0.5,0,0,P15,CI$4,"M","F",0.065,"GM71","GM71","MP","N","","","")</f>
        <v>0.93309004802642614</v>
      </c>
      <c r="CJ15" s="155">
        <f>[1]!BFCFAEQ("SLA",0,0,0,"JSC",0.5,0,0,P15,CJ$4,"M","F",0.065,"GM71","GM71","MP","N","","","")</f>
        <v>0.93754699362208671</v>
      </c>
      <c r="CK15" s="155">
        <f>[1]!BFCFAEQ("SLA",0,0,0,"JSC",0.5,0,0,P15,CK$4,"M","F",0.065,"GM71","GM71","MP","N","","","")</f>
        <v>0.941833742847762</v>
      </c>
      <c r="CL15" s="155">
        <f>[1]!BFCFAEQ("SLA",0,0,0,"JSC",0.5,0,0,P15,CL$4,"M","F",0.065,"GM71","GM71","MP","N","","","")</f>
        <v>0.94596834874805769</v>
      </c>
      <c r="CM15" s="155">
        <f>[1]!BFCFAEQ("SLA",0,0,0,"JSC",0.5,0,0,P15,CM$4,"M","F",0.065,"GM71","GM71","MP","N","","","")</f>
        <v>0.94995299703313607</v>
      </c>
      <c r="CN15" s="257">
        <f>ROUND([1]!NPVF2("MP","SLA","N",0.05,"M",$P15,$P15,0,0,120,0,"UP84","UP84","P","","")/[1]!NPVF2("MP","JSC","N",0.05,"M",$P15,$P15,CN$4,0.5,0,0,"UP84","UP84","P","",""),4)</f>
        <v>1.0427</v>
      </c>
      <c r="CO15" s="257">
        <f>ROUND([1]!NPVF2("MP","SLA","N",0.05,"M",$P15,$P15,0,0,120,0,"UP84","UP84","P","","")/[1]!NPVF2("MP","JSC","N",0.05,"M",$P15,$P15,CO$4,0.5,0,0,"UP84","UP84","P","",""),4)</f>
        <v>1.0470999999999999</v>
      </c>
      <c r="CP15" s="257">
        <f>ROUND([1]!NPVF2("MP","SLA","N",0.05,"M",$P15,$P15,0,0,120,0,"UP84","UP84","P","","")/[1]!NPVF2("MP","JSC","N",0.05,"M",$P15,$P15,CP$4,0.5,0,0,"UP84","UP84","P","",""),4)</f>
        <v>1.0511999999999999</v>
      </c>
      <c r="CQ15" s="257">
        <f>ROUND([1]!NPVF2("MP","SLA","N",0.05,"M",$P15,$P15,0,0,120,0,"UP84","UP84","P","","")/[1]!NPVF2("MP","JSC","N",0.05,"M",$P15,$P15,CQ$4,0.5,0,0,"UP84","UP84","P","",""),4)</f>
        <v>1.0550999999999999</v>
      </c>
      <c r="CR15" s="257">
        <f>ROUND([1]!NPVF2("MP","SLA","N",0.05,"M",$P15,$P15,0,0,120,0,"UP84","UP84","P","","")/[1]!NPVF2("MP","JSC","N",0.05,"M",$P15,$P15,CR$4,0.5,0,0,"UP84","UP84","P","",""),4)</f>
        <v>1.0588</v>
      </c>
      <c r="CS15" s="257">
        <f>ROUND([1]!NPVF2("MP","SLA","N",0.05,"M",$P15,$P15,0,0,120,0,"UP84","UP84","P","","")/[1]!NPVF2("MP","JSC","N",0.05,"M",$P15,$P15,CS$4,0.5,0,0,"UP84","UP84","P","",""),4)</f>
        <v>1.0622</v>
      </c>
      <c r="CT15" s="257">
        <f>ROUND([1]!NPVF2("MP","SLA","N",0.05,"M",$P15,$P15,0,0,120,0,"UP84","UP84","P","","")/[1]!NPVF2("MP","JSC","N",0.05,"M",$P15,$P15,CT$4,0.5,0,0,"UP84","UP84","P","",""),4)</f>
        <v>1.0653999999999999</v>
      </c>
      <c r="CU15" s="257">
        <f>ROUND([1]!NPVF2("MP","SLA","N",0.05,"M",$P15,$P15,0,0,120,0,"UP84","UP84","P","","")/[1]!NPVF2("MP","JSC","N",0.05,"M",$P15,$P15,CU$4,0.5,0,0,"UP84","UP84","P","",""),4)</f>
        <v>1.0683</v>
      </c>
      <c r="CV15" s="257">
        <f>ROUND([1]!NPVF2("MP","SLA","N",0.05,"M",$P15,$P15,0,0,120,0,"UP84","UP84","P","","")/[1]!NPVF2("MP","JSC","N",0.05,"M",$P15,$P15,CV$4,0.5,0,0,"UP84","UP84","P","",""),4)</f>
        <v>1.0710999999999999</v>
      </c>
      <c r="CW15" s="258">
        <f>ROUND([1]!NPVF2("MP","SLA","N",0.05,"M",$P15,$P15,0,0,120,0,"UP84","UP84","P","","")/[1]!NPVF2("MP","JSC","N",0.05,"M",$P15,$P15,CW$4,0.5,0,0,"UP84","UP84","P","",""),4)</f>
        <v>1.0736000000000001</v>
      </c>
      <c r="CX15" s="62"/>
      <c r="CY15" s="150"/>
      <c r="DB15" s="79"/>
      <c r="DD15" t="s">
        <v>405</v>
      </c>
      <c r="DH15" s="66"/>
      <c r="DL15" t="s">
        <v>142</v>
      </c>
      <c r="DM15" s="76">
        <f>DCOUNT(Beneficiaries_in_Pay,"PVPBL_ANN_RATES",Beneficiary_Criteria)</f>
        <v>0</v>
      </c>
      <c r="DN15" t="s">
        <v>422</v>
      </c>
      <c r="DO15" s="274">
        <f>DSUM(Beneficiaries_in_Pay,"BNNFA_PVMB_NO_LOAD",All_Criteria)</f>
        <v>0</v>
      </c>
      <c r="DP15" s="274">
        <f>DSUM(Beneficiaries_in_Pay,"BNNFA_LOAD",All_Criteria)</f>
        <v>0</v>
      </c>
      <c r="DQ15" s="46">
        <f t="shared" si="3"/>
        <v>0</v>
      </c>
      <c r="DS15" s="76"/>
      <c r="DW15" s="93">
        <v>1919</v>
      </c>
      <c r="DX15" s="16">
        <v>11232</v>
      </c>
      <c r="DY15" s="47">
        <v>11232</v>
      </c>
      <c r="DZ15" s="47">
        <v>11232</v>
      </c>
      <c r="EA15" s="47">
        <v>11232</v>
      </c>
      <c r="EB15" s="47">
        <v>11232</v>
      </c>
      <c r="EC15" s="47">
        <v>11232</v>
      </c>
      <c r="ED15" s="47">
        <v>11232</v>
      </c>
      <c r="EE15" s="47">
        <v>11232</v>
      </c>
      <c r="EF15" s="47">
        <v>11232</v>
      </c>
      <c r="EG15" s="47">
        <v>11232</v>
      </c>
      <c r="EH15" s="47">
        <v>11232</v>
      </c>
      <c r="EI15" s="47">
        <v>11232</v>
      </c>
      <c r="EJ15" s="47">
        <v>11232</v>
      </c>
      <c r="EK15" s="208">
        <v>11232</v>
      </c>
      <c r="EN15" s="43">
        <v>1919</v>
      </c>
      <c r="EO15" s="106">
        <v>12708</v>
      </c>
      <c r="EP15" s="127">
        <v>12840</v>
      </c>
      <c r="EQ15" s="149">
        <v>12640</v>
      </c>
      <c r="ER15" s="127"/>
      <c r="ES15" s="127"/>
      <c r="ET15" s="127"/>
      <c r="EU15" s="127"/>
      <c r="EV15" s="41">
        <v>11232</v>
      </c>
      <c r="EW15" s="127">
        <v>11232</v>
      </c>
      <c r="EX15" s="202">
        <v>11232</v>
      </c>
      <c r="EY15" s="47">
        <v>11232</v>
      </c>
      <c r="EZ15" s="47">
        <v>11232</v>
      </c>
      <c r="FA15" s="47">
        <v>11232</v>
      </c>
      <c r="FB15" s="47">
        <v>11232</v>
      </c>
      <c r="FC15" s="47">
        <v>11232</v>
      </c>
      <c r="FD15" s="47">
        <v>11232</v>
      </c>
      <c r="FE15" s="47">
        <v>11232</v>
      </c>
      <c r="FF15" s="47">
        <v>11232</v>
      </c>
      <c r="FG15" s="47">
        <v>11232</v>
      </c>
      <c r="FH15" s="47">
        <v>11232</v>
      </c>
      <c r="FI15" s="47">
        <v>11232</v>
      </c>
      <c r="FJ15" s="47">
        <v>11232</v>
      </c>
      <c r="FK15" s="208">
        <v>11232</v>
      </c>
    </row>
    <row r="16" spans="1:167" ht="15.75">
      <c r="A16" s="19">
        <v>54</v>
      </c>
      <c r="B16" s="122">
        <v>0.43</v>
      </c>
      <c r="C16" s="62"/>
      <c r="D16" s="209">
        <f t="shared" si="0"/>
        <v>11</v>
      </c>
      <c r="E16" s="126">
        <f>[1]!PBGCLRF(65+D16/12)</f>
        <v>1.0916999999999999</v>
      </c>
      <c r="F16" s="62"/>
      <c r="G16" s="175">
        <v>5</v>
      </c>
      <c r="H16" s="151">
        <v>1</v>
      </c>
      <c r="I16" s="62"/>
      <c r="J16" s="19">
        <v>12</v>
      </c>
      <c r="K16" s="122">
        <f t="shared" si="1"/>
        <v>0.93333333333333357</v>
      </c>
      <c r="L16" s="62"/>
      <c r="M16" s="297">
        <v>12</v>
      </c>
      <c r="N16" s="122">
        <f>[1]!LRFAEQ(0.065,"M",65,M16,0,"GM71","GM71","MP","Y","N","",65)</f>
        <v>1.1203887316541417</v>
      </c>
      <c r="O16" s="62"/>
      <c r="P16" s="130">
        <v>66</v>
      </c>
      <c r="Q16" s="155">
        <f>[1]!BFCFAEQ("SLA",0,0,0,"JSC",0.5,0,0,P16,Q$4,"M","F",0.065,"GM71","GM71","MP","N","","","")</f>
        <v>0.71442484859106259</v>
      </c>
      <c r="R16" s="155">
        <f>[1]!BFCFAEQ("SLA",0,0,0,"JSC",0.5,0,0,P16,R$4,"M","F",0.065,"GM71","GM71","MP","N","","","")</f>
        <v>0.71488671715947671</v>
      </c>
      <c r="S16" s="155">
        <f>[1]!BFCFAEQ("SLA",0,0,0,"JSC",0.5,0,0,P16,S$4,"M","F",0.065,"GM71","GM71","MP","N","","","")</f>
        <v>0.71537390296016035</v>
      </c>
      <c r="T16" s="155">
        <f>[1]!BFCFAEQ("SLA",0,0,0,"JSC",0.5,0,0,P16,T$4,"M","F",0.065,"GM71","GM71","MP","N","","","")</f>
        <v>0.71588770684645486</v>
      </c>
      <c r="U16" s="155">
        <f>[1]!BFCFAEQ("SLA",0,0,0,"JSC",0.5,0,0,P16,U$4,"M","F",0.065,"GM71","GM71","MP","N","","","")</f>
        <v>0.71642950589546861</v>
      </c>
      <c r="V16" s="155">
        <f>[1]!BFCFAEQ("SLA",0,0,0,"JSC",0.5,0,0,P16,V$4,"M","F",0.065,"GM71","GM71","MP","N","","","")</f>
        <v>0.71690820114495746</v>
      </c>
      <c r="W16" s="155">
        <f>[1]!BFCFAEQ("SLA",0,0,0,"JSC",0.5,0,0,P16,W$4,"M","F",0.065,"GM71","GM71","MP","N","","","")</f>
        <v>0.71742491679920894</v>
      </c>
      <c r="X16" s="155">
        <f>[1]!BFCFAEQ("SLA",0,0,0,"JSC",0.5,0,0,P16,X$4,"M","F",0.065,"GM71","GM71","MP","N","","","")</f>
        <v>0.71797936080284042</v>
      </c>
      <c r="Y16" s="155">
        <f>[1]!BFCFAEQ("SLA",0,0,0,"JSC",0.5,0,0,P16,Y$4,"M","F",0.065,"GM71","GM71","MP","N","","","")</f>
        <v>0.71857154749847862</v>
      </c>
      <c r="Z16" s="155">
        <f>[1]!BFCFAEQ("SLA",0,0,0,"JSC",0.5,0,0,P16,Z$4,"M","F",0.065,"GM71","GM71","MP","N","","","")</f>
        <v>0.71920201118704963</v>
      </c>
      <c r="AA16" s="155">
        <f>[1]!BFCFAEQ("SLA",0,0,0,"JSC",0.5,0,0,P16,AA$4,"M","F",0.065,"GM71","GM71","MP","N","","","")</f>
        <v>0.71987221848293792</v>
      </c>
      <c r="AB16" s="155">
        <f>[1]!BFCFAEQ("SLA",0,0,0,"JSC",0.5,0,0,P16,AB$4,"M","F",0.065,"GM71","GM71","MP","N","","","")</f>
        <v>0.72058336261075984</v>
      </c>
      <c r="AC16" s="155">
        <f>[1]!BFCFAEQ("SLA",0,0,0,"JSC",0.5,0,0,P16,AC$4,"M","F",0.065,"GM71","GM71","MP","N","","","")</f>
        <v>0.72133778419194294</v>
      </c>
      <c r="AD16" s="155">
        <f>[1]!BFCFAEQ("SLA",0,0,0,"JSC",0.5,0,0,P16,AD$4,"M","F",0.065,"GM71","GM71","MP","N","","","")</f>
        <v>0.72213816633174999</v>
      </c>
      <c r="AE16" s="155">
        <f>[1]!BFCFAEQ("SLA",0,0,0,"JSC",0.5,0,0,P16,AE$4,"M","F",0.065,"GM71","GM71","MP","N","","","")</f>
        <v>0.72298713696788408</v>
      </c>
      <c r="AF16" s="155">
        <f>[1]!BFCFAEQ("SLA",0,0,0,"JSC",0.5,0,0,P16,AF$4,"M","F",0.065,"GM71","GM71","MP","N","","","")</f>
        <v>0.72388727590180657</v>
      </c>
      <c r="AG16" s="155">
        <f>[1]!BFCFAEQ("SLA",0,0,0,"JSC",0.5,0,0,P16,AG$4,"M","F",0.065,"GM71","GM71","MP","N","","","")</f>
        <v>0.72484172100776267</v>
      </c>
      <c r="AH16" s="155">
        <f>[1]!BFCFAEQ("SLA",0,0,0,"JSC",0.5,0,0,P16,AH$4,"M","F",0.065,"GM71","GM71","MP","N","","","")</f>
        <v>0.72585337116061543</v>
      </c>
      <c r="AI16" s="155">
        <f>[1]!BFCFAEQ("SLA",0,0,0,"JSC",0.5,0,0,P16,AI$4,"M","F",0.065,"GM71","GM71","MP","N","","","")</f>
        <v>0.72692549073837931</v>
      </c>
      <c r="AJ16" s="155">
        <f>[1]!BFCFAEQ("SLA",0,0,0,"JSC",0.5,0,0,P16,AJ$4,"M","F",0.065,"GM71","GM71","MP","N","","","")</f>
        <v>0.7280615118946383</v>
      </c>
      <c r="AK16" s="155">
        <f>[1]!BFCFAEQ("SLA",0,0,0,"JSC",0.5,0,0,P16,AK$4,"M","F",0.065,"GM71","GM71","MP","N","","","")</f>
        <v>0.72926483866428826</v>
      </c>
      <c r="AL16" s="155">
        <f>[1]!BFCFAEQ("SLA",0,0,0,"JSC",0.5,0,0,P16,AL$4,"M","F",0.065,"GM71","GM71","MP","N","","","")</f>
        <v>0.73053904805898429</v>
      </c>
      <c r="AM16" s="155">
        <f>[1]!BFCFAEQ("SLA",0,0,0,"JSC",0.5,0,0,P16,AM$4,"M","F",0.065,"GM71","GM71","MP","N","","","")</f>
        <v>0.73188769411782473</v>
      </c>
      <c r="AN16" s="155">
        <f>[1]!BFCFAEQ("SLA",0,0,0,"JSC",0.5,0,0,P16,AN$4,"M","F",0.065,"GM71","GM71","MP","N","","","")</f>
        <v>0.73331509371191683</v>
      </c>
      <c r="AO16" s="155">
        <f>[1]!BFCFAEQ("SLA",0,0,0,"JSC",0.5,0,0,P16,AO$4,"M","F",0.065,"GM71","GM71","MP","N","","","")</f>
        <v>0.73482514289871392</v>
      </c>
      <c r="AP16" s="155">
        <f>[1]!BFCFAEQ("SLA",0,0,0,"JSC",0.5,0,0,P16,AP$4,"M","F",0.065,"GM71","GM71","MP","N","","","")</f>
        <v>0.73642190685630626</v>
      </c>
      <c r="AQ16" s="155">
        <f>[1]!BFCFAEQ("SLA",0,0,0,"JSC",0.5,0,0,P16,AQ$4,"M","F",0.065,"GM71","GM71","MP","N","","","")</f>
        <v>0.73810961572978961</v>
      </c>
      <c r="AR16" s="155">
        <f>[1]!BFCFAEQ("SLA",0,0,0,"JSC",0.5,0,0,P16,AR$4,"M","F",0.065,"GM71","GM71","MP","N","","","")</f>
        <v>0.73989265892584599</v>
      </c>
      <c r="AS16" s="155">
        <f>[1]!BFCFAEQ("SLA",0,0,0,"JSC",0.5,0,0,P16,AS$4,"M","F",0.065,"GM71","GM71","MP","N","","","")</f>
        <v>0.74177538606713367</v>
      </c>
      <c r="AT16" s="155">
        <f>[1]!BFCFAEQ("SLA",0,0,0,"JSC",0.5,0,0,P16,AT$4,"M","F",0.065,"GM71","GM71","MP","N","","","")</f>
        <v>0.74376248474693485</v>
      </c>
      <c r="AU16" s="155">
        <f>[1]!BFCFAEQ("SLA",0,0,0,"JSC",0.5,0,0,P16,AU$4,"M","F",0.065,"GM71","GM71","MP","N","","","")</f>
        <v>0.74585839561084644</v>
      </c>
      <c r="AV16" s="155">
        <f>[1]!BFCFAEQ("SLA",0,0,0,"JSC",0.5,0,0,P16,AV$4,"M","F",0.065,"GM71","GM71","MP","N","","","")</f>
        <v>0.74806768815861313</v>
      </c>
      <c r="AW16" s="155">
        <f>[1]!BFCFAEQ("SLA",0,0,0,"JSC",0.5,0,0,P16,AW$4,"M","F",0.065,"GM71","GM71","MP","N","","","")</f>
        <v>0.75039504669547241</v>
      </c>
      <c r="AX16" s="155">
        <f>[1]!BFCFAEQ("SLA",0,0,0,"JSC",0.5,0,0,P16,AX$4,"M","F",0.065,"GM71","GM71","MP","N","","","")</f>
        <v>0.75284506611303892</v>
      </c>
      <c r="AY16" s="155">
        <f>[1]!BFCFAEQ("SLA",0,0,0,"JSC",0.5,0,0,P16,AY$4,"M","F",0.065,"GM71","GM71","MP","N","","","")</f>
        <v>0.75542242137662452</v>
      </c>
      <c r="AZ16" s="155">
        <f>[1]!BFCFAEQ("SLA",0,0,0,"JSC",0.5,0,0,P16,AZ$4,"M","F",0.065,"GM71","GM71","MP","N","","","")</f>
        <v>0.75813147377786216</v>
      </c>
      <c r="BA16" s="155">
        <f>[1]!BFCFAEQ("SLA",0,0,0,"JSC",0.5,0,0,P16,BA$4,"M","F",0.065,"GM71","GM71","MP","N","","","")</f>
        <v>0.76097698304062933</v>
      </c>
      <c r="BB16" s="155">
        <f>[1]!BFCFAEQ("SLA",0,0,0,"JSC",0.5,0,0,P16,BB$4,"M","F",0.065,"GM71","GM71","MP","N","","","")</f>
        <v>0.76396315186071007</v>
      </c>
      <c r="BC16" s="155">
        <f>[1]!BFCFAEQ("SLA",0,0,0,"JSC",0.5,0,0,P16,BC$4,"M","F",0.065,"GM71","GM71","MP","N","","","")</f>
        <v>0.76709378587930632</v>
      </c>
      <c r="BD16" s="155">
        <f>[1]!BFCFAEQ("SLA",0,0,0,"JSC",0.5,0,0,P16,BD$4,"M","F",0.065,"GM71","GM71","MP","N","","","")</f>
        <v>0.77037279548140913</v>
      </c>
      <c r="BE16" s="155">
        <f>[1]!BFCFAEQ("SLA",0,0,0,"JSC",0.5,0,0,P16,BE$4,"M","F",0.065,"GM71","GM71","MP","N","","","")</f>
        <v>0.77380360602692222</v>
      </c>
      <c r="BF16" s="155">
        <f>[1]!BFCFAEQ("SLA",0,0,0,"JSC",0.5,0,0,P16,BF$4,"M","F",0.065,"GM71","GM71","MP","N","","","")</f>
        <v>0.77738599347782344</v>
      </c>
      <c r="BG16" s="155">
        <f>[1]!BFCFAEQ("SLA",0,0,0,"JSC",0.5,0,0,P16,BG$4,"M","F",0.065,"GM71","GM71","MP","N","","","")</f>
        <v>0.78111572221184566</v>
      </c>
      <c r="BH16" s="155">
        <f>[1]!BFCFAEQ("SLA",0,0,0,"JSC",0.5,0,0,P16,BH$4,"M","F",0.065,"GM71","GM71","MP","N","","","")</f>
        <v>0.78498967786738494</v>
      </c>
      <c r="BI16" s="155">
        <f>[1]!BFCFAEQ("SLA",0,0,0,"JSC",0.5,0,0,P16,BI$4,"M","F",0.065,"GM71","GM71","MP","N","","","")</f>
        <v>0.78900479065411422</v>
      </c>
      <c r="BJ16" s="155">
        <f>[1]!BFCFAEQ("SLA",0,0,0,"JSC",0.5,0,0,P16,BJ$4,"M","F",0.065,"GM71","GM71","MP","N","","","")</f>
        <v>0.79315883941224952</v>
      </c>
      <c r="BK16" s="155">
        <f>[1]!BFCFAEQ("SLA",0,0,0,"JSC",0.5,0,0,P16,BK$4,"M","F",0.065,"GM71","GM71","MP","N","","","")</f>
        <v>0.79744971377970375</v>
      </c>
      <c r="BL16" s="155">
        <f>[1]!BFCFAEQ("SLA",0,0,0,"JSC",0.5,0,0,P16,BL$4,"M","F",0.065,"GM71","GM71","MP","N","","","")</f>
        <v>0.80187568151277355</v>
      </c>
      <c r="BM16" s="155">
        <f>[1]!BFCFAEQ("SLA",0,0,0,"JSC",0.5,0,0,P16,BM$4,"M","F",0.065,"GM71","GM71","MP","N","","","")</f>
        <v>0.80643514371432135</v>
      </c>
      <c r="BN16" s="155">
        <f>[1]!BFCFAEQ("SLA",0,0,0,"JSC",0.5,0,0,P16,BN$4,"M","F",0.065,"GM71","GM71","MP","N","","","")</f>
        <v>0.81112624030843927</v>
      </c>
      <c r="BO16" s="155">
        <f>[1]!BFCFAEQ("SLA",0,0,0,"JSC",0.5,0,0,P16,BO$4,"M","F",0.065,"GM71","GM71","MP","N","","","")</f>
        <v>0.81594753720287772</v>
      </c>
      <c r="BP16" s="155">
        <f>[1]!BFCFAEQ("SLA",0,0,0,"JSC",0.5,0,0,P16,BP$4,"M","F",0.065,"GM71","GM71","MP","N","","","")</f>
        <v>0.8208965380196791</v>
      </c>
      <c r="BQ16" s="155">
        <f>[1]!BFCFAEQ("SLA",0,0,0,"JSC",0.5,0,0,P16,BQ$4,"M","F",0.065,"GM71","GM71","MP","N","","","")</f>
        <v>0.82597110539433516</v>
      </c>
      <c r="BR16" s="155">
        <f>[1]!BFCFAEQ("SLA",0,0,0,"JSC",0.5,0,0,P16,BR$4,"M","F",0.065,"GM71","GM71","MP","N","","","")</f>
        <v>0.83116799164445121</v>
      </c>
      <c r="BS16" s="155">
        <f>[1]!BFCFAEQ("SLA",0,0,0,"JSC",0.5,0,0,P16,BS$4,"M","F",0.065,"GM71","GM71","MP","N","","","")</f>
        <v>0.83648347276022739</v>
      </c>
      <c r="BT16" s="155">
        <f>[1]!BFCFAEQ("SLA",0,0,0,"JSC",0.5,0,0,P16,BT$4,"M","F",0.065,"GM71","GM71","MP","N","","","")</f>
        <v>0.8419126628442456</v>
      </c>
      <c r="BU16" s="155">
        <f>[1]!BFCFAEQ("SLA",0,0,0,"JSC",0.5,0,0,P16,BU$4,"M","F",0.065,"GM71","GM71","MP","N","","","")</f>
        <v>0.84745021256061548</v>
      </c>
      <c r="BV16" s="155">
        <f>[1]!BFCFAEQ("SLA",0,0,0,"JSC",0.5,0,0,P16,BV$4,"M","F",0.065,"GM71","GM71","MP","N","","","")</f>
        <v>0.85308908268195383</v>
      </c>
      <c r="BW16" s="155">
        <f>[1]!BFCFAEQ("SLA",0,0,0,"JSC",0.5,0,0,P16,BW$4,"M","F",0.065,"GM71","GM71","MP","N","","","")</f>
        <v>0.85881618362767731</v>
      </c>
      <c r="BX16" s="155">
        <f>[1]!BFCFAEQ("SLA",0,0,0,"JSC",0.5,0,0,P16,BX$4,"M","F",0.065,"GM71","GM71","MP","N","","","")</f>
        <v>0.86460441968731039</v>
      </c>
      <c r="BY16" s="155">
        <f>[1]!BFCFAEQ("SLA",0,0,0,"JSC",0.5,0,0,P16,BY$4,"M","F",0.065,"GM71","GM71","MP","N","","","")</f>
        <v>0.87043075499005451</v>
      </c>
      <c r="BZ16" s="155">
        <f>[1]!BFCFAEQ("SLA",0,0,0,"JSC",0.5,0,0,P16,BZ$4,"M","F",0.065,"GM71","GM71","MP","N","","","")</f>
        <v>0.87627678312498969</v>
      </c>
      <c r="CA16" s="155">
        <f>[1]!BFCFAEQ("SLA",0,0,0,"JSC",0.5,0,0,P16,CA$4,"M","F",0.065,"GM71","GM71","MP","N","","","")</f>
        <v>0.8821269690024629</v>
      </c>
      <c r="CB16" s="155">
        <f>[1]!BFCFAEQ("SLA",0,0,0,"JSC",0.5,0,0,P16,CB$4,"M","F",0.065,"GM71","GM71","MP","N","","","")</f>
        <v>0.88796313198703491</v>
      </c>
      <c r="CC16" s="155">
        <f>[1]!BFCFAEQ("SLA",0,0,0,"JSC",0.5,0,0,P16,CC$4,"M","F",0.065,"GM71","GM71","MP","N","","","")</f>
        <v>0.89375820828296948</v>
      </c>
      <c r="CD16" s="155">
        <f>[1]!BFCFAEQ("SLA",0,0,0,"JSC",0.5,0,0,P16,CD$4,"M","F",0.065,"GM71","GM71","MP","N","","","")</f>
        <v>0.89947976262967155</v>
      </c>
      <c r="CE16" s="155">
        <f>[1]!BFCFAEQ("SLA",0,0,0,"JSC",0.5,0,0,P16,CE$4,"M","F",0.065,"GM71","GM71","MP","N","","","")</f>
        <v>0.90509865467790174</v>
      </c>
      <c r="CF16" s="155">
        <f>[1]!BFCFAEQ("SLA",0,0,0,"JSC",0.5,0,0,P16,CF$4,"M","F",0.065,"GM71","GM71","MP","N","","","")</f>
        <v>0.91059118822935081</v>
      </c>
      <c r="CG16" s="155">
        <f>[1]!BFCFAEQ("SLA",0,0,0,"JSC",0.5,0,0,P16,CG$4,"M","F",0.065,"GM71","GM71","MP","N","","","")</f>
        <v>0.91594452128969517</v>
      </c>
      <c r="CH16" s="155">
        <f>[1]!BFCFAEQ("SLA",0,0,0,"JSC",0.5,0,0,P16,CH$4,"M","F",0.065,"GM71","GM71","MP","N","","","")</f>
        <v>0.92113451044622896</v>
      </c>
      <c r="CI16" s="155">
        <f>[1]!BFCFAEQ("SLA",0,0,0,"JSC",0.5,0,0,P16,CI$4,"M","F",0.065,"GM71","GM71","MP","N","","","")</f>
        <v>0.92613845714478615</v>
      </c>
      <c r="CJ16" s="155">
        <f>[1]!BFCFAEQ("SLA",0,0,0,"JSC",0.5,0,0,P16,CJ$4,"M","F",0.065,"GM71","GM71","MP","N","","","")</f>
        <v>0.93095223787401316</v>
      </c>
      <c r="CK16" s="155">
        <f>[1]!BFCFAEQ("SLA",0,0,0,"JSC",0.5,0,0,P16,CK$4,"M","F",0.065,"GM71","GM71","MP","N","","","")</f>
        <v>0.93559374362866754</v>
      </c>
      <c r="CL16" s="155">
        <f>[1]!BFCFAEQ("SLA",0,0,0,"JSC",0.5,0,0,P16,CL$4,"M","F",0.065,"GM71","GM71","MP","N","","","")</f>
        <v>0.94008199812183824</v>
      </c>
      <c r="CM16" s="155">
        <f>[1]!BFCFAEQ("SLA",0,0,0,"JSC",0.5,0,0,P16,CM$4,"M","F",0.065,"GM71","GM71","MP","N","","","")</f>
        <v>0.94441860713881276</v>
      </c>
      <c r="CN16" s="257">
        <f>ROUND([1]!NPVF2("MP","SLA","N",0.05,"M",$P16,$P16,0,0,120,0,"UP84","UP84","P","","")/[1]!NPVF2("MP","JSC","N",0.05,"M",$P16,$P16,CN$4,0.5,0,0,"UP84","UP84","P","",""),4)</f>
        <v>1.0477000000000001</v>
      </c>
      <c r="CO16" s="257">
        <f>ROUND([1]!NPVF2("MP","SLA","N",0.05,"M",$P16,$P16,0,0,120,0,"UP84","UP84","P","","")/[1]!NPVF2("MP","JSC","N",0.05,"M",$P16,$P16,CO$4,0.5,0,0,"UP84","UP84","P","",""),4)</f>
        <v>1.0525</v>
      </c>
      <c r="CP16" s="257">
        <f>ROUND([1]!NPVF2("MP","SLA","N",0.05,"M",$P16,$P16,0,0,120,0,"UP84","UP84","P","","")/[1]!NPVF2("MP","JSC","N",0.05,"M",$P16,$P16,CP$4,0.5,0,0,"UP84","UP84","P","",""),4)</f>
        <v>1.0569999999999999</v>
      </c>
      <c r="CQ16" s="257">
        <f>ROUND([1]!NPVF2("MP","SLA","N",0.05,"M",$P16,$P16,0,0,120,0,"UP84","UP84","P","","")/[1]!NPVF2("MP","JSC","N",0.05,"M",$P16,$P16,CQ$4,0.5,0,0,"UP84","UP84","P","",""),4)</f>
        <v>1.0612999999999999</v>
      </c>
      <c r="CR16" s="257">
        <f>ROUND([1]!NPVF2("MP","SLA","N",0.05,"M",$P16,$P16,0,0,120,0,"UP84","UP84","P","","")/[1]!NPVF2("MP","JSC","N",0.05,"M",$P16,$P16,CR$4,0.5,0,0,"UP84","UP84","P","",""),4)</f>
        <v>1.0653999999999999</v>
      </c>
      <c r="CS16" s="257">
        <f>ROUND([1]!NPVF2("MP","SLA","N",0.05,"M",$P16,$P16,0,0,120,0,"UP84","UP84","P","","")/[1]!NPVF2("MP","JSC","N",0.05,"M",$P16,$P16,CS$4,0.5,0,0,"UP84","UP84","P","",""),4)</f>
        <v>1.0691999999999999</v>
      </c>
      <c r="CT16" s="257">
        <f>ROUND([1]!NPVF2("MP","SLA","N",0.05,"M",$P16,$P16,0,0,120,0,"UP84","UP84","P","","")/[1]!NPVF2("MP","JSC","N",0.05,"M",$P16,$P16,CT$4,0.5,0,0,"UP84","UP84","P","",""),4)</f>
        <v>1.0727</v>
      </c>
      <c r="CU16" s="257">
        <f>ROUND([1]!NPVF2("MP","SLA","N",0.05,"M",$P16,$P16,0,0,120,0,"UP84","UP84","P","","")/[1]!NPVF2("MP","JSC","N",0.05,"M",$P16,$P16,CU$4,0.5,0,0,"UP84","UP84","P","",""),4)</f>
        <v>1.0760000000000001</v>
      </c>
      <c r="CV16" s="257">
        <f>ROUND([1]!NPVF2("MP","SLA","N",0.05,"M",$P16,$P16,0,0,120,0,"UP84","UP84","P","","")/[1]!NPVF2("MP","JSC","N",0.05,"M",$P16,$P16,CV$4,0.5,0,0,"UP84","UP84","P","",""),4)</f>
        <v>1.079</v>
      </c>
      <c r="CW16" s="258">
        <f>ROUND([1]!NPVF2("MP","SLA","N",0.05,"M",$P16,$P16,0,0,120,0,"UP84","UP84","P","","")/[1]!NPVF2("MP","JSC","N",0.05,"M",$P16,$P16,CW$4,0.5,0,0,"UP84","UP84","P","",""),4)</f>
        <v>1.0819000000000001</v>
      </c>
      <c r="CX16" s="62"/>
      <c r="CY16" s="150"/>
      <c r="DB16" s="79"/>
      <c r="DD16" s="76" t="s">
        <v>496</v>
      </c>
      <c r="DH16" s="66"/>
      <c r="DL16" t="s">
        <v>136</v>
      </c>
      <c r="DM16">
        <f>DCOUNT(Active_Vesteds,"PVPBL_ANN_RATES",All_Criteria)</f>
        <v>0</v>
      </c>
      <c r="DN16" t="s">
        <v>422</v>
      </c>
      <c r="DO16" s="46">
        <f>DSUM(Active_Vesteds,"BNNFA_PVMB_NO_LOAD",All_Criteria)</f>
        <v>0</v>
      </c>
      <c r="DP16" s="46">
        <f>DSUM(Active_Vesteds,"BNNFA_LOAD",All_Criteria)</f>
        <v>0</v>
      </c>
      <c r="DQ16" s="46">
        <f t="shared" si="3"/>
        <v>0</v>
      </c>
      <c r="DW16" s="93">
        <v>1920</v>
      </c>
      <c r="DX16" s="16">
        <v>12276</v>
      </c>
      <c r="DY16" s="47">
        <v>12276</v>
      </c>
      <c r="DZ16" s="47">
        <v>12276</v>
      </c>
      <c r="EA16" s="47">
        <v>12276</v>
      </c>
      <c r="EB16" s="47">
        <v>12276</v>
      </c>
      <c r="EC16" s="47">
        <v>12276</v>
      </c>
      <c r="ED16" s="47">
        <v>12276</v>
      </c>
      <c r="EE16" s="47">
        <v>12276</v>
      </c>
      <c r="EF16" s="47">
        <v>12276</v>
      </c>
      <c r="EG16" s="47">
        <v>12276</v>
      </c>
      <c r="EH16" s="47">
        <v>12276</v>
      </c>
      <c r="EI16" s="47">
        <v>12276</v>
      </c>
      <c r="EJ16" s="47">
        <v>12276</v>
      </c>
      <c r="EK16" s="208">
        <v>12276</v>
      </c>
      <c r="EN16" s="43">
        <v>1920</v>
      </c>
      <c r="EO16" s="106">
        <v>13464</v>
      </c>
      <c r="EP16" s="127">
        <v>13716</v>
      </c>
      <c r="EQ16" s="149">
        <v>13800</v>
      </c>
      <c r="ER16" s="127">
        <v>13800</v>
      </c>
      <c r="ES16" s="127"/>
      <c r="ET16" s="127"/>
      <c r="EU16" s="127"/>
      <c r="EV16" s="41">
        <v>12276</v>
      </c>
      <c r="EW16" s="127">
        <v>12276</v>
      </c>
      <c r="EX16" s="202">
        <v>12276</v>
      </c>
      <c r="EY16" s="47">
        <v>12276</v>
      </c>
      <c r="EZ16" s="47">
        <v>12276</v>
      </c>
      <c r="FA16" s="47">
        <v>12276</v>
      </c>
      <c r="FB16" s="47">
        <v>12276</v>
      </c>
      <c r="FC16" s="47">
        <v>12276</v>
      </c>
      <c r="FD16" s="47">
        <v>12276</v>
      </c>
      <c r="FE16" s="47">
        <v>12276</v>
      </c>
      <c r="FF16" s="47">
        <v>12276</v>
      </c>
      <c r="FG16" s="47">
        <v>12276</v>
      </c>
      <c r="FH16" s="47">
        <v>12276</v>
      </c>
      <c r="FI16" s="47">
        <v>12276</v>
      </c>
      <c r="FJ16" s="47">
        <v>12276</v>
      </c>
      <c r="FK16" s="208">
        <v>12276</v>
      </c>
    </row>
    <row r="17" spans="1:167" ht="16.5" thickBot="1">
      <c r="A17" s="164">
        <v>53</v>
      </c>
      <c r="B17" s="122">
        <v>0.41</v>
      </c>
      <c r="C17" s="62"/>
      <c r="D17" s="209">
        <f t="shared" si="0"/>
        <v>12</v>
      </c>
      <c r="E17" s="126">
        <f>[1]!PBGCLRF(65+D17/12)</f>
        <v>1.1000000000000001</v>
      </c>
      <c r="F17" s="62"/>
      <c r="G17" s="148">
        <v>5</v>
      </c>
      <c r="H17" s="105">
        <v>1</v>
      </c>
      <c r="I17" s="62"/>
      <c r="J17" s="19">
        <v>13</v>
      </c>
      <c r="K17" s="122">
        <f t="shared" si="1"/>
        <v>0.92777777777777803</v>
      </c>
      <c r="L17" s="62"/>
      <c r="M17" s="297">
        <v>13</v>
      </c>
      <c r="N17" s="122">
        <f>[1]!LRFAEQ(0.065,"M",65,M17,0,"GM71","GM71","MP","Y","N","",65)</f>
        <v>1.1319896413382136</v>
      </c>
      <c r="O17" s="62"/>
      <c r="P17" s="130">
        <v>67</v>
      </c>
      <c r="Q17" s="155">
        <f>[1]!BFCFAEQ("SLA",0,0,0,"JSC",0.5,0,0,P17,Q$4,"M","F",0.065,"GM71","GM71","MP","N","","","")</f>
        <v>0.70064025276736197</v>
      </c>
      <c r="R17" s="155">
        <f>[1]!BFCFAEQ("SLA",0,0,0,"JSC",0.5,0,0,P17,R$4,"M","F",0.065,"GM71","GM71","MP","N","","","")</f>
        <v>0.70110142781899065</v>
      </c>
      <c r="S17" s="155">
        <f>[1]!BFCFAEQ("SLA",0,0,0,"JSC",0.5,0,0,P17,S$4,"M","F",0.065,"GM71","GM71","MP","N","","","")</f>
        <v>0.70158787966537328</v>
      </c>
      <c r="T17" s="155">
        <f>[1]!BFCFAEQ("SLA",0,0,0,"JSC",0.5,0,0,P17,T$4,"M","F",0.065,"GM71","GM71","MP","N","","","")</f>
        <v>0.70210088778918578</v>
      </c>
      <c r="U17" s="155">
        <f>[1]!BFCFAEQ("SLA",0,0,0,"JSC",0.5,0,0,P17,U$4,"M","F",0.065,"GM71","GM71","MP","N","","","")</f>
        <v>0.70264180744815341</v>
      </c>
      <c r="V17" s="155">
        <f>[1]!BFCFAEQ("SLA",0,0,0,"JSC",0.5,0,0,P17,V$4,"M","F",0.065,"GM71","GM71","MP","N","","","")</f>
        <v>0.70311687317442984</v>
      </c>
      <c r="W17" s="155">
        <f>[1]!BFCFAEQ("SLA",0,0,0,"JSC",0.5,0,0,P17,W$4,"M","F",0.065,"GM71","GM71","MP","N","","","")</f>
        <v>0.70363003074862907</v>
      </c>
      <c r="X17" s="155">
        <f>[1]!BFCFAEQ("SLA",0,0,0,"JSC",0.5,0,0,P17,X$4,"M","F",0.065,"GM71","GM71","MP","N","","","")</f>
        <v>0.70418093159137252</v>
      </c>
      <c r="Y17" s="155">
        <f>[1]!BFCFAEQ("SLA",0,0,0,"JSC",0.5,0,0,P17,Y$4,"M","F",0.065,"GM71","GM71","MP","N","","","")</f>
        <v>0.7047695387191989</v>
      </c>
      <c r="Z17" s="155">
        <f>[1]!BFCFAEQ("SLA",0,0,0,"JSC",0.5,0,0,P17,Z$4,"M","F",0.065,"GM71","GM71","MP","N","","","")</f>
        <v>0.70539634703667642</v>
      </c>
      <c r="AA17" s="155">
        <f>[1]!BFCFAEQ("SLA",0,0,0,"JSC",0.5,0,0,P17,AA$4,"M","F",0.065,"GM71","GM71","MP","N","","","")</f>
        <v>0.70606280840308311</v>
      </c>
      <c r="AB17" s="155">
        <f>[1]!BFCFAEQ("SLA",0,0,0,"JSC",0.5,0,0,P17,AB$4,"M","F",0.065,"GM71","GM71","MP","N","","","")</f>
        <v>0.7067700914789804</v>
      </c>
      <c r="AC17" s="155">
        <f>[1]!BFCFAEQ("SLA",0,0,0,"JSC",0.5,0,0,P17,AC$4,"M","F",0.065,"GM71","GM71","MP","N","","","")</f>
        <v>0.70752054465298686</v>
      </c>
      <c r="AD17" s="155">
        <f>[1]!BFCFAEQ("SLA",0,0,0,"JSC",0.5,0,0,P17,AD$4,"M","F",0.065,"GM71","GM71","MP","N","","","")</f>
        <v>0.70831686849529296</v>
      </c>
      <c r="AE17" s="155">
        <f>[1]!BFCFAEQ("SLA",0,0,0,"JSC",0.5,0,0,P17,AE$4,"M","F",0.065,"GM71","GM71","MP","N","","","")</f>
        <v>0.70916170691051061</v>
      </c>
      <c r="AF17" s="155">
        <f>[1]!BFCFAEQ("SLA",0,0,0,"JSC",0.5,0,0,P17,AF$4,"M","F",0.065,"GM71","GM71","MP","N","","","")</f>
        <v>0.71005765485562156</v>
      </c>
      <c r="AG17" s="155">
        <f>[1]!BFCFAEQ("SLA",0,0,0,"JSC",0.5,0,0,P17,AG$4,"M","F",0.065,"GM71","GM71","MP","N","","","")</f>
        <v>0.71100788350148469</v>
      </c>
      <c r="AH17" s="155">
        <f>[1]!BFCFAEQ("SLA",0,0,0,"JSC",0.5,0,0,P17,AH$4,"M","F",0.065,"GM71","GM71","MP","N","","","")</f>
        <v>0.7120153201267464</v>
      </c>
      <c r="AI17" s="155">
        <f>[1]!BFCFAEQ("SLA",0,0,0,"JSC",0.5,0,0,P17,AI$4,"M","F",0.065,"GM71","GM71","MP","N","","","")</f>
        <v>0.71308327177708497</v>
      </c>
      <c r="AJ17" s="155">
        <f>[1]!BFCFAEQ("SLA",0,0,0,"JSC",0.5,0,0,P17,AJ$4,"M","F",0.065,"GM71","GM71","MP","N","","","")</f>
        <v>0.71421522274420413</v>
      </c>
      <c r="AK17" s="155">
        <f>[1]!BFCFAEQ("SLA",0,0,0,"JSC",0.5,0,0,P17,AK$4,"M","F",0.065,"GM71","GM71","MP","N","","","")</f>
        <v>0.71541463375280134</v>
      </c>
      <c r="AL17" s="155">
        <f>[1]!BFCFAEQ("SLA",0,0,0,"JSC",0.5,0,0,P17,AL$4,"M","F",0.065,"GM71","GM71","MP","N","","","")</f>
        <v>0.71668515044151504</v>
      </c>
      <c r="AM17" s="155">
        <f>[1]!BFCFAEQ("SLA",0,0,0,"JSC",0.5,0,0,P17,AM$4,"M","F",0.065,"GM71","GM71","MP","N","","","")</f>
        <v>0.71803040257093442</v>
      </c>
      <c r="AN17" s="155">
        <f>[1]!BFCFAEQ("SLA",0,0,0,"JSC",0.5,0,0,P17,AN$4,"M","F",0.065,"GM71","GM71","MP","N","","","")</f>
        <v>0.71945481623998586</v>
      </c>
      <c r="AO17" s="155">
        <f>[1]!BFCFAEQ("SLA",0,0,0,"JSC",0.5,0,0,P17,AO$4,"M","F",0.065,"GM71","GM71","MP","N","","","")</f>
        <v>0.720962394178565</v>
      </c>
      <c r="AP17" s="155">
        <f>[1]!BFCFAEQ("SLA",0,0,0,"JSC",0.5,0,0,P17,AP$4,"M","F",0.065,"GM71","GM71","MP","N","","","")</f>
        <v>0.72255732557383279</v>
      </c>
      <c r="AQ17" s="155">
        <f>[1]!BFCFAEQ("SLA",0,0,0,"JSC",0.5,0,0,P17,AQ$4,"M","F",0.065,"GM71","GM71","MP","N","","","")</f>
        <v>0.72424398327377393</v>
      </c>
      <c r="AR17" s="155">
        <f>[1]!BFCFAEQ("SLA",0,0,0,"JSC",0.5,0,0,P17,AR$4,"M","F",0.065,"GM71","GM71","MP","N","","","")</f>
        <v>0.7260269193793889</v>
      </c>
      <c r="AS17" s="155">
        <f>[1]!BFCFAEQ("SLA",0,0,0,"JSC",0.5,0,0,P17,AS$4,"M","F",0.065,"GM71","GM71","MP","N","","","")</f>
        <v>0.72791066091947276</v>
      </c>
      <c r="AT17" s="155">
        <f>[1]!BFCFAEQ("SLA",0,0,0,"JSC",0.5,0,0,P17,AT$4,"M","F",0.065,"GM71","GM71","MP","N","","","")</f>
        <v>0.72990010181028731</v>
      </c>
      <c r="AU17" s="155">
        <f>[1]!BFCFAEQ("SLA",0,0,0,"JSC",0.5,0,0,P17,AU$4,"M","F",0.065,"GM71","GM71","MP","N","","","")</f>
        <v>0.7319998996171494</v>
      </c>
      <c r="AV17" s="155">
        <f>[1]!BFCFAEQ("SLA",0,0,0,"JSC",0.5,0,0,P17,AV$4,"M","F",0.065,"GM71","GM71","MP","N","","","")</f>
        <v>0.73421486571858052</v>
      </c>
      <c r="AW17" s="155">
        <f>[1]!BFCFAEQ("SLA",0,0,0,"JSC",0.5,0,0,P17,AW$4,"M","F",0.065,"GM71","GM71","MP","N","","","")</f>
        <v>0.73654995321376615</v>
      </c>
      <c r="AX17" s="155">
        <f>[1]!BFCFAEQ("SLA",0,0,0,"JSC",0.5,0,0,P17,AX$4,"M","F",0.065,"GM71","GM71","MP","N","","","")</f>
        <v>0.73901004840931117</v>
      </c>
      <c r="AY17" s="155">
        <f>[1]!BFCFAEQ("SLA",0,0,0,"JSC",0.5,0,0,P17,AY$4,"M","F",0.065,"GM71","GM71","MP","N","","","")</f>
        <v>0.74160014979742062</v>
      </c>
      <c r="AZ17" s="155">
        <f>[1]!BFCFAEQ("SLA",0,0,0,"JSC",0.5,0,0,P17,AZ$4,"M","F",0.065,"GM71","GM71","MP","N","","","")</f>
        <v>0.74432496346243571</v>
      </c>
      <c r="BA17" s="155">
        <f>[1]!BFCFAEQ("SLA",0,0,0,"JSC",0.5,0,0,P17,BA$4,"M","F",0.065,"GM71","GM71","MP","N","","","")</f>
        <v>0.74718964562998091</v>
      </c>
      <c r="BB17" s="155">
        <f>[1]!BFCFAEQ("SLA",0,0,0,"JSC",0.5,0,0,P17,BB$4,"M","F",0.065,"GM71","GM71","MP","N","","","")</f>
        <v>0.75019881508921427</v>
      </c>
      <c r="BC17" s="155">
        <f>[1]!BFCFAEQ("SLA",0,0,0,"JSC",0.5,0,0,P17,BC$4,"M","F",0.065,"GM71","GM71","MP","N","","","")</f>
        <v>0.75335672190973657</v>
      </c>
      <c r="BD17" s="155">
        <f>[1]!BFCFAEQ("SLA",0,0,0,"JSC",0.5,0,0,P17,BD$4,"M","F",0.065,"GM71","GM71","MP","N","","","")</f>
        <v>0.75666777296383947</v>
      </c>
      <c r="BE17" s="155">
        <f>[1]!BFCFAEQ("SLA",0,0,0,"JSC",0.5,0,0,P17,BE$4,"M","F",0.065,"GM71","GM71","MP","N","","","")</f>
        <v>0.76013592307393196</v>
      </c>
      <c r="BF17" s="155">
        <f>[1]!BFCFAEQ("SLA",0,0,0,"JSC",0.5,0,0,P17,BF$4,"M","F",0.065,"GM71","GM71","MP","N","","","")</f>
        <v>0.7637613790246558</v>
      </c>
      <c r="BG17" s="155">
        <f>[1]!BFCFAEQ("SLA",0,0,0,"JSC",0.5,0,0,P17,BG$4,"M","F",0.065,"GM71","GM71","MP","N","","","")</f>
        <v>0.76754021028235397</v>
      </c>
      <c r="BH17" s="155">
        <f>[1]!BFCFAEQ("SLA",0,0,0,"JSC",0.5,0,0,P17,BH$4,"M","F",0.065,"GM71","GM71","MP","N","","","")</f>
        <v>0.77146969613931426</v>
      </c>
      <c r="BI17" s="155">
        <f>[1]!BFCFAEQ("SLA",0,0,0,"JSC",0.5,0,0,P17,BI$4,"M","F",0.065,"GM71","GM71","MP","N","","","")</f>
        <v>0.77554720921510067</v>
      </c>
      <c r="BJ17" s="155">
        <f>[1]!BFCFAEQ("SLA",0,0,0,"JSC",0.5,0,0,P17,BJ$4,"M","F",0.065,"GM71","GM71","MP","N","","","")</f>
        <v>0.77977106067979574</v>
      </c>
      <c r="BK17" s="155">
        <f>[1]!BFCFAEQ("SLA",0,0,0,"JSC",0.5,0,0,P17,BK$4,"M","F",0.065,"GM71","GM71","MP","N","","","")</f>
        <v>0.78413973411210969</v>
      </c>
      <c r="BL17" s="155">
        <f>[1]!BFCFAEQ("SLA",0,0,0,"JSC",0.5,0,0,P17,BL$4,"M","F",0.065,"GM71","GM71","MP","N","","","")</f>
        <v>0.78865216839668995</v>
      </c>
      <c r="BM17" s="155">
        <f>[1]!BFCFAEQ("SLA",0,0,0,"JSC",0.5,0,0,P17,BM$4,"M","F",0.065,"GM71","GM71","MP","N","","","")</f>
        <v>0.79330750399434391</v>
      </c>
      <c r="BN17" s="155">
        <f>[1]!BFCFAEQ("SLA",0,0,0,"JSC",0.5,0,0,P17,BN$4,"M","F",0.065,"GM71","GM71","MP","N","","","")</f>
        <v>0.79810466990785056</v>
      </c>
      <c r="BO17" s="155">
        <f>[1]!BFCFAEQ("SLA",0,0,0,"JSC",0.5,0,0,P17,BO$4,"M","F",0.065,"GM71","GM71","MP","N","","","")</f>
        <v>0.80304310698865344</v>
      </c>
      <c r="BP17" s="155">
        <f>[1]!BFCFAEQ("SLA",0,0,0,"JSC",0.5,0,0,P17,BP$4,"M","F",0.065,"GM71","GM71","MP","N","","","")</f>
        <v>0.80812120200186799</v>
      </c>
      <c r="BQ17" s="155">
        <f>[1]!BFCFAEQ("SLA",0,0,0,"JSC",0.5,0,0,P17,BQ$4,"M","F",0.065,"GM71","GM71","MP","N","","","")</f>
        <v>0.81333778001731771</v>
      </c>
      <c r="BR17" s="155">
        <f>[1]!BFCFAEQ("SLA",0,0,0,"JSC",0.5,0,0,P17,BR$4,"M","F",0.065,"GM71","GM71","MP","N","","","")</f>
        <v>0.81869054902572558</v>
      </c>
      <c r="BS17" s="155">
        <f>[1]!BFCFAEQ("SLA",0,0,0,"JSC",0.5,0,0,P17,BS$4,"M","F",0.065,"GM71","GM71","MP","N","","","")</f>
        <v>0.82417675699337034</v>
      </c>
      <c r="BT17" s="155">
        <f>[1]!BFCFAEQ("SLA",0,0,0,"JSC",0.5,0,0,P17,BT$4,"M","F",0.065,"GM71","GM71","MP","N","","","")</f>
        <v>0.82979245348665498</v>
      </c>
      <c r="BU17" s="155">
        <f>[1]!BFCFAEQ("SLA",0,0,0,"JSC",0.5,0,0,P17,BU$4,"M","F",0.065,"GM71","GM71","MP","N","","","")</f>
        <v>0.83553321561509819</v>
      </c>
      <c r="BV17" s="155">
        <f>[1]!BFCFAEQ("SLA",0,0,0,"JSC",0.5,0,0,P17,BV$4,"M","F",0.065,"GM71","GM71","MP","N","","","")</f>
        <v>0.84139283233494977</v>
      </c>
      <c r="BW17" s="155">
        <f>[1]!BFCFAEQ("SLA",0,0,0,"JSC",0.5,0,0,P17,BW$4,"M","F",0.065,"GM71","GM71","MP","N","","","")</f>
        <v>0.84735863052442795</v>
      </c>
      <c r="BX17" s="155">
        <f>[1]!BFCFAEQ("SLA",0,0,0,"JSC",0.5,0,0,P17,BX$4,"M","F",0.065,"GM71","GM71","MP","N","","","")</f>
        <v>0.85340290429412879</v>
      </c>
      <c r="BY17" s="155">
        <f>[1]!BFCFAEQ("SLA",0,0,0,"JSC",0.5,0,0,P17,BY$4,"M","F",0.065,"GM71","GM71","MP","N","","","")</f>
        <v>0.85950210779660285</v>
      </c>
      <c r="BZ17" s="155">
        <f>[1]!BFCFAEQ("SLA",0,0,0,"JSC",0.5,0,0,P17,BZ$4,"M","F",0.065,"GM71","GM71","MP","N","","","")</f>
        <v>0.86563748932214624</v>
      </c>
      <c r="CA17" s="155">
        <f>[1]!BFCFAEQ("SLA",0,0,0,"JSC",0.5,0,0,P17,CA$4,"M","F",0.065,"GM71","GM71","MP","N","","","")</f>
        <v>0.87179322941945181</v>
      </c>
      <c r="CB17" s="155">
        <f>[1]!BFCFAEQ("SLA",0,0,0,"JSC",0.5,0,0,P17,CB$4,"M","F",0.065,"GM71","GM71","MP","N","","","")</f>
        <v>0.87795050438037536</v>
      </c>
      <c r="CC17" s="155">
        <f>[1]!BFCFAEQ("SLA",0,0,0,"JSC",0.5,0,0,P17,CC$4,"M","F",0.065,"GM71","GM71","MP","N","","","")</f>
        <v>0.88408069724892835</v>
      </c>
      <c r="CD17" s="155">
        <f>[1]!BFCFAEQ("SLA",0,0,0,"JSC",0.5,0,0,P17,CD$4,"M","F",0.065,"GM71","GM71","MP","N","","","")</f>
        <v>0.89014907342190064</v>
      </c>
      <c r="CE17" s="155">
        <f>[1]!BFCFAEQ("SLA",0,0,0,"JSC",0.5,0,0,P17,CE$4,"M","F",0.065,"GM71","GM71","MP","N","","","")</f>
        <v>0.89612409825732808</v>
      </c>
      <c r="CF17" s="155">
        <f>[1]!BFCFAEQ("SLA",0,0,0,"JSC",0.5,0,0,P17,CF$4,"M","F",0.065,"GM71","GM71","MP","N","","","")</f>
        <v>0.90197981028489982</v>
      </c>
      <c r="CG17" s="155">
        <f>[1]!BFCFAEQ("SLA",0,0,0,"JSC",0.5,0,0,P17,CG$4,"M","F",0.065,"GM71","GM71","MP","N","","","")</f>
        <v>0.90770179019035535</v>
      </c>
      <c r="CH17" s="155">
        <f>[1]!BFCFAEQ("SLA",0,0,0,"JSC",0.5,0,0,P17,CH$4,"M","F",0.065,"GM71","GM71","MP","N","","","")</f>
        <v>0.91326314334692371</v>
      </c>
      <c r="CI17" s="155">
        <f>[1]!BFCFAEQ("SLA",0,0,0,"JSC",0.5,0,0,P17,CI$4,"M","F",0.065,"GM71","GM71","MP","N","","","")</f>
        <v>0.91863832252697941</v>
      </c>
      <c r="CJ17" s="155">
        <f>[1]!BFCFAEQ("SLA",0,0,0,"JSC",0.5,0,0,P17,CJ$4,"M","F",0.065,"GM71","GM71","MP","N","","","")</f>
        <v>0.92382191479686515</v>
      </c>
      <c r="CK17" s="155">
        <f>[1]!BFCFAEQ("SLA",0,0,0,"JSC",0.5,0,0,P17,CK$4,"M","F",0.065,"GM71","GM71","MP","N","","","")</f>
        <v>0.92883261642111437</v>
      </c>
      <c r="CL17" s="155">
        <f>[1]!BFCFAEQ("SLA",0,0,0,"JSC",0.5,0,0,P17,CL$4,"M","F",0.065,"GM71","GM71","MP","N","","","")</f>
        <v>0.93369049642733293</v>
      </c>
      <c r="CM17" s="155">
        <f>[1]!BFCFAEQ("SLA",0,0,0,"JSC",0.5,0,0,P17,CM$4,"M","F",0.065,"GM71","GM71","MP","N","","","")</f>
        <v>0.93839655153349355</v>
      </c>
      <c r="CN17" s="257">
        <f>ROUND([1]!NPVF2("MP","SLA","N",0.05,"M",$P17,$P17,0,0,120,0,"UP84","UP84","P","","")/[1]!NPVF2("MP","JSC","N",0.05,"M",$P17,$P17,CN$4,0.5,0,0,"UP84","UP84","P","",""),4)</f>
        <v>1.0531999999999999</v>
      </c>
      <c r="CO17" s="257">
        <f>ROUND([1]!NPVF2("MP","SLA","N",0.05,"M",$P17,$P17,0,0,120,0,"UP84","UP84","P","","")/[1]!NPVF2("MP","JSC","N",0.05,"M",$P17,$P17,CO$4,0.5,0,0,"UP84","UP84","P","",""),4)</f>
        <v>1.0584</v>
      </c>
      <c r="CP17" s="257">
        <f>ROUND([1]!NPVF2("MP","SLA","N",0.05,"M",$P17,$P17,0,0,120,0,"UP84","UP84","P","","")/[1]!NPVF2("MP","JSC","N",0.05,"M",$P17,$P17,CP$4,0.5,0,0,"UP84","UP84","P","",""),4)</f>
        <v>1.0633999999999999</v>
      </c>
      <c r="CQ17" s="257">
        <f>ROUND([1]!NPVF2("MP","SLA","N",0.05,"M",$P17,$P17,0,0,120,0,"UP84","UP84","P","","")/[1]!NPVF2("MP","JSC","N",0.05,"M",$P17,$P17,CQ$4,0.5,0,0,"UP84","UP84","P","",""),4)</f>
        <v>1.0681</v>
      </c>
      <c r="CR17" s="257">
        <f>ROUND([1]!NPVF2("MP","SLA","N",0.05,"M",$P17,$P17,0,0,120,0,"UP84","UP84","P","","")/[1]!NPVF2("MP","JSC","N",0.05,"M",$P17,$P17,CR$4,0.5,0,0,"UP84","UP84","P","",""),4)</f>
        <v>1.0726</v>
      </c>
      <c r="CS17" s="257">
        <f>ROUND([1]!NPVF2("MP","SLA","N",0.05,"M",$P17,$P17,0,0,120,0,"UP84","UP84","P","","")/[1]!NPVF2("MP","JSC","N",0.05,"M",$P17,$P17,CS$4,0.5,0,0,"UP84","UP84","P","",""),4)</f>
        <v>1.0768</v>
      </c>
      <c r="CT17" s="257">
        <f>ROUND([1]!NPVF2("MP","SLA","N",0.05,"M",$P17,$P17,0,0,120,0,"UP84","UP84","P","","")/[1]!NPVF2("MP","JSC","N",0.05,"M",$P17,$P17,CT$4,0.5,0,0,"UP84","UP84","P","",""),4)</f>
        <v>1.0807</v>
      </c>
      <c r="CU17" s="257">
        <f>ROUND([1]!NPVF2("MP","SLA","N",0.05,"M",$P17,$P17,0,0,120,0,"UP84","UP84","P","","")/[1]!NPVF2("MP","JSC","N",0.05,"M",$P17,$P17,CU$4,0.5,0,0,"UP84","UP84","P","",""),4)</f>
        <v>1.0843</v>
      </c>
      <c r="CV17" s="257">
        <f>ROUND([1]!NPVF2("MP","SLA","N",0.05,"M",$P17,$P17,0,0,120,0,"UP84","UP84","P","","")/[1]!NPVF2("MP","JSC","N",0.05,"M",$P17,$P17,CV$4,0.5,0,0,"UP84","UP84","P","",""),4)</f>
        <v>1.0876999999999999</v>
      </c>
      <c r="CW17" s="258">
        <f>ROUND([1]!NPVF2("MP","SLA","N",0.05,"M",$P17,$P17,0,0,120,0,"UP84","UP84","P","","")/[1]!NPVF2("MP","JSC","N",0.05,"M",$P17,$P17,CW$4,0.5,0,0,"UP84","UP84","P","",""),4)</f>
        <v>1.0909</v>
      </c>
      <c r="CX17" s="62"/>
      <c r="CY17" s="150"/>
      <c r="DB17" s="79"/>
      <c r="DH17" s="66"/>
      <c r="DL17" t="s">
        <v>352</v>
      </c>
      <c r="DM17">
        <f>DCOUNT(Separated_Vesteds,"PVPBL_ANN_RATES",All_Criteria)</f>
        <v>0</v>
      </c>
      <c r="DN17" t="s">
        <v>422</v>
      </c>
      <c r="DO17" s="46">
        <f>DSUM(Separated_Vesteds,"BNNFA_PVMB_NO_LOAD",All_Criteria)</f>
        <v>0</v>
      </c>
      <c r="DP17" s="46">
        <f>DSUM(Separated_Vesteds,"BNNFA_LOAD",All_Criteria)</f>
        <v>0</v>
      </c>
      <c r="DQ17" s="46">
        <f t="shared" si="3"/>
        <v>0</v>
      </c>
      <c r="DW17" s="93">
        <v>1921</v>
      </c>
      <c r="DX17" s="16">
        <v>13368</v>
      </c>
      <c r="DY17" s="47">
        <v>13368</v>
      </c>
      <c r="DZ17" s="47">
        <v>13368</v>
      </c>
      <c r="EA17" s="47">
        <v>13368</v>
      </c>
      <c r="EB17" s="47">
        <v>13368</v>
      </c>
      <c r="EC17" s="47">
        <v>13368</v>
      </c>
      <c r="ED17" s="47">
        <v>13368</v>
      </c>
      <c r="EE17" s="47">
        <v>13368</v>
      </c>
      <c r="EF17" s="47">
        <v>13368</v>
      </c>
      <c r="EG17" s="47">
        <v>13368</v>
      </c>
      <c r="EH17" s="47">
        <v>13368</v>
      </c>
      <c r="EI17" s="47">
        <v>13368</v>
      </c>
      <c r="EJ17" s="47">
        <v>13368</v>
      </c>
      <c r="EK17" s="208">
        <v>13368</v>
      </c>
      <c r="EN17" s="43">
        <v>1921</v>
      </c>
      <c r="EO17" s="106">
        <v>14172</v>
      </c>
      <c r="EP17" s="127">
        <v>14532</v>
      </c>
      <c r="EQ17" s="149">
        <v>14688</v>
      </c>
      <c r="ER17" s="127">
        <v>14760</v>
      </c>
      <c r="ES17" s="127">
        <v>14760</v>
      </c>
      <c r="ET17" s="127"/>
      <c r="EU17" s="127"/>
      <c r="EV17" s="41">
        <v>13368</v>
      </c>
      <c r="EW17" s="127">
        <v>13368</v>
      </c>
      <c r="EX17" s="202">
        <v>13368</v>
      </c>
      <c r="EY17" s="47">
        <v>13368</v>
      </c>
      <c r="EZ17" s="47">
        <v>13368</v>
      </c>
      <c r="FA17" s="47">
        <v>13368</v>
      </c>
      <c r="FB17" s="47">
        <v>13368</v>
      </c>
      <c r="FC17" s="47">
        <v>13368</v>
      </c>
      <c r="FD17" s="47">
        <v>13368</v>
      </c>
      <c r="FE17" s="47">
        <v>13368</v>
      </c>
      <c r="FF17" s="47">
        <v>13368</v>
      </c>
      <c r="FG17" s="47">
        <v>13368</v>
      </c>
      <c r="FH17" s="47">
        <v>13368</v>
      </c>
      <c r="FI17" s="47">
        <v>13368</v>
      </c>
      <c r="FJ17" s="47">
        <v>13368</v>
      </c>
      <c r="FK17" s="208">
        <v>13368</v>
      </c>
    </row>
    <row r="18" spans="1:167" ht="15.75">
      <c r="A18" s="19">
        <v>52</v>
      </c>
      <c r="B18" s="122">
        <v>0.39</v>
      </c>
      <c r="C18" s="62"/>
      <c r="D18" s="209">
        <f t="shared" si="0"/>
        <v>13</v>
      </c>
      <c r="E18" s="126">
        <f>[1]!PBGCLRF(65+D18/12)</f>
        <v>1.1092</v>
      </c>
      <c r="F18" s="62"/>
      <c r="G18" s="62"/>
      <c r="H18" s="62"/>
      <c r="I18" s="62"/>
      <c r="J18" s="19">
        <v>14</v>
      </c>
      <c r="K18" s="122">
        <f t="shared" si="1"/>
        <v>0.9222222222222225</v>
      </c>
      <c r="L18" s="62"/>
      <c r="M18" s="297">
        <v>14</v>
      </c>
      <c r="N18" s="122">
        <f>[1]!LRFAEQ(0.065,"M",65,M18,0,"GM71","GM71","MP","Y","N","",65)</f>
        <v>1.1435905510222857</v>
      </c>
      <c r="O18" s="62"/>
      <c r="P18" s="130">
        <v>68</v>
      </c>
      <c r="Q18" s="155">
        <f>[1]!BFCFAEQ("SLA",0,0,0,"JSC",0.5,0,0,P18,Q$4,"M","F",0.065,"GM71","GM71","MP","N","","","")</f>
        <v>0.68656136283004365</v>
      </c>
      <c r="R18" s="155">
        <f>[1]!BFCFAEQ("SLA",0,0,0,"JSC",0.5,0,0,P18,R$4,"M","F",0.065,"GM71","GM71","MP","N","","","")</f>
        <v>0.68702143143600369</v>
      </c>
      <c r="S18" s="155">
        <f>[1]!BFCFAEQ("SLA",0,0,0,"JSC",0.5,0,0,P18,S$4,"M","F",0.065,"GM71","GM71","MP","N","","","")</f>
        <v>0.68750672008644054</v>
      </c>
      <c r="T18" s="155">
        <f>[1]!BFCFAEQ("SLA",0,0,0,"JSC",0.5,0,0,P18,T$4,"M","F",0.065,"GM71","GM71","MP","N","","","")</f>
        <v>0.68801848222142936</v>
      </c>
      <c r="U18" s="155">
        <f>[1]!BFCFAEQ("SLA",0,0,0,"JSC",0.5,0,0,P18,U$4,"M","F",0.065,"GM71","GM71","MP","N","","","")</f>
        <v>0.68855804634012641</v>
      </c>
      <c r="V18" s="155">
        <f>[1]!BFCFAEQ("SLA",0,0,0,"JSC",0.5,0,0,P18,V$4,"M","F",0.065,"GM71","GM71","MP","N","","","")</f>
        <v>0.68902909930596989</v>
      </c>
      <c r="W18" s="155">
        <f>[1]!BFCFAEQ("SLA",0,0,0,"JSC",0.5,0,0,P18,W$4,"M","F",0.065,"GM71","GM71","MP","N","","","")</f>
        <v>0.68953827531067136</v>
      </c>
      <c r="X18" s="155">
        <f>[1]!BFCFAEQ("SLA",0,0,0,"JSC",0.5,0,0,P18,X$4,"M","F",0.065,"GM71","GM71","MP","N","","","")</f>
        <v>0.69008516987963109</v>
      </c>
      <c r="Y18" s="155">
        <f>[1]!BFCFAEQ("SLA",0,0,0,"JSC",0.5,0,0,P18,Y$4,"M","F",0.065,"GM71","GM71","MP","N","","","")</f>
        <v>0.69066969466449735</v>
      </c>
      <c r="Z18" s="155">
        <f>[1]!BFCFAEQ("SLA",0,0,0,"JSC",0.5,0,0,P18,Z$4,"M","F",0.065,"GM71","GM71","MP","N","","","")</f>
        <v>0.69129230418050047</v>
      </c>
      <c r="AA18" s="155">
        <f>[1]!BFCFAEQ("SLA",0,0,0,"JSC",0.5,0,0,P18,AA$4,"M","F",0.065,"GM71","GM71","MP","N","","","")</f>
        <v>0.69195443304601645</v>
      </c>
      <c r="AB18" s="155">
        <f>[1]!BFCFAEQ("SLA",0,0,0,"JSC",0.5,0,0,P18,AB$4,"M","F",0.065,"GM71","GM71","MP","N","","","")</f>
        <v>0.69265722296568311</v>
      </c>
      <c r="AC18" s="155">
        <f>[1]!BFCFAEQ("SLA",0,0,0,"JSC",0.5,0,0,P18,AC$4,"M","F",0.065,"GM71","GM71","MP","N","","","")</f>
        <v>0.69340302588346214</v>
      </c>
      <c r="AD18" s="155">
        <f>[1]!BFCFAEQ("SLA",0,0,0,"JSC",0.5,0,0,P18,AD$4,"M","F",0.065,"GM71","GM71","MP","N","","","")</f>
        <v>0.69419455482783843</v>
      </c>
      <c r="AE18" s="155">
        <f>[1]!BFCFAEQ("SLA",0,0,0,"JSC",0.5,0,0,P18,AE$4,"M","F",0.065,"GM71","GM71","MP","N","","","")</f>
        <v>0.69503446436405336</v>
      </c>
      <c r="AF18" s="155">
        <f>[1]!BFCFAEQ("SLA",0,0,0,"JSC",0.5,0,0,P18,AF$4,"M","F",0.065,"GM71","GM71","MP","N","","","")</f>
        <v>0.69592535892956209</v>
      </c>
      <c r="AG18" s="155">
        <f>[1]!BFCFAEQ("SLA",0,0,0,"JSC",0.5,0,0,P18,AG$4,"M","F",0.065,"GM71","GM71","MP","N","","","")</f>
        <v>0.69687043609076293</v>
      </c>
      <c r="AH18" s="155">
        <f>[1]!BFCFAEQ("SLA",0,0,0,"JSC",0.5,0,0,P18,AH$4,"M","F",0.065,"GM71","GM71","MP","N","","","")</f>
        <v>0.69787264442797214</v>
      </c>
      <c r="AI18" s="155">
        <f>[1]!BFCFAEQ("SLA",0,0,0,"JSC",0.5,0,0,P18,AI$4,"M","F",0.065,"GM71","GM71","MP","N","","","")</f>
        <v>0.6989353255223073</v>
      </c>
      <c r="AJ18" s="155">
        <f>[1]!BFCFAEQ("SLA",0,0,0,"JSC",0.5,0,0,P18,AJ$4,"M","F",0.065,"GM71","GM71","MP","N","","","")</f>
        <v>0.70006200688989495</v>
      </c>
      <c r="AK18" s="155">
        <f>[1]!BFCFAEQ("SLA",0,0,0,"JSC",0.5,0,0,P18,AK$4,"M","F",0.065,"GM71","GM71","MP","N","","","")</f>
        <v>0.70125619651576843</v>
      </c>
      <c r="AL18" s="155">
        <f>[1]!BFCFAEQ("SLA",0,0,0,"JSC",0.5,0,0,P18,AL$4,"M","F",0.065,"GM71","GM71","MP","N","","","")</f>
        <v>0.70252159847809659</v>
      </c>
      <c r="AM18" s="155">
        <f>[1]!BFCFAEQ("SLA",0,0,0,"JSC",0.5,0,0,P18,AM$4,"M","F",0.065,"GM71","GM71","MP","N","","","")</f>
        <v>0.70386190760882072</v>
      </c>
      <c r="AN18" s="155">
        <f>[1]!BFCFAEQ("SLA",0,0,0,"JSC",0.5,0,0,P18,AN$4,"M","F",0.065,"GM71","GM71","MP","N","","","")</f>
        <v>0.70528164715101138</v>
      </c>
      <c r="AO18" s="155">
        <f>[1]!BFCFAEQ("SLA",0,0,0,"JSC",0.5,0,0,P18,AO$4,"M","F",0.065,"GM71","GM71","MP","N","","","")</f>
        <v>0.70678491463279502</v>
      </c>
      <c r="AP18" s="155">
        <f>[1]!BFCFAEQ("SLA",0,0,0,"JSC",0.5,0,0,P18,AP$4,"M","F",0.065,"GM71","GM71","MP","N","","","")</f>
        <v>0.70837601092168101</v>
      </c>
      <c r="AQ18" s="155">
        <f>[1]!BFCFAEQ("SLA",0,0,0,"JSC",0.5,0,0,P18,AQ$4,"M","F",0.065,"GM71","GM71","MP","N","","","")</f>
        <v>0.71005943890982115</v>
      </c>
      <c r="AR18" s="155">
        <f>[1]!BFCFAEQ("SLA",0,0,0,"JSC",0.5,0,0,P18,AR$4,"M","F",0.065,"GM71","GM71","MP","N","","","")</f>
        <v>0.71183990053089219</v>
      </c>
      <c r="AS18" s="155">
        <f>[1]!BFCFAEQ("SLA",0,0,0,"JSC",0.5,0,0,P18,AS$4,"M","F",0.065,"GM71","GM71","MP","N","","","")</f>
        <v>0.71372208751899979</v>
      </c>
      <c r="AT18" s="155">
        <f>[1]!BFCFAEQ("SLA",0,0,0,"JSC",0.5,0,0,P18,AT$4,"M","F",0.065,"GM71","GM71","MP","N","","","")</f>
        <v>0.71571108710930809</v>
      </c>
      <c r="AU18" s="155">
        <f>[1]!BFCFAEQ("SLA",0,0,0,"JSC",0.5,0,0,P18,AU$4,"M","F",0.065,"GM71","GM71","MP","N","","","")</f>
        <v>0.71781176121405976</v>
      </c>
      <c r="AV18" s="155">
        <f>[1]!BFCFAEQ("SLA",0,0,0,"JSC",0.5,0,0,P18,AV$4,"M","F",0.065,"GM71","GM71","MP","N","","","")</f>
        <v>0.72002915038133175</v>
      </c>
      <c r="AW18" s="155">
        <f>[1]!BFCFAEQ("SLA",0,0,0,"JSC",0.5,0,0,P18,AW$4,"M","F",0.065,"GM71","GM71","MP","N","","","")</f>
        <v>0.72236846330157667</v>
      </c>
      <c r="AX18" s="155">
        <f>[1]!BFCFAEQ("SLA",0,0,0,"JSC",0.5,0,0,P18,AX$4,"M","F",0.065,"GM71","GM71","MP","N","","","")</f>
        <v>0.72483486376517903</v>
      </c>
      <c r="AY18" s="155">
        <f>[1]!BFCFAEQ("SLA",0,0,0,"JSC",0.5,0,0,P18,AY$4,"M","F",0.065,"GM71","GM71","MP","N","","","")</f>
        <v>0.72743365868658949</v>
      </c>
      <c r="AZ18" s="155">
        <f>[1]!BFCFAEQ("SLA",0,0,0,"JSC",0.5,0,0,P18,AZ$4,"M","F",0.065,"GM71","GM71","MP","N","","","")</f>
        <v>0.73016988315209408</v>
      </c>
      <c r="BA18" s="155">
        <f>[1]!BFCFAEQ("SLA",0,0,0,"JSC",0.5,0,0,P18,BA$4,"M","F",0.065,"GM71","GM71","MP","N","","","")</f>
        <v>0.7330490728107929</v>
      </c>
      <c r="BB18" s="155">
        <f>[1]!BFCFAEQ("SLA",0,0,0,"JSC",0.5,0,0,P18,BB$4,"M","F",0.065,"GM71","GM71","MP","N","","","")</f>
        <v>0.73607624570937369</v>
      </c>
      <c r="BC18" s="155">
        <f>[1]!BFCFAEQ("SLA",0,0,0,"JSC",0.5,0,0,P18,BC$4,"M","F",0.065,"GM71","GM71","MP","N","","","")</f>
        <v>0.73925607978033114</v>
      </c>
      <c r="BD18" s="155">
        <f>[1]!BFCFAEQ("SLA",0,0,0,"JSC",0.5,0,0,P18,BD$4,"M","F",0.065,"GM71","GM71","MP","N","","","")</f>
        <v>0.74259346157081529</v>
      </c>
      <c r="BE18" s="155">
        <f>[1]!BFCFAEQ("SLA",0,0,0,"JSC",0.5,0,0,P18,BE$4,"M","F",0.065,"GM71","GM71","MP","N","","","")</f>
        <v>0.74609285917582113</v>
      </c>
      <c r="BF18" s="155">
        <f>[1]!BFCFAEQ("SLA",0,0,0,"JSC",0.5,0,0,P18,BF$4,"M","F",0.065,"GM71","GM71","MP","N","","","")</f>
        <v>0.74975489840055198</v>
      </c>
      <c r="BG18" s="155">
        <f>[1]!BFCFAEQ("SLA",0,0,0,"JSC",0.5,0,0,P18,BG$4,"M","F",0.065,"GM71","GM71","MP","N","","","")</f>
        <v>0.75357594704933628</v>
      </c>
      <c r="BH18" s="155">
        <f>[1]!BFCFAEQ("SLA",0,0,0,"JSC",0.5,0,0,P18,BH$4,"M","F",0.065,"GM71","GM71","MP","N","","","")</f>
        <v>0.75755367152939901</v>
      </c>
      <c r="BI18" s="155">
        <f>[1]!BFCFAEQ("SLA",0,0,0,"JSC",0.5,0,0,P18,BI$4,"M","F",0.065,"GM71","GM71","MP","N","","","")</f>
        <v>0.76168588279142335</v>
      </c>
      <c r="BJ18" s="155">
        <f>[1]!BFCFAEQ("SLA",0,0,0,"JSC",0.5,0,0,P18,BJ$4,"M","F",0.065,"GM71","GM71","MP","N","","","")</f>
        <v>0.76597142365564463</v>
      </c>
      <c r="BK18" s="155">
        <f>[1]!BFCFAEQ("SLA",0,0,0,"JSC",0.5,0,0,P18,BK$4,"M","F",0.065,"GM71","GM71","MP","N","","","")</f>
        <v>0.77040937711667645</v>
      </c>
      <c r="BL18" s="155">
        <f>[1]!BFCFAEQ("SLA",0,0,0,"JSC",0.5,0,0,P18,BL$4,"M","F",0.065,"GM71","GM71","MP","N","","","")</f>
        <v>0.77499936629463972</v>
      </c>
      <c r="BM18" s="155">
        <f>[1]!BFCFAEQ("SLA",0,0,0,"JSC",0.5,0,0,P18,BM$4,"M","F",0.065,"GM71","GM71","MP","N","","","")</f>
        <v>0.77974129360067057</v>
      </c>
      <c r="BN18" s="155">
        <f>[1]!BFCFAEQ("SLA",0,0,0,"JSC",0.5,0,0,P18,BN$4,"M","F",0.065,"GM71","GM71","MP","N","","","")</f>
        <v>0.7846349103645428</v>
      </c>
      <c r="BO18" s="155">
        <f>[1]!BFCFAEQ("SLA",0,0,0,"JSC",0.5,0,0,P18,BO$4,"M","F",0.065,"GM71","GM71","MP","N","","","")</f>
        <v>0.78968057647421319</v>
      </c>
      <c r="BP18" s="155">
        <f>[1]!BFCFAEQ("SLA",0,0,0,"JSC",0.5,0,0,P18,BP$4,"M","F",0.065,"GM71","GM71","MP","N","","","")</f>
        <v>0.79487761892353725</v>
      </c>
      <c r="BQ18" s="155">
        <f>[1]!BFCFAEQ("SLA",0,0,0,"JSC",0.5,0,0,P18,BQ$4,"M","F",0.065,"GM71","GM71","MP","N","","","")</f>
        <v>0.80022589697738744</v>
      </c>
      <c r="BR18" s="155">
        <f>[1]!BFCFAEQ("SLA",0,0,0,"JSC",0.5,0,0,P18,BR$4,"M","F",0.065,"GM71","GM71","MP","N","","","")</f>
        <v>0.80572416400695179</v>
      </c>
      <c r="BS18" s="155">
        <f>[1]!BFCFAEQ("SLA",0,0,0,"JSC",0.5,0,0,P18,BS$4,"M","F",0.065,"GM71","GM71","MP","N","","","")</f>
        <v>0.81137074881138616</v>
      </c>
      <c r="BT18" s="155">
        <f>[1]!BFCFAEQ("SLA",0,0,0,"JSC",0.5,0,0,P18,BT$4,"M","F",0.065,"GM71","GM71","MP","N","","","")</f>
        <v>0.81716276416817457</v>
      </c>
      <c r="BU18" s="155">
        <f>[1]!BFCFAEQ("SLA",0,0,0,"JSC",0.5,0,0,P18,BU$4,"M","F",0.065,"GM71","GM71","MP","N","","","")</f>
        <v>0.82309685817138123</v>
      </c>
      <c r="BV18" s="155">
        <f>[1]!BFCFAEQ("SLA",0,0,0,"JSC",0.5,0,0,P18,BV$4,"M","F",0.065,"GM71","GM71","MP","N","","","")</f>
        <v>0.82916780588843475</v>
      </c>
      <c r="BW18" s="155">
        <f>[1]!BFCFAEQ("SLA",0,0,0,"JSC",0.5,0,0,P18,BW$4,"M","F",0.065,"GM71","GM71","MP","N","","","")</f>
        <v>0.83536351665006126</v>
      </c>
      <c r="BX18" s="155">
        <f>[1]!BFCFAEQ("SLA",0,0,0,"JSC",0.5,0,0,P18,BX$4,"M","F",0.065,"GM71","GM71","MP","N","","","")</f>
        <v>0.84165583521504062</v>
      </c>
      <c r="BY18" s="155">
        <f>[1]!BFCFAEQ("SLA",0,0,0,"JSC",0.5,0,0,P18,BY$4,"M","F",0.065,"GM71","GM71","MP","N","","","")</f>
        <v>0.84802086837093993</v>
      </c>
      <c r="BZ18" s="155">
        <f>[1]!BFCFAEQ("SLA",0,0,0,"JSC",0.5,0,0,P18,BZ$4,"M","F",0.065,"GM71","GM71","MP","N","","","")</f>
        <v>0.8544396872954384</v>
      </c>
      <c r="CA18" s="155">
        <f>[1]!BFCFAEQ("SLA",0,0,0,"JSC",0.5,0,0,P18,CA$4,"M","F",0.065,"GM71","GM71","MP","N","","","")</f>
        <v>0.86089636343850418</v>
      </c>
      <c r="CB18" s="155">
        <f>[1]!BFCFAEQ("SLA",0,0,0,"JSC",0.5,0,0,P18,CB$4,"M","F",0.065,"GM71","GM71","MP","N","","","")</f>
        <v>0.86737160459979057</v>
      </c>
      <c r="CC18" s="155">
        <f>[1]!BFCFAEQ("SLA",0,0,0,"JSC",0.5,0,0,P18,CC$4,"M","F",0.065,"GM71","GM71","MP","N","","","")</f>
        <v>0.87383539273876043</v>
      </c>
      <c r="CD18" s="155">
        <f>[1]!BFCFAEQ("SLA",0,0,0,"JSC",0.5,0,0,P18,CD$4,"M","F",0.065,"GM71","GM71","MP","N","","","")</f>
        <v>0.88025081036271324</v>
      </c>
      <c r="CE18" s="155">
        <f>[1]!BFCFAEQ("SLA",0,0,0,"JSC",0.5,0,0,P18,CE$4,"M","F",0.065,"GM71","GM71","MP","N","","","")</f>
        <v>0.88658401281511889</v>
      </c>
      <c r="CF18" s="155">
        <f>[1]!BFCFAEQ("SLA",0,0,0,"JSC",0.5,0,0,P18,CF$4,"M","F",0.065,"GM71","GM71","MP","N","","","")</f>
        <v>0.89280681773700576</v>
      </c>
      <c r="CG18" s="155">
        <f>[1]!BFCFAEQ("SLA",0,0,0,"JSC",0.5,0,0,P18,CG$4,"M","F",0.065,"GM71","GM71","MP","N","","","")</f>
        <v>0.89890324624272144</v>
      </c>
      <c r="CH18" s="155">
        <f>[1]!BFCFAEQ("SLA",0,0,0,"JSC",0.5,0,0,P18,CH$4,"M","F",0.065,"GM71","GM71","MP","N","","","")</f>
        <v>0.90484356675032263</v>
      </c>
      <c r="CI18" s="155">
        <f>[1]!BFCFAEQ("SLA",0,0,0,"JSC",0.5,0,0,P18,CI$4,"M","F",0.065,"GM71","GM71","MP","N","","","")</f>
        <v>0.91059924387686131</v>
      </c>
      <c r="CJ18" s="155">
        <f>[1]!BFCFAEQ("SLA",0,0,0,"JSC",0.5,0,0,P18,CJ$4,"M","F",0.065,"GM71","GM71","MP","N","","","")</f>
        <v>0.91616348779028356</v>
      </c>
      <c r="CK18" s="155">
        <f>[1]!BFCFAEQ("SLA",0,0,0,"JSC",0.5,0,0,P18,CK$4,"M","F",0.065,"GM71","GM71","MP","N","","","")</f>
        <v>0.92155583368237937</v>
      </c>
      <c r="CL18" s="155">
        <f>[1]!BFCFAEQ("SLA",0,0,0,"JSC",0.5,0,0,P18,CL$4,"M","F",0.065,"GM71","GM71","MP","N","","","")</f>
        <v>0.92679746904833127</v>
      </c>
      <c r="CM18" s="155">
        <f>[1]!BFCFAEQ("SLA",0,0,0,"JSC",0.5,0,0,P18,CM$4,"M","F",0.065,"GM71","GM71","MP","N","","","")</f>
        <v>0.93188876301144019</v>
      </c>
      <c r="CN18" s="257">
        <f>ROUND([1]!NPVF2("MP","SLA","N",0.05,"M",$P18,$P18,0,0,120,0,"UP84","UP84","P","","")/[1]!NPVF2("MP","JSC","N",0.05,"M",$P18,$P18,CN$4,0.5,0,0,"UP84","UP84","P","",""),4)</f>
        <v>1.0591999999999999</v>
      </c>
      <c r="CO18" s="257">
        <f>ROUND([1]!NPVF2("MP","SLA","N",0.05,"M",$P18,$P18,0,0,120,0,"UP84","UP84","P","","")/[1]!NPVF2("MP","JSC","N",0.05,"M",$P18,$P18,CO$4,0.5,0,0,"UP84","UP84","P","",""),4)</f>
        <v>1.0649</v>
      </c>
      <c r="CP18" s="257">
        <f>ROUND([1]!NPVF2("MP","SLA","N",0.05,"M",$P18,$P18,0,0,120,0,"UP84","UP84","P","","")/[1]!NPVF2("MP","JSC","N",0.05,"M",$P18,$P18,CP$4,0.5,0,0,"UP84","UP84","P","",""),4)</f>
        <v>1.0704</v>
      </c>
      <c r="CQ18" s="257">
        <f>ROUND([1]!NPVF2("MP","SLA","N",0.05,"M",$P18,$P18,0,0,120,0,"UP84","UP84","P","","")/[1]!NPVF2("MP","JSC","N",0.05,"M",$P18,$P18,CQ$4,0.5,0,0,"UP84","UP84","P","",""),4)</f>
        <v>1.0755999999999999</v>
      </c>
      <c r="CR18" s="257">
        <f>ROUND([1]!NPVF2("MP","SLA","N",0.05,"M",$P18,$P18,0,0,120,0,"UP84","UP84","P","","")/[1]!NPVF2("MP","JSC","N",0.05,"M",$P18,$P18,CR$4,0.5,0,0,"UP84","UP84","P","",""),4)</f>
        <v>1.0805</v>
      </c>
      <c r="CS18" s="257">
        <f>ROUND([1]!NPVF2("MP","SLA","N",0.05,"M",$P18,$P18,0,0,120,0,"UP84","UP84","P","","")/[1]!NPVF2("MP","JSC","N",0.05,"M",$P18,$P18,CS$4,0.5,0,0,"UP84","UP84","P","",""),4)</f>
        <v>1.0851</v>
      </c>
      <c r="CT18" s="257">
        <f>ROUND([1]!NPVF2("MP","SLA","N",0.05,"M",$P18,$P18,0,0,120,0,"UP84","UP84","P","","")/[1]!NPVF2("MP","JSC","N",0.05,"M",$P18,$P18,CT$4,0.5,0,0,"UP84","UP84","P","",""),4)</f>
        <v>1.0893999999999999</v>
      </c>
      <c r="CU18" s="257">
        <f>ROUND([1]!NPVF2("MP","SLA","N",0.05,"M",$P18,$P18,0,0,120,0,"UP84","UP84","P","","")/[1]!NPVF2("MP","JSC","N",0.05,"M",$P18,$P18,CU$4,0.5,0,0,"UP84","UP84","P","",""),4)</f>
        <v>1.0933999999999999</v>
      </c>
      <c r="CV18" s="257">
        <f>ROUND([1]!NPVF2("MP","SLA","N",0.05,"M",$P18,$P18,0,0,120,0,"UP84","UP84","P","","")/[1]!NPVF2("MP","JSC","N",0.05,"M",$P18,$P18,CV$4,0.5,0,0,"UP84","UP84","P","",""),4)</f>
        <v>1.0972</v>
      </c>
      <c r="CW18" s="258">
        <f>ROUND([1]!NPVF2("MP","SLA","N",0.05,"M",$P18,$P18,0,0,120,0,"UP84","UP84","P","","")/[1]!NPVF2("MP","JSC","N",0.05,"M",$P18,$P18,CW$4,0.5,0,0,"UP84","UP84","P","",""),4)</f>
        <v>1.1007</v>
      </c>
      <c r="CX18" s="62"/>
      <c r="CY18" s="150"/>
      <c r="DB18" s="79"/>
      <c r="DH18" s="66"/>
      <c r="DL18" t="s">
        <v>404</v>
      </c>
      <c r="DM18">
        <v>0</v>
      </c>
      <c r="DN18" t="s">
        <v>422</v>
      </c>
      <c r="DO18" s="46">
        <v>0</v>
      </c>
      <c r="DP18" s="46">
        <v>0</v>
      </c>
      <c r="DQ18" s="46">
        <f t="shared" si="3"/>
        <v>0</v>
      </c>
      <c r="DW18" s="93">
        <v>1922</v>
      </c>
      <c r="DX18" s="16">
        <v>14520</v>
      </c>
      <c r="DY18" s="47">
        <v>14520</v>
      </c>
      <c r="DZ18" s="47">
        <v>14520</v>
      </c>
      <c r="EA18" s="47">
        <v>14520</v>
      </c>
      <c r="EB18" s="47">
        <v>14520</v>
      </c>
      <c r="EC18" s="47">
        <v>14520</v>
      </c>
      <c r="ED18" s="47">
        <v>14520</v>
      </c>
      <c r="EE18" s="47">
        <v>14520</v>
      </c>
      <c r="EF18" s="47">
        <v>14520</v>
      </c>
      <c r="EG18" s="47">
        <v>14520</v>
      </c>
      <c r="EH18" s="47">
        <v>14520</v>
      </c>
      <c r="EI18" s="47">
        <v>14520</v>
      </c>
      <c r="EJ18" s="47">
        <v>14520</v>
      </c>
      <c r="EK18" s="208">
        <v>14520</v>
      </c>
      <c r="EN18" s="43">
        <v>1922</v>
      </c>
      <c r="EO18" s="106">
        <v>14820</v>
      </c>
      <c r="EP18" s="127">
        <v>15288</v>
      </c>
      <c r="EQ18" s="149">
        <v>15516</v>
      </c>
      <c r="ER18" s="127">
        <v>15648</v>
      </c>
      <c r="ES18" s="127">
        <v>15732</v>
      </c>
      <c r="ET18" s="127">
        <v>15732</v>
      </c>
      <c r="EU18" s="127"/>
      <c r="EV18" s="41">
        <v>14520</v>
      </c>
      <c r="EW18" s="127">
        <v>14520</v>
      </c>
      <c r="EX18" s="202">
        <v>14520</v>
      </c>
      <c r="EY18" s="47">
        <v>14520</v>
      </c>
      <c r="EZ18" s="47">
        <v>14520</v>
      </c>
      <c r="FA18" s="47">
        <v>14520</v>
      </c>
      <c r="FB18" s="47">
        <v>14520</v>
      </c>
      <c r="FC18" s="47">
        <v>14520</v>
      </c>
      <c r="FD18" s="47">
        <v>14520</v>
      </c>
      <c r="FE18" s="47">
        <v>14520</v>
      </c>
      <c r="FF18" s="47">
        <v>14520</v>
      </c>
      <c r="FG18" s="47">
        <v>14520</v>
      </c>
      <c r="FH18" s="47">
        <v>14520</v>
      </c>
      <c r="FI18" s="47">
        <v>14520</v>
      </c>
      <c r="FJ18" s="47">
        <v>14520</v>
      </c>
      <c r="FK18" s="208">
        <v>14520</v>
      </c>
    </row>
    <row r="19" spans="1:167" ht="15.75">
      <c r="A19" s="164">
        <v>51</v>
      </c>
      <c r="B19" s="122">
        <v>0.37</v>
      </c>
      <c r="C19" s="62"/>
      <c r="D19" s="209">
        <f t="shared" si="0"/>
        <v>14</v>
      </c>
      <c r="E19" s="126">
        <f>[1]!PBGCLRF(65+D19/12)</f>
        <v>1.1183000000000001</v>
      </c>
      <c r="F19" s="62"/>
      <c r="G19" s="62"/>
      <c r="H19" s="62"/>
      <c r="I19" s="62"/>
      <c r="J19" s="19">
        <v>15</v>
      </c>
      <c r="K19" s="122">
        <f t="shared" si="1"/>
        <v>0.91666666666666696</v>
      </c>
      <c r="L19" s="62"/>
      <c r="M19" s="297">
        <v>15</v>
      </c>
      <c r="N19" s="122">
        <f>[1]!LRFAEQ(0.065,"M",65,M19,0,"GM71","GM71","MP","Y","N","",65)</f>
        <v>1.1551914607063576</v>
      </c>
      <c r="O19" s="62"/>
      <c r="P19" s="130">
        <v>69</v>
      </c>
      <c r="Q19" s="155">
        <f>[1]!BFCFAEQ("SLA",0,0,0,"JSC",0.5,0,0,P19,Q$4,"M","F",0.065,"GM71","GM71","MP","N","","","")</f>
        <v>0.67219611671520185</v>
      </c>
      <c r="R19" s="155">
        <f>[1]!BFCFAEQ("SLA",0,0,0,"JSC",0.5,0,0,P19,R$4,"M","F",0.065,"GM71","GM71","MP","N","","","")</f>
        <v>0.67265464656694451</v>
      </c>
      <c r="S19" s="155">
        <f>[1]!BFCFAEQ("SLA",0,0,0,"JSC",0.5,0,0,P19,S$4,"M","F",0.065,"GM71","GM71","MP","N","","","")</f>
        <v>0.67313832318429456</v>
      </c>
      <c r="T19" s="155">
        <f>[1]!BFCFAEQ("SLA",0,0,0,"JSC",0.5,0,0,P19,T$4,"M","F",0.065,"GM71","GM71","MP","N","","","")</f>
        <v>0.67364837164301183</v>
      </c>
      <c r="U19" s="155">
        <f>[1]!BFCFAEQ("SLA",0,0,0,"JSC",0.5,0,0,P19,U$4,"M","F",0.065,"GM71","GM71","MP","N","","","")</f>
        <v>0.67418608834222438</v>
      </c>
      <c r="V19" s="155">
        <f>[1]!BFCFAEQ("SLA",0,0,0,"JSC",0.5,0,0,P19,V$4,"M","F",0.065,"GM71","GM71","MP","N","","","")</f>
        <v>0.67465274179455126</v>
      </c>
      <c r="W19" s="155">
        <f>[1]!BFCFAEQ("SLA",0,0,0,"JSC",0.5,0,0,P19,W$4,"M","F",0.065,"GM71","GM71","MP","N","","","")</f>
        <v>0.67515750795076268</v>
      </c>
      <c r="X19" s="155">
        <f>[1]!BFCFAEQ("SLA",0,0,0,"JSC",0.5,0,0,P19,X$4,"M","F",0.065,"GM71","GM71","MP","N","","","")</f>
        <v>0.67569992744758589</v>
      </c>
      <c r="Y19" s="155">
        <f>[1]!BFCFAEQ("SLA",0,0,0,"JSC",0.5,0,0,P19,Y$4,"M","F",0.065,"GM71","GM71","MP","N","","","")</f>
        <v>0.67627986091632886</v>
      </c>
      <c r="Z19" s="155">
        <f>[1]!BFCFAEQ("SLA",0,0,0,"JSC",0.5,0,0,P19,Z$4,"M","F",0.065,"GM71","GM71","MP","N","","","")</f>
        <v>0.67689772183065011</v>
      </c>
      <c r="AA19" s="155">
        <f>[1]!BFCFAEQ("SLA",0,0,0,"JSC",0.5,0,0,P19,AA$4,"M","F",0.065,"GM71","GM71","MP","N","","","")</f>
        <v>0.67755492530792416</v>
      </c>
      <c r="AB19" s="155">
        <f>[1]!BFCFAEQ("SLA",0,0,0,"JSC",0.5,0,0,P19,AB$4,"M","F",0.065,"GM71","GM71","MP","N","","","")</f>
        <v>0.67825258398004473</v>
      </c>
      <c r="AC19" s="155">
        <f>[1]!BFCFAEQ("SLA",0,0,0,"JSC",0.5,0,0,P19,AC$4,"M","F",0.065,"GM71","GM71","MP","N","","","")</f>
        <v>0.67899304930377757</v>
      </c>
      <c r="AD19" s="155">
        <f>[1]!BFCFAEQ("SLA",0,0,0,"JSC",0.5,0,0,P19,AD$4,"M","F",0.065,"GM71","GM71","MP","N","","","")</f>
        <v>0.67977904190956628</v>
      </c>
      <c r="AE19" s="155">
        <f>[1]!BFCFAEQ("SLA",0,0,0,"JSC",0.5,0,0,P19,AE$4,"M","F",0.065,"GM71","GM71","MP","N","","","")</f>
        <v>0.68061322188655404</v>
      </c>
      <c r="AF19" s="155">
        <f>[1]!BFCFAEQ("SLA",0,0,0,"JSC",0.5,0,0,P19,AF$4,"M","F",0.065,"GM71","GM71","MP","N","","","")</f>
        <v>0.68149819769758657</v>
      </c>
      <c r="AG19" s="155">
        <f>[1]!BFCFAEQ("SLA",0,0,0,"JSC",0.5,0,0,P19,AG$4,"M","F",0.065,"GM71","GM71","MP","N","","","")</f>
        <v>0.6824371865856359</v>
      </c>
      <c r="AH19" s="155">
        <f>[1]!BFCFAEQ("SLA",0,0,0,"JSC",0.5,0,0,P19,AH$4,"M","F",0.065,"GM71","GM71","MP","N","","","")</f>
        <v>0.683433151542443</v>
      </c>
      <c r="AI19" s="155">
        <f>[1]!BFCFAEQ("SLA",0,0,0,"JSC",0.5,0,0,P19,AI$4,"M","F",0.065,"GM71","GM71","MP","N","","","")</f>
        <v>0.68448946071934635</v>
      </c>
      <c r="AJ19" s="155">
        <f>[1]!BFCFAEQ("SLA",0,0,0,"JSC",0.5,0,0,P19,AJ$4,"M","F",0.065,"GM71","GM71","MP","N","","","")</f>
        <v>0.68560967606585066</v>
      </c>
      <c r="AK19" s="155">
        <f>[1]!BFCFAEQ("SLA",0,0,0,"JSC",0.5,0,0,P19,AK$4,"M","F",0.065,"GM71","GM71","MP","N","","","")</f>
        <v>0.68679734348137256</v>
      </c>
      <c r="AL19" s="155">
        <f>[1]!BFCFAEQ("SLA",0,0,0,"JSC",0.5,0,0,P19,AL$4,"M","F",0.065,"GM71","GM71","MP","N","","","")</f>
        <v>0.68805621530060423</v>
      </c>
      <c r="AM19" s="155">
        <f>[1]!BFCFAEQ("SLA",0,0,0,"JSC",0.5,0,0,P19,AM$4,"M","F",0.065,"GM71","GM71","MP","N","","","")</f>
        <v>0.68939004071557541</v>
      </c>
      <c r="AN19" s="155">
        <f>[1]!BFCFAEQ("SLA",0,0,0,"JSC",0.5,0,0,P19,AN$4,"M","F",0.065,"GM71","GM71","MP","N","","","")</f>
        <v>0.69080342777127979</v>
      </c>
      <c r="AO19" s="155">
        <f>[1]!BFCFAEQ("SLA",0,0,0,"JSC",0.5,0,0,P19,AO$4,"M","F",0.065,"GM71","GM71","MP","N","","","")</f>
        <v>0.69230055659255607</v>
      </c>
      <c r="AP19" s="155">
        <f>[1]!BFCFAEQ("SLA",0,0,0,"JSC",0.5,0,0,P19,AP$4,"M","F",0.065,"GM71","GM71","MP","N","","","")</f>
        <v>0.69388582691324496</v>
      </c>
      <c r="AQ19" s="155">
        <f>[1]!BFCFAEQ("SLA",0,0,0,"JSC",0.5,0,0,P19,AQ$4,"M","F",0.065,"GM71","GM71","MP","N","","","")</f>
        <v>0.6955638583647501</v>
      </c>
      <c r="AR19" s="155">
        <f>[1]!BFCFAEQ("SLA",0,0,0,"JSC",0.5,0,0,P19,AR$4,"M","F",0.065,"GM71","GM71","MP","N","","","")</f>
        <v>0.69733948904848531</v>
      </c>
      <c r="AS19" s="155">
        <f>[1]!BFCFAEQ("SLA",0,0,0,"JSC",0.5,0,0,P19,AS$4,"M","F",0.065,"GM71","GM71","MP","N","","","")</f>
        <v>0.69921756178811556</v>
      </c>
      <c r="AT19" s="155">
        <f>[1]!BFCFAEQ("SLA",0,0,0,"JSC",0.5,0,0,P19,AT$4,"M","F",0.065,"GM71","GM71","MP","N","","","")</f>
        <v>0.70120334313632926</v>
      </c>
      <c r="AU19" s="155">
        <f>[1]!BFCFAEQ("SLA",0,0,0,"JSC",0.5,0,0,P19,AU$4,"M","F",0.065,"GM71","GM71","MP","N","","","")</f>
        <v>0.70330188581729924</v>
      </c>
      <c r="AV19" s="155">
        <f>[1]!BFCFAEQ("SLA",0,0,0,"JSC",0.5,0,0,P19,AV$4,"M","F",0.065,"GM71","GM71","MP","N","","","")</f>
        <v>0.70551844591414159</v>
      </c>
      <c r="AW19" s="155">
        <f>[1]!BFCFAEQ("SLA",0,0,0,"JSC",0.5,0,0,P19,AW$4,"M","F",0.065,"GM71","GM71","MP","N","","","")</f>
        <v>0.70785847389181988</v>
      </c>
      <c r="AX19" s="155">
        <f>[1]!BFCFAEQ("SLA",0,0,0,"JSC",0.5,0,0,P19,AX$4,"M","F",0.065,"GM71","GM71","MP","N","","","")</f>
        <v>0.71032739688636137</v>
      </c>
      <c r="AY19" s="155">
        <f>[1]!BFCFAEQ("SLA",0,0,0,"JSC",0.5,0,0,P19,AY$4,"M","F",0.065,"GM71","GM71","MP","N","","","")</f>
        <v>0.71293081498171962</v>
      </c>
      <c r="AZ19" s="155">
        <f>[1]!BFCFAEQ("SLA",0,0,0,"JSC",0.5,0,0,P19,AZ$4,"M","F",0.065,"GM71","GM71","MP","N","","","")</f>
        <v>0.71567407617337453</v>
      </c>
      <c r="BA19" s="155">
        <f>[1]!BFCFAEQ("SLA",0,0,0,"JSC",0.5,0,0,P19,BA$4,"M","F",0.065,"GM71","GM71","MP","N","","","")</f>
        <v>0.71856307760214011</v>
      </c>
      <c r="BB19" s="155">
        <f>[1]!BFCFAEQ("SLA",0,0,0,"JSC",0.5,0,0,P19,BB$4,"M","F",0.065,"GM71","GM71","MP","N","","","")</f>
        <v>0.72160321837909569</v>
      </c>
      <c r="BC19" s="155">
        <f>[1]!BFCFAEQ("SLA",0,0,0,"JSC",0.5,0,0,P19,BC$4,"M","F",0.065,"GM71","GM71","MP","N","","","")</f>
        <v>0.72479958598721672</v>
      </c>
      <c r="BD19" s="155">
        <f>[1]!BFCFAEQ("SLA",0,0,0,"JSC",0.5,0,0,P19,BD$4,"M","F",0.065,"GM71","GM71","MP","N","","","")</f>
        <v>0.72815752778587961</v>
      </c>
      <c r="BE19" s="155">
        <f>[1]!BFCFAEQ("SLA",0,0,0,"JSC",0.5,0,0,P19,BE$4,"M","F",0.065,"GM71","GM71","MP","N","","","")</f>
        <v>0.73168200654870152</v>
      </c>
      <c r="BF19" s="155">
        <f>[1]!BFCFAEQ("SLA",0,0,0,"JSC",0.5,0,0,P19,BF$4,"M","F",0.065,"GM71","GM71","MP","N","","","")</f>
        <v>0.73537405286796764</v>
      </c>
      <c r="BG19" s="155">
        <f>[1]!BFCFAEQ("SLA",0,0,0,"JSC",0.5,0,0,P19,BG$4,"M","F",0.065,"GM71","GM71","MP","N","","","")</f>
        <v>0.73923032350474427</v>
      </c>
      <c r="BH19" s="155">
        <f>[1]!BFCFAEQ("SLA",0,0,0,"JSC",0.5,0,0,P19,BH$4,"M","F",0.065,"GM71","GM71","MP","N","","","")</f>
        <v>0.74324886175991856</v>
      </c>
      <c r="BI19" s="155">
        <f>[1]!BFCFAEQ("SLA",0,0,0,"JSC",0.5,0,0,P19,BI$4,"M","F",0.065,"GM71","GM71","MP","N","","","")</f>
        <v>0.74742790816835081</v>
      </c>
      <c r="BJ19" s="155">
        <f>[1]!BFCFAEQ("SLA",0,0,0,"JSC",0.5,0,0,P19,BJ$4,"M","F",0.065,"GM71","GM71","MP","N","","","")</f>
        <v>0.75176683023543223</v>
      </c>
      <c r="BK19" s="155">
        <f>[1]!BFCFAEQ("SLA",0,0,0,"JSC",0.5,0,0,P19,BK$4,"M","F",0.065,"GM71","GM71","MP","N","","","")</f>
        <v>0.75626530794037616</v>
      </c>
      <c r="BL19" s="155">
        <f>[1]!BFCFAEQ("SLA",0,0,0,"JSC",0.5,0,0,P19,BL$4,"M","F",0.065,"GM71","GM71","MP","N","","","")</f>
        <v>0.76092365269652695</v>
      </c>
      <c r="BM19" s="155">
        <f>[1]!BFCFAEQ("SLA",0,0,0,"JSC",0.5,0,0,P19,BM$4,"M","F",0.065,"GM71","GM71","MP","N","","","")</f>
        <v>0.7657425415800897</v>
      </c>
      <c r="BN19" s="155">
        <f>[1]!BFCFAEQ("SLA",0,0,0,"JSC",0.5,0,0,P19,BN$4,"M","F",0.065,"GM71","GM71","MP","N","","","")</f>
        <v>0.77072257175791292</v>
      </c>
      <c r="BO19" s="155">
        <f>[1]!BFCFAEQ("SLA",0,0,0,"JSC",0.5,0,0,P19,BO$4,"M","F",0.065,"GM71","GM71","MP","N","","","")</f>
        <v>0.77586505690789542</v>
      </c>
      <c r="BP19" s="155">
        <f>[1]!BFCFAEQ("SLA",0,0,0,"JSC",0.5,0,0,P19,BP$4,"M","F",0.065,"GM71","GM71","MP","N","","","")</f>
        <v>0.78117031206493281</v>
      </c>
      <c r="BQ19" s="155">
        <f>[1]!BFCFAEQ("SLA",0,0,0,"JSC",0.5,0,0,P19,BQ$4,"M","F",0.065,"GM71","GM71","MP","N","","","")</f>
        <v>0.78663929197508964</v>
      </c>
      <c r="BR19" s="155">
        <f>[1]!BFCFAEQ("SLA",0,0,0,"JSC",0.5,0,0,P19,BR$4,"M","F",0.065,"GM71","GM71","MP","N","","","")</f>
        <v>0.79227187376628339</v>
      </c>
      <c r="BS19" s="155">
        <f>[1]!BFCFAEQ("SLA",0,0,0,"JSC",0.5,0,0,P19,BS$4,"M","F",0.065,"GM71","GM71","MP","N","","","")</f>
        <v>0.79806756502416842</v>
      </c>
      <c r="BT19" s="155">
        <f>[1]!BFCFAEQ("SLA",0,0,0,"JSC",0.5,0,0,P19,BT$4,"M","F",0.065,"GM71","GM71","MP","N","","","")</f>
        <v>0.80402466109360804</v>
      </c>
      <c r="BU19" s="155">
        <f>[1]!BFCFAEQ("SLA",0,0,0,"JSC",0.5,0,0,P19,BU$4,"M","F",0.065,"GM71","GM71","MP","N","","","")</f>
        <v>0.81014102124401277</v>
      </c>
      <c r="BV19" s="155">
        <f>[1]!BFCFAEQ("SLA",0,0,0,"JSC",0.5,0,0,P19,BV$4,"M","F",0.065,"GM71","GM71","MP","N","","","")</f>
        <v>0.81641256523610517</v>
      </c>
      <c r="BW19" s="155">
        <f>[1]!BFCFAEQ("SLA",0,0,0,"JSC",0.5,0,0,P19,BW$4,"M","F",0.065,"GM71","GM71","MP","N","","","")</f>
        <v>0.82282795535361597</v>
      </c>
      <c r="BX19" s="155">
        <f>[1]!BFCFAEQ("SLA",0,0,0,"JSC",0.5,0,0,P19,BX$4,"M","F",0.065,"GM71","GM71","MP","N","","","")</f>
        <v>0.82935875655530844</v>
      </c>
      <c r="BY19" s="155">
        <f>[1]!BFCFAEQ("SLA",0,0,0,"JSC",0.5,0,0,P19,BY$4,"M","F",0.065,"GM71","GM71","MP","N","","","")</f>
        <v>0.83598089920365315</v>
      </c>
      <c r="BZ19" s="155">
        <f>[1]!BFCFAEQ("SLA",0,0,0,"JSC",0.5,0,0,P19,BZ$4,"M","F",0.065,"GM71","GM71","MP","N","","","")</f>
        <v>0.84267545421042123</v>
      </c>
      <c r="CA19" s="155">
        <f>[1]!BFCFAEQ("SLA",0,0,0,"JSC",0.5,0,0,P19,CA$4,"M","F",0.065,"GM71","GM71","MP","N","","","")</f>
        <v>0.84942656840802433</v>
      </c>
      <c r="CB19" s="155">
        <f>[1]!BFCFAEQ("SLA",0,0,0,"JSC",0.5,0,0,P19,CB$4,"M","F",0.065,"GM71","GM71","MP","N","","","")</f>
        <v>0.85621466582634898</v>
      </c>
      <c r="CC19" s="155">
        <f>[1]!BFCFAEQ("SLA",0,0,0,"JSC",0.5,0,0,P19,CC$4,"M","F",0.065,"GM71","GM71","MP","N","","","")</f>
        <v>0.86300849409937719</v>
      </c>
      <c r="CD19" s="155">
        <f>[1]!BFCFAEQ("SLA",0,0,0,"JSC",0.5,0,0,P19,CD$4,"M","F",0.065,"GM71","GM71","MP","N","","","")</f>
        <v>0.86976909235510047</v>
      </c>
      <c r="CE19" s="155">
        <f>[1]!BFCFAEQ("SLA",0,0,0,"JSC",0.5,0,0,P19,CE$4,"M","F",0.065,"GM71","GM71","MP","N","","","")</f>
        <v>0.87646042374264921</v>
      </c>
      <c r="CF19" s="155">
        <f>[1]!BFCFAEQ("SLA",0,0,0,"JSC",0.5,0,0,P19,CF$4,"M","F",0.065,"GM71","GM71","MP","N","","","")</f>
        <v>0.88305217756260868</v>
      </c>
      <c r="CG19" s="155">
        <f>[1]!BFCFAEQ("SLA",0,0,0,"JSC",0.5,0,0,P19,CG$4,"M","F",0.065,"GM71","GM71","MP","N","","","")</f>
        <v>0.88952689064046397</v>
      </c>
      <c r="CH19" s="155">
        <f>[1]!BFCFAEQ("SLA",0,0,0,"JSC",0.5,0,0,P19,CH$4,"M","F",0.065,"GM71","GM71","MP","N","","","")</f>
        <v>0.89585195946014584</v>
      </c>
      <c r="CI19" s="155">
        <f>[1]!BFCFAEQ("SLA",0,0,0,"JSC",0.5,0,0,P19,CI$4,"M","F",0.065,"GM71","GM71","MP","N","","","")</f>
        <v>0.90199575111283137</v>
      </c>
      <c r="CJ19" s="155">
        <f>[1]!BFCFAEQ("SLA",0,0,0,"JSC",0.5,0,0,P19,CJ$4,"M","F",0.065,"GM71","GM71","MP","N","","","")</f>
        <v>0.90795002087590815</v>
      </c>
      <c r="CK19" s="155">
        <f>[1]!BFCFAEQ("SLA",0,0,0,"JSC",0.5,0,0,P19,CK$4,"M","F",0.065,"GM71","GM71","MP","N","","","")</f>
        <v>0.91373517431894025</v>
      </c>
      <c r="CL19" s="155">
        <f>[1]!BFCFAEQ("SLA",0,0,0,"JSC",0.5,0,0,P19,CL$4,"M","F",0.065,"GM71","GM71","MP","N","","","")</f>
        <v>0.9193735926012877</v>
      </c>
      <c r="CM19" s="155">
        <f>[1]!BFCFAEQ("SLA",0,0,0,"JSC",0.5,0,0,P19,CM$4,"M","F",0.065,"GM71","GM71","MP","N","","","")</f>
        <v>0.92486501189820514</v>
      </c>
      <c r="CN19" s="257">
        <f>ROUND([1]!NPVF2("MP","SLA","N",0.05,"M",$P19,$P19,0,0,120,0,"UP84","UP84","P","","")/[1]!NPVF2("MP","JSC","N",0.05,"M",$P19,$P19,CN$4,0.5,0,0,"UP84","UP84","P","",""),4)</f>
        <v>1.0659000000000001</v>
      </c>
      <c r="CO19" s="257">
        <f>ROUND([1]!NPVF2("MP","SLA","N",0.05,"M",$P19,$P19,0,0,120,0,"UP84","UP84","P","","")/[1]!NPVF2("MP","JSC","N",0.05,"M",$P19,$P19,CO$4,0.5,0,0,"UP84","UP84","P","",""),4)</f>
        <v>1.0722</v>
      </c>
      <c r="CP19" s="257">
        <f>ROUND([1]!NPVF2("MP","SLA","N",0.05,"M",$P19,$P19,0,0,120,0,"UP84","UP84","P","","")/[1]!NPVF2("MP","JSC","N",0.05,"M",$P19,$P19,CP$4,0.5,0,0,"UP84","UP84","P","",""),4)</f>
        <v>1.0782</v>
      </c>
      <c r="CQ19" s="257">
        <f>ROUND([1]!NPVF2("MP","SLA","N",0.05,"M",$P19,$P19,0,0,120,0,"UP84","UP84","P","","")/[1]!NPVF2("MP","JSC","N",0.05,"M",$P19,$P19,CQ$4,0.5,0,0,"UP84","UP84","P","",""),4)</f>
        <v>1.0839000000000001</v>
      </c>
      <c r="CR19" s="257">
        <f>ROUND([1]!NPVF2("MP","SLA","N",0.05,"M",$P19,$P19,0,0,120,0,"UP84","UP84","P","","")/[1]!NPVF2("MP","JSC","N",0.05,"M",$P19,$P19,CR$4,0.5,0,0,"UP84","UP84","P","",""),4)</f>
        <v>1.0892999999999999</v>
      </c>
      <c r="CS19" s="257">
        <f>ROUND([1]!NPVF2("MP","SLA","N",0.05,"M",$P19,$P19,0,0,120,0,"UP84","UP84","P","","")/[1]!NPVF2("MP","JSC","N",0.05,"M",$P19,$P19,CS$4,0.5,0,0,"UP84","UP84","P","",""),4)</f>
        <v>1.0944</v>
      </c>
      <c r="CT19" s="257">
        <f>ROUND([1]!NPVF2("MP","SLA","N",0.05,"M",$P19,$P19,0,0,120,0,"UP84","UP84","P","","")/[1]!NPVF2("MP","JSC","N",0.05,"M",$P19,$P19,CT$4,0.5,0,0,"UP84","UP84","P","",""),4)</f>
        <v>1.0991</v>
      </c>
      <c r="CU19" s="257">
        <f>ROUND([1]!NPVF2("MP","SLA","N",0.05,"M",$P19,$P19,0,0,120,0,"UP84","UP84","P","","")/[1]!NPVF2("MP","JSC","N",0.05,"M",$P19,$P19,CU$4,0.5,0,0,"UP84","UP84","P","",""),4)</f>
        <v>1.1035999999999999</v>
      </c>
      <c r="CV19" s="257">
        <f>ROUND([1]!NPVF2("MP","SLA","N",0.05,"M",$P19,$P19,0,0,120,0,"UP84","UP84","P","","")/[1]!NPVF2("MP","JSC","N",0.05,"M",$P19,$P19,CV$4,0.5,0,0,"UP84","UP84","P","",""),4)</f>
        <v>1.1077999999999999</v>
      </c>
      <c r="CW19" s="258">
        <f>ROUND([1]!NPVF2("MP","SLA","N",0.05,"M",$P19,$P19,0,0,120,0,"UP84","UP84","P","","")/[1]!NPVF2("MP","JSC","N",0.05,"M",$P19,$P19,CW$4,0.5,0,0,"UP84","UP84","P","",""),4)</f>
        <v>1.1116999999999999</v>
      </c>
      <c r="CX19" s="62"/>
      <c r="CY19" s="150"/>
      <c r="DB19" s="79"/>
      <c r="DD19" s="184" t="s">
        <v>226</v>
      </c>
      <c r="DH19" s="66"/>
      <c r="DL19" t="s">
        <v>125</v>
      </c>
      <c r="DM19">
        <v>0</v>
      </c>
      <c r="DN19" t="s">
        <v>422</v>
      </c>
      <c r="DO19" s="46">
        <v>0</v>
      </c>
      <c r="DP19" s="46">
        <v>0</v>
      </c>
      <c r="DQ19" s="46">
        <f t="shared" si="3"/>
        <v>0</v>
      </c>
      <c r="DR19" s="46" t="s">
        <v>364</v>
      </c>
      <c r="DW19" s="93">
        <v>1923</v>
      </c>
      <c r="DX19" s="16">
        <v>15708</v>
      </c>
      <c r="DY19" s="47">
        <v>15708</v>
      </c>
      <c r="DZ19" s="47">
        <v>15708</v>
      </c>
      <c r="EA19" s="47">
        <v>15708</v>
      </c>
      <c r="EB19" s="47">
        <v>15708</v>
      </c>
      <c r="EC19" s="47">
        <v>15708</v>
      </c>
      <c r="ED19" s="47">
        <v>15708</v>
      </c>
      <c r="EE19" s="47">
        <v>15708</v>
      </c>
      <c r="EF19" s="47">
        <v>15708</v>
      </c>
      <c r="EG19" s="47">
        <v>15708</v>
      </c>
      <c r="EH19" s="47">
        <v>15708</v>
      </c>
      <c r="EI19" s="47">
        <v>15708</v>
      </c>
      <c r="EJ19" s="47">
        <v>15708</v>
      </c>
      <c r="EK19" s="208">
        <v>15708</v>
      </c>
      <c r="EN19" s="43">
        <v>1923</v>
      </c>
      <c r="EO19" s="106">
        <v>15420</v>
      </c>
      <c r="EP19" s="127">
        <v>15996</v>
      </c>
      <c r="EQ19" s="149">
        <v>16284</v>
      </c>
      <c r="ER19" s="127">
        <v>16464</v>
      </c>
      <c r="ES19" s="127">
        <v>16632</v>
      </c>
      <c r="ET19" s="127">
        <v>16692</v>
      </c>
      <c r="EU19" s="127">
        <v>16692</v>
      </c>
      <c r="EV19" s="41">
        <v>15708</v>
      </c>
      <c r="EW19" s="127">
        <v>15708</v>
      </c>
      <c r="EX19" s="202">
        <v>15708</v>
      </c>
      <c r="EY19" s="47">
        <v>15708</v>
      </c>
      <c r="EZ19" s="47">
        <v>15708</v>
      </c>
      <c r="FA19" s="47">
        <v>15708</v>
      </c>
      <c r="FB19" s="47">
        <v>15708</v>
      </c>
      <c r="FC19" s="47">
        <v>15708</v>
      </c>
      <c r="FD19" s="47">
        <v>15708</v>
      </c>
      <c r="FE19" s="47">
        <v>15708</v>
      </c>
      <c r="FF19" s="47">
        <v>15708</v>
      </c>
      <c r="FG19" s="47">
        <v>15708</v>
      </c>
      <c r="FH19" s="47">
        <v>15708</v>
      </c>
      <c r="FI19" s="47">
        <v>15708</v>
      </c>
      <c r="FJ19" s="47">
        <v>15708</v>
      </c>
      <c r="FK19" s="208">
        <v>15708</v>
      </c>
    </row>
    <row r="20" spans="1:167" ht="15.75">
      <c r="A20" s="19">
        <v>50</v>
      </c>
      <c r="B20" s="122">
        <v>0.35</v>
      </c>
      <c r="C20" s="62"/>
      <c r="D20" s="209">
        <f t="shared" si="0"/>
        <v>15</v>
      </c>
      <c r="E20" s="126">
        <f>[1]!PBGCLRF(65+D20/12)</f>
        <v>1.1274999999999999</v>
      </c>
      <c r="F20" s="62"/>
      <c r="G20" s="62"/>
      <c r="H20" s="62"/>
      <c r="I20" s="62"/>
      <c r="J20" s="19">
        <v>16</v>
      </c>
      <c r="K20" s="122">
        <f t="shared" si="1"/>
        <v>0.91111111111111143</v>
      </c>
      <c r="L20" s="62"/>
      <c r="M20" s="297">
        <v>16</v>
      </c>
      <c r="N20" s="122">
        <f>[1]!LRFAEQ(0.065,"M",65,M20,0,"GM71","GM71","MP","Y","N","",65)</f>
        <v>1.1667923703904295</v>
      </c>
      <c r="O20" s="62"/>
      <c r="P20" s="130">
        <v>70</v>
      </c>
      <c r="Q20" s="155">
        <f>[1]!BFCFAEQ("SLA",0,0,0,"JSC",0.5,0,0,P20,Q$4,"M","F",0.065,"GM71","GM71","MP","N","","","")</f>
        <v>0.65763145686920976</v>
      </c>
      <c r="R20" s="155">
        <f>[1]!BFCFAEQ("SLA",0,0,0,"JSC",0.5,0,0,P20,R$4,"M","F",0.065,"GM71","GM71","MP","N","","","")</f>
        <v>0.65808801792623783</v>
      </c>
      <c r="S20" s="155">
        <f>[1]!BFCFAEQ("SLA",0,0,0,"JSC",0.5,0,0,P20,S$4,"M","F",0.065,"GM71","GM71","MP","N","","","")</f>
        <v>0.6585696322085326</v>
      </c>
      <c r="T20" s="155">
        <f>[1]!BFCFAEQ("SLA",0,0,0,"JSC",0.5,0,0,P20,T$4,"M","F",0.065,"GM71","GM71","MP","N","","","")</f>
        <v>0.65907749750965849</v>
      </c>
      <c r="U20" s="155">
        <f>[1]!BFCFAEQ("SLA",0,0,0,"JSC",0.5,0,0,P20,U$4,"M","F",0.065,"GM71","GM71","MP","N","","","")</f>
        <v>0.65961287516807054</v>
      </c>
      <c r="V20" s="155">
        <f>[1]!BFCFAEQ("SLA",0,0,0,"JSC",0.5,0,0,P20,V$4,"M","F",0.065,"GM71","GM71","MP","N","","","")</f>
        <v>0.66007476808055121</v>
      </c>
      <c r="W20" s="155">
        <f>[1]!BFCFAEQ("SLA",0,0,0,"JSC",0.5,0,0,P20,W$4,"M","F",0.065,"GM71","GM71","MP","N","","","")</f>
        <v>0.66057472157964636</v>
      </c>
      <c r="X20" s="155">
        <f>[1]!BFCFAEQ("SLA",0,0,0,"JSC",0.5,0,0,P20,X$4,"M","F",0.065,"GM71","GM71","MP","N","","","")</f>
        <v>0.66111222296791761</v>
      </c>
      <c r="Y20" s="155">
        <f>[1]!BFCFAEQ("SLA",0,0,0,"JSC",0.5,0,0,P20,Y$4,"M","F",0.065,"GM71","GM71","MP","N","","","")</f>
        <v>0.66168708277108224</v>
      </c>
      <c r="Z20" s="155">
        <f>[1]!BFCFAEQ("SLA",0,0,0,"JSC",0.5,0,0,P20,Z$4,"M","F",0.065,"GM71","GM71","MP","N","","","")</f>
        <v>0.66229967330947637</v>
      </c>
      <c r="AA20" s="155">
        <f>[1]!BFCFAEQ("SLA",0,0,0,"JSC",0.5,0,0,P20,AA$4,"M","F",0.065,"GM71","GM71","MP","N","","","")</f>
        <v>0.66295138831409495</v>
      </c>
      <c r="AB20" s="155">
        <f>[1]!BFCFAEQ("SLA",0,0,0,"JSC",0.5,0,0,P20,AB$4,"M","F",0.065,"GM71","GM71","MP","N","","","")</f>
        <v>0.66364330972014918</v>
      </c>
      <c r="AC20" s="155">
        <f>[1]!BFCFAEQ("SLA",0,0,0,"JSC",0.5,0,0,P20,AC$4,"M","F",0.065,"GM71","GM71","MP","N","","","")</f>
        <v>0.66437778469895103</v>
      </c>
      <c r="AD20" s="155">
        <f>[1]!BFCFAEQ("SLA",0,0,0,"JSC",0.5,0,0,P20,AD$4,"M","F",0.065,"GM71","GM71","MP","N","","","")</f>
        <v>0.6651575368544268</v>
      </c>
      <c r="AE20" s="155">
        <f>[1]!BFCFAEQ("SLA",0,0,0,"JSC",0.5,0,0,P20,AE$4,"M","F",0.065,"GM71","GM71","MP","N","","","")</f>
        <v>0.66598522694834084</v>
      </c>
      <c r="AF20" s="155">
        <f>[1]!BFCFAEQ("SLA",0,0,0,"JSC",0.5,0,0,P20,AF$4,"M","F",0.065,"GM71","GM71","MP","N","","","")</f>
        <v>0.66686346234182914</v>
      </c>
      <c r="AG20" s="155">
        <f>[1]!BFCFAEQ("SLA",0,0,0,"JSC",0.5,0,0,P20,AG$4,"M","F",0.065,"GM71","GM71","MP","N","","","")</f>
        <v>0.66779547347988222</v>
      </c>
      <c r="AH20" s="155">
        <f>[1]!BFCFAEQ("SLA",0,0,0,"JSC",0.5,0,0,P20,AH$4,"M","F",0.065,"GM71","GM71","MP","N","","","")</f>
        <v>0.66878423123870079</v>
      </c>
      <c r="AI20" s="155">
        <f>[1]!BFCFAEQ("SLA",0,0,0,"JSC",0.5,0,0,P20,AI$4,"M","F",0.065,"GM71","GM71","MP","N","","","")</f>
        <v>0.6698331226507479</v>
      </c>
      <c r="AJ20" s="155">
        <f>[1]!BFCFAEQ("SLA",0,0,0,"JSC",0.5,0,0,P20,AJ$4,"M","F",0.065,"GM71","GM71","MP","N","","","")</f>
        <v>0.67094573555525883</v>
      </c>
      <c r="AK20" s="155">
        <f>[1]!BFCFAEQ("SLA",0,0,0,"JSC",0.5,0,0,P20,AK$4,"M","F",0.065,"GM71","GM71","MP","N","","","")</f>
        <v>0.67212564466116209</v>
      </c>
      <c r="AL20" s="155">
        <f>[1]!BFCFAEQ("SLA",0,0,0,"JSC",0.5,0,0,P20,AL$4,"M","F",0.065,"GM71","GM71","MP","N","","","")</f>
        <v>0.67337664053232416</v>
      </c>
      <c r="AM20" s="155">
        <f>[1]!BFCFAEQ("SLA",0,0,0,"JSC",0.5,0,0,P20,AM$4,"M","F",0.065,"GM71","GM71","MP","N","","","")</f>
        <v>0.67470251612070509</v>
      </c>
      <c r="AN20" s="155">
        <f>[1]!BFCFAEQ("SLA",0,0,0,"JSC",0.5,0,0,P20,AN$4,"M","F",0.065,"GM71","GM71","MP","N","","","")</f>
        <v>0.67610795175363003</v>
      </c>
      <c r="AO20" s="155">
        <f>[1]!BFCFAEQ("SLA",0,0,0,"JSC",0.5,0,0,P20,AO$4,"M","F",0.065,"GM71","GM71","MP","N","","","")</f>
        <v>0.67759719778853578</v>
      </c>
      <c r="AP20" s="155">
        <f>[1]!BFCFAEQ("SLA",0,0,0,"JSC",0.5,0,0,P20,AP$4,"M","F",0.065,"GM71","GM71","MP","N","","","")</f>
        <v>0.67917473965271125</v>
      </c>
      <c r="AQ20" s="155">
        <f>[1]!BFCFAEQ("SLA",0,0,0,"JSC",0.5,0,0,P20,AQ$4,"M","F",0.065,"GM71","GM71","MP","N","","","")</f>
        <v>0.68084529984789521</v>
      </c>
      <c r="AR20" s="155">
        <f>[1]!BFCFAEQ("SLA",0,0,0,"JSC",0.5,0,0,P20,AR$4,"M","F",0.065,"GM71","GM71","MP","N","","","")</f>
        <v>0.68261383819775567</v>
      </c>
      <c r="AS20" s="155">
        <f>[1]!BFCFAEQ("SLA",0,0,0,"JSC",0.5,0,0,P20,AS$4,"M","F",0.065,"GM71","GM71","MP","N","","","")</f>
        <v>0.68448533405709455</v>
      </c>
      <c r="AT20" s="155">
        <f>[1]!BFCFAEQ("SLA",0,0,0,"JSC",0.5,0,0,P20,AT$4,"M","F",0.065,"GM71","GM71","MP","N","","","")</f>
        <v>0.68646521808204952</v>
      </c>
      <c r="AU20" s="155">
        <f>[1]!BFCFAEQ("SLA",0,0,0,"JSC",0.5,0,0,P20,AU$4,"M","F",0.065,"GM71","GM71","MP","N","","","")</f>
        <v>0.68855871905158306</v>
      </c>
      <c r="AV20" s="155">
        <f>[1]!BFCFAEQ("SLA",0,0,0,"JSC",0.5,0,0,P20,AV$4,"M","F",0.065,"GM71","GM71","MP","N","","","")</f>
        <v>0.69077129362353251</v>
      </c>
      <c r="AW20" s="155">
        <f>[1]!BFCFAEQ("SLA",0,0,0,"JSC",0.5,0,0,P20,AW$4,"M","F",0.065,"GM71","GM71","MP","N","","","")</f>
        <v>0.69310861884275865</v>
      </c>
      <c r="AX20" s="155">
        <f>[1]!BFCFAEQ("SLA",0,0,0,"JSC",0.5,0,0,P20,AX$4,"M","F",0.065,"GM71","GM71","MP","N","","","")</f>
        <v>0.69557636996682148</v>
      </c>
      <c r="AY20" s="155">
        <f>[1]!BFCFAEQ("SLA",0,0,0,"JSC",0.5,0,0,P20,AY$4,"M","F",0.065,"GM71","GM71","MP","N","","","")</f>
        <v>0.69818042419442206</v>
      </c>
      <c r="AZ20" s="155">
        <f>[1]!BFCFAEQ("SLA",0,0,0,"JSC",0.5,0,0,P20,AZ$4,"M","F",0.065,"GM71","GM71","MP","N","","","")</f>
        <v>0.7009264255780705</v>
      </c>
      <c r="BA20" s="155">
        <f>[1]!BFCFAEQ("SLA",0,0,0,"JSC",0.5,0,0,P20,BA$4,"M","F",0.065,"GM71","GM71","MP","N","","","")</f>
        <v>0.70382061352573444</v>
      </c>
      <c r="BB20" s="155">
        <f>[1]!BFCFAEQ("SLA",0,0,0,"JSC",0.5,0,0,P20,BB$4,"M","F",0.065,"GM71","GM71","MP","N","","","")</f>
        <v>0.70686874818715573</v>
      </c>
      <c r="BC20" s="155">
        <f>[1]!BFCFAEQ("SLA",0,0,0,"JSC",0.5,0,0,P20,BC$4,"M","F",0.065,"GM71","GM71","MP","N","","","")</f>
        <v>0.71007630571394664</v>
      </c>
      <c r="BD20" s="155">
        <f>[1]!BFCFAEQ("SLA",0,0,0,"JSC",0.5,0,0,P20,BD$4,"M","F",0.065,"GM71","GM71","MP","N","","","")</f>
        <v>0.71344907204465247</v>
      </c>
      <c r="BE20" s="155">
        <f>[1]!BFCFAEQ("SLA",0,0,0,"JSC",0.5,0,0,P20,BE$4,"M","F",0.065,"GM71","GM71","MP","N","","","")</f>
        <v>0.71699248223076728</v>
      </c>
      <c r="BF20" s="155">
        <f>[1]!BFCFAEQ("SLA",0,0,0,"JSC",0.5,0,0,P20,BF$4,"M","F",0.065,"GM71","GM71","MP","N","","","")</f>
        <v>0.72070795427451373</v>
      </c>
      <c r="BG20" s="155">
        <f>[1]!BFCFAEQ("SLA",0,0,0,"JSC",0.5,0,0,P20,BG$4,"M","F",0.065,"GM71","GM71","MP","N","","","")</f>
        <v>0.72459242210122321</v>
      </c>
      <c r="BH20" s="155">
        <f>[1]!BFCFAEQ("SLA",0,0,0,"JSC",0.5,0,0,P20,BH$4,"M","F",0.065,"GM71","GM71","MP","N","","","")</f>
        <v>0.72864429176284806</v>
      </c>
      <c r="BI20" s="155">
        <f>[1]!BFCFAEQ("SLA",0,0,0,"JSC",0.5,0,0,P20,BI$4,"M","F",0.065,"GM71","GM71","MP","N","","","")</f>
        <v>0.73286221974683374</v>
      </c>
      <c r="BJ20" s="155">
        <f>[1]!BFCFAEQ("SLA",0,0,0,"JSC",0.5,0,0,P20,BJ$4,"M","F",0.065,"GM71","GM71","MP","N","","","")</f>
        <v>0.73724608487856325</v>
      </c>
      <c r="BK20" s="155">
        <f>[1]!BFCFAEQ("SLA",0,0,0,"JSC",0.5,0,0,P20,BK$4,"M","F",0.065,"GM71","GM71","MP","N","","","")</f>
        <v>0.74179615351697736</v>
      </c>
      <c r="BL20" s="155">
        <f>[1]!BFCFAEQ("SLA",0,0,0,"JSC",0.5,0,0,P20,BL$4,"M","F",0.065,"GM71","GM71","MP","N","","","")</f>
        <v>0.74651341912252356</v>
      </c>
      <c r="BM20" s="155">
        <f>[1]!BFCFAEQ("SLA",0,0,0,"JSC",0.5,0,0,P20,BM$4,"M","F",0.065,"GM71","GM71","MP","N","","","")</f>
        <v>0.75139933434158324</v>
      </c>
      <c r="BN20" s="155">
        <f>[1]!BFCFAEQ("SLA",0,0,0,"JSC",0.5,0,0,P20,BN$4,"M","F",0.065,"GM71","GM71","MP","N","","","")</f>
        <v>0.75645535277975262</v>
      </c>
      <c r="BO20" s="155">
        <f>[1]!BFCFAEQ("SLA",0,0,0,"JSC",0.5,0,0,P20,BO$4,"M","F",0.065,"GM71","GM71","MP","N","","","")</f>
        <v>0.76168376317038888</v>
      </c>
      <c r="BP20" s="155">
        <f>[1]!BFCFAEQ("SLA",0,0,0,"JSC",0.5,0,0,P20,BP$4,"M","F",0.065,"GM71","GM71","MP","N","","","")</f>
        <v>0.76708590347705874</v>
      </c>
      <c r="BQ20" s="155">
        <f>[1]!BFCFAEQ("SLA",0,0,0,"JSC",0.5,0,0,P20,BQ$4,"M","F",0.065,"GM71","GM71","MP","N","","","")</f>
        <v>0.77266387120924263</v>
      </c>
      <c r="BR20" s="155">
        <f>[1]!BFCFAEQ("SLA",0,0,0,"JSC",0.5,0,0,P20,BR$4,"M","F",0.065,"GM71","GM71","MP","N","","","")</f>
        <v>0.7784187302018919</v>
      </c>
      <c r="BS20" s="155">
        <f>[1]!BFCFAEQ("SLA",0,0,0,"JSC",0.5,0,0,P20,BS$4,"M","F",0.065,"GM71","GM71","MP","N","","","")</f>
        <v>0.78435124742239248</v>
      </c>
      <c r="BT20" s="155">
        <f>[1]!BFCFAEQ("SLA",0,0,0,"JSC",0.5,0,0,P20,BT$4,"M","F",0.065,"GM71","GM71","MP","N","","","")</f>
        <v>0.79046100273103193</v>
      </c>
      <c r="BU20" s="155">
        <f>[1]!BFCFAEQ("SLA",0,0,0,"JSC",0.5,0,0,P20,BU$4,"M","F",0.065,"GM71","GM71","MP","N","","","")</f>
        <v>0.79674719082121981</v>
      </c>
      <c r="BV20" s="155">
        <f>[1]!BFCFAEQ("SLA",0,0,0,"JSC",0.5,0,0,P20,BV$4,"M","F",0.065,"GM71","GM71","MP","N","","","")</f>
        <v>0.8032070227739978</v>
      </c>
      <c r="BW20" s="155">
        <f>[1]!BFCFAEQ("SLA",0,0,0,"JSC",0.5,0,0,P20,BW$4,"M","F",0.065,"GM71","GM71","MP","N","","","")</f>
        <v>0.80983008010771707</v>
      </c>
      <c r="BX20" s="155">
        <f>[1]!BFCFAEQ("SLA",0,0,0,"JSC",0.5,0,0,P20,BX$4,"M","F",0.065,"GM71","GM71","MP","N","","","")</f>
        <v>0.81658782498199478</v>
      </c>
      <c r="BY20" s="155">
        <f>[1]!BFCFAEQ("SLA",0,0,0,"JSC",0.5,0,0,P20,BY$4,"M","F",0.065,"GM71","GM71","MP","N","","","")</f>
        <v>0.82345618734185422</v>
      </c>
      <c r="BZ20" s="155">
        <f>[1]!BFCFAEQ("SLA",0,0,0,"JSC",0.5,0,0,P20,BZ$4,"M","F",0.065,"GM71","GM71","MP","N","","","")</f>
        <v>0.83041641721887194</v>
      </c>
      <c r="CA20" s="155">
        <f>[1]!BFCFAEQ("SLA",0,0,0,"JSC",0.5,0,0,P20,CA$4,"M","F",0.065,"GM71","GM71","MP","N","","","")</f>
        <v>0.83745292299782359</v>
      </c>
      <c r="CB20" s="155">
        <f>[1]!BFCFAEQ("SLA",0,0,0,"JSC",0.5,0,0,P20,CB$4,"M","F",0.065,"GM71","GM71","MP","N","","","")</f>
        <v>0.84454603414522966</v>
      </c>
      <c r="CC20" s="155">
        <f>[1]!BFCFAEQ("SLA",0,0,0,"JSC",0.5,0,0,P20,CC$4,"M","F",0.065,"GM71","GM71","MP","N","","","")</f>
        <v>0.85166344228630864</v>
      </c>
      <c r="CD20" s="155">
        <f>[1]!BFCFAEQ("SLA",0,0,0,"JSC",0.5,0,0,P20,CD$4,"M","F",0.065,"GM71","GM71","MP","N","","","")</f>
        <v>0.85876430220884326</v>
      </c>
      <c r="CE20" s="155">
        <f>[1]!BFCFAEQ("SLA",0,0,0,"JSC",0.5,0,0,P20,CE$4,"M","F",0.065,"GM71","GM71","MP","N","","","")</f>
        <v>0.86581052990137919</v>
      </c>
      <c r="CF20" s="155">
        <f>[1]!BFCFAEQ("SLA",0,0,0,"JSC",0.5,0,0,P20,CF$4,"M","F",0.065,"GM71","GM71","MP","N","","","")</f>
        <v>0.87276981745156568</v>
      </c>
      <c r="CG20" s="155">
        <f>[1]!BFCFAEQ("SLA",0,0,0,"JSC",0.5,0,0,P20,CG$4,"M","F",0.065,"GM71","GM71","MP","N","","","")</f>
        <v>0.87962334284578869</v>
      </c>
      <c r="CH20" s="155">
        <f>[1]!BFCFAEQ("SLA",0,0,0,"JSC",0.5,0,0,P20,CH$4,"M","F",0.065,"GM71","GM71","MP","N","","","")</f>
        <v>0.88633567145761971</v>
      </c>
      <c r="CI20" s="155">
        <f>[1]!BFCFAEQ("SLA",0,0,0,"JSC",0.5,0,0,P20,CI$4,"M","F",0.065,"GM71","GM71","MP","N","","","")</f>
        <v>0.89287203211033661</v>
      </c>
      <c r="CJ20" s="155">
        <f>[1]!BFCFAEQ("SLA",0,0,0,"JSC",0.5,0,0,P20,CJ$4,"M","F",0.065,"GM71","GM71","MP","N","","","")</f>
        <v>0.8992226815413551</v>
      </c>
      <c r="CK20" s="155">
        <f>[1]!BFCFAEQ("SLA",0,0,0,"JSC",0.5,0,0,P20,CK$4,"M","F",0.065,"GM71","GM71","MP","N","","","")</f>
        <v>0.9054089230954625</v>
      </c>
      <c r="CL20" s="155">
        <f>[1]!BFCFAEQ("SLA",0,0,0,"JSC",0.5,0,0,P20,CL$4,"M","F",0.065,"GM71","GM71","MP","N","","","")</f>
        <v>0.91145438572055248</v>
      </c>
      <c r="CM20" s="155">
        <f>[1]!BFCFAEQ("SLA",0,0,0,"JSC",0.5,0,0,P20,CM$4,"M","F",0.065,"GM71","GM71","MP","N","","","")</f>
        <v>0.91735815791993525</v>
      </c>
      <c r="CN20" s="257">
        <f>ROUND([1]!NPVF2("MP","SLA","N",0.05,"M",$P20,$P20,0,0,120,0,"UP84","UP84","P","","")/[1]!NPVF2("MP","JSC","N",0.05,"M",$P20,$P20,CN$4,0.5,0,0,"UP84","UP84","P","",""),4)</f>
        <v>1.0733999999999999</v>
      </c>
      <c r="CO20" s="257">
        <f>ROUND([1]!NPVF2("MP","SLA","N",0.05,"M",$P20,$P20,0,0,120,0,"UP84","UP84","P","","")/[1]!NPVF2("MP","JSC","N",0.05,"M",$P20,$P20,CO$4,0.5,0,0,"UP84","UP84","P","",""),4)</f>
        <v>1.0803</v>
      </c>
      <c r="CP20" s="257">
        <f>ROUND([1]!NPVF2("MP","SLA","N",0.05,"M",$P20,$P20,0,0,120,0,"UP84","UP84","P","","")/[1]!NPVF2("MP","JSC","N",0.05,"M",$P20,$P20,CP$4,0.5,0,0,"UP84","UP84","P","",""),4)</f>
        <v>1.0869</v>
      </c>
      <c r="CQ20" s="257">
        <f>ROUND([1]!NPVF2("MP","SLA","N",0.05,"M",$P20,$P20,0,0,120,0,"UP84","UP84","P","","")/[1]!NPVF2("MP","JSC","N",0.05,"M",$P20,$P20,CQ$4,0.5,0,0,"UP84","UP84","P","",""),4)</f>
        <v>1.0931999999999999</v>
      </c>
      <c r="CR20" s="257">
        <f>ROUND([1]!NPVF2("MP","SLA","N",0.05,"M",$P20,$P20,0,0,120,0,"UP84","UP84","P","","")/[1]!NPVF2("MP","JSC","N",0.05,"M",$P20,$P20,CR$4,0.5,0,0,"UP84","UP84","P","",""),4)</f>
        <v>1.0991</v>
      </c>
      <c r="CS20" s="257">
        <f>ROUND([1]!NPVF2("MP","SLA","N",0.05,"M",$P20,$P20,0,0,120,0,"UP84","UP84","P","","")/[1]!NPVF2("MP","JSC","N",0.05,"M",$P20,$P20,CS$4,0.5,0,0,"UP84","UP84","P","",""),4)</f>
        <v>1.1047</v>
      </c>
      <c r="CT20" s="257">
        <f>ROUND([1]!NPVF2("MP","SLA","N",0.05,"M",$P20,$P20,0,0,120,0,"UP84","UP84","P","","")/[1]!NPVF2("MP","JSC","N",0.05,"M",$P20,$P20,CT$4,0.5,0,0,"UP84","UP84","P","",""),4)</f>
        <v>1.1100000000000001</v>
      </c>
      <c r="CU20" s="257">
        <f>ROUND([1]!NPVF2("MP","SLA","N",0.05,"M",$P20,$P20,0,0,120,0,"UP84","UP84","P","","")/[1]!NPVF2("MP","JSC","N",0.05,"M",$P20,$P20,CU$4,0.5,0,0,"UP84","UP84","P","",""),4)</f>
        <v>1.115</v>
      </c>
      <c r="CV20" s="257">
        <f>ROUND([1]!NPVF2("MP","SLA","N",0.05,"M",$P20,$P20,0,0,120,0,"UP84","UP84","P","","")/[1]!NPVF2("MP","JSC","N",0.05,"M",$P20,$P20,CV$4,0.5,0,0,"UP84","UP84","P","",""),4)</f>
        <v>1.1195999999999999</v>
      </c>
      <c r="CW20" s="258">
        <f>ROUND([1]!NPVF2("MP","SLA","N",0.05,"M",$P20,$P20,0,0,120,0,"UP84","UP84","P","","")/[1]!NPVF2("MP","JSC","N",0.05,"M",$P20,$P20,CW$4,0.5,0,0,"UP84","UP84","P","",""),4)</f>
        <v>1.1240000000000001</v>
      </c>
      <c r="CX20" s="62"/>
      <c r="DH20" s="66"/>
      <c r="DO20" s="46">
        <f>SUM(DO14:DO19)</f>
        <v>0</v>
      </c>
      <c r="DP20" s="46"/>
      <c r="DQ20" s="46">
        <f>SUM(DQ14:DQ19)</f>
        <v>0</v>
      </c>
      <c r="DW20" s="93">
        <v>1924</v>
      </c>
      <c r="DX20" s="16">
        <v>16968</v>
      </c>
      <c r="DY20" s="47">
        <v>16968</v>
      </c>
      <c r="DZ20" s="47">
        <v>16968</v>
      </c>
      <c r="EA20" s="47">
        <v>16968</v>
      </c>
      <c r="EB20" s="47">
        <v>16968</v>
      </c>
      <c r="EC20" s="47">
        <v>16968</v>
      </c>
      <c r="ED20" s="47">
        <v>16968</v>
      </c>
      <c r="EE20" s="47">
        <v>16968</v>
      </c>
      <c r="EF20" s="47">
        <v>16968</v>
      </c>
      <c r="EG20" s="47">
        <v>16968</v>
      </c>
      <c r="EH20" s="47">
        <v>16968</v>
      </c>
      <c r="EI20" s="47">
        <v>16968</v>
      </c>
      <c r="EJ20" s="47">
        <v>16968</v>
      </c>
      <c r="EK20" s="208">
        <v>16968</v>
      </c>
      <c r="EN20" s="43">
        <v>1924</v>
      </c>
      <c r="EO20" s="106">
        <v>15996</v>
      </c>
      <c r="EP20" s="127">
        <v>16656</v>
      </c>
      <c r="EQ20" s="149">
        <v>17004</v>
      </c>
      <c r="ER20" s="127">
        <v>17244</v>
      </c>
      <c r="ES20" s="127">
        <v>17484</v>
      </c>
      <c r="ET20" s="127">
        <v>17604</v>
      </c>
      <c r="EU20" s="127">
        <v>17640</v>
      </c>
      <c r="EV20" s="41">
        <v>16968</v>
      </c>
      <c r="EW20" s="127">
        <v>16968</v>
      </c>
      <c r="EX20" s="202">
        <v>16968</v>
      </c>
      <c r="EY20" s="47">
        <v>16968</v>
      </c>
      <c r="EZ20" s="47">
        <v>16968</v>
      </c>
      <c r="FA20" s="47">
        <v>16968</v>
      </c>
      <c r="FB20" s="47">
        <v>16968</v>
      </c>
      <c r="FC20" s="47">
        <v>16968</v>
      </c>
      <c r="FD20" s="47">
        <v>16968</v>
      </c>
      <c r="FE20" s="47">
        <v>16968</v>
      </c>
      <c r="FF20" s="47">
        <v>16968</v>
      </c>
      <c r="FG20" s="47">
        <v>16968</v>
      </c>
      <c r="FH20" s="47">
        <v>16968</v>
      </c>
      <c r="FI20" s="47">
        <v>16968</v>
      </c>
      <c r="FJ20" s="47">
        <v>16968</v>
      </c>
      <c r="FK20" s="208">
        <v>16968</v>
      </c>
    </row>
    <row r="21" spans="1:167" ht="15.75">
      <c r="A21" s="164">
        <v>49</v>
      </c>
      <c r="B21" s="122">
        <v>0.33</v>
      </c>
      <c r="C21" s="62"/>
      <c r="D21" s="209">
        <f t="shared" si="0"/>
        <v>16</v>
      </c>
      <c r="E21" s="126">
        <f>[1]!PBGCLRF(65+D21/12)</f>
        <v>1.1367</v>
      </c>
      <c r="F21" s="62"/>
      <c r="G21" s="62"/>
      <c r="H21" s="62"/>
      <c r="I21" s="62"/>
      <c r="J21" s="19">
        <v>17</v>
      </c>
      <c r="K21" s="122">
        <f t="shared" si="1"/>
        <v>0.90555555555555589</v>
      </c>
      <c r="L21" s="62"/>
      <c r="M21" s="297">
        <v>17</v>
      </c>
      <c r="N21" s="122">
        <f>[1]!LRFAEQ(0.065,"M",65,M21,0,"GM71","GM71","MP","Y","N","",65)</f>
        <v>1.1783932800745016</v>
      </c>
      <c r="O21" s="62"/>
      <c r="P21" s="130">
        <v>71</v>
      </c>
      <c r="Q21" s="155">
        <f>[1]!BFCFAEQ("SLA",0,0,0,"JSC",0.5,0,0,P21,Q$4,"M","F",0.065,"GM71","GM71","MP","N","","","")</f>
        <v>0.64297994200416442</v>
      </c>
      <c r="R21" s="155">
        <f>[1]!BFCFAEQ("SLA",0,0,0,"JSC",0.5,0,0,P21,R$4,"M","F",0.065,"GM71","GM71","MP","N","","","")</f>
        <v>0.64343412641330322</v>
      </c>
      <c r="S21" s="155">
        <f>[1]!BFCFAEQ("SLA",0,0,0,"JSC",0.5,0,0,P21,S$4,"M","F",0.065,"GM71","GM71","MP","N","","","")</f>
        <v>0.64391324619095636</v>
      </c>
      <c r="T21" s="155">
        <f>[1]!BFCFAEQ("SLA",0,0,0,"JSC",0.5,0,0,P21,T$4,"M","F",0.065,"GM71","GM71","MP","N","","","")</f>
        <v>0.64441847353245185</v>
      </c>
      <c r="U21" s="155">
        <f>[1]!BFCFAEQ("SLA",0,0,0,"JSC",0.5,0,0,P21,U$4,"M","F",0.065,"GM71","GM71","MP","N","","","")</f>
        <v>0.64495103542379528</v>
      </c>
      <c r="V21" s="155">
        <f>[1]!BFCFAEQ("SLA",0,0,0,"JSC",0.5,0,0,P21,V$4,"M","F",0.065,"GM71","GM71","MP","N","","","")</f>
        <v>0.64540784738739287</v>
      </c>
      <c r="W21" s="155">
        <f>[1]!BFCFAEQ("SLA",0,0,0,"JSC",0.5,0,0,P21,W$4,"M","F",0.065,"GM71","GM71","MP","N","","","")</f>
        <v>0.64590262711764956</v>
      </c>
      <c r="X21" s="155">
        <f>[1]!BFCFAEQ("SLA",0,0,0,"JSC",0.5,0,0,P21,X$4,"M","F",0.065,"GM71","GM71","MP","N","","","")</f>
        <v>0.64643481060550423</v>
      </c>
      <c r="Y21" s="155">
        <f>[1]!BFCFAEQ("SLA",0,0,0,"JSC",0.5,0,0,P21,Y$4,"M","F",0.065,"GM71","GM71","MP","N","","","")</f>
        <v>0.64700415970385872</v>
      </c>
      <c r="Z21" s="155">
        <f>[1]!BFCFAEQ("SLA",0,0,0,"JSC",0.5,0,0,P21,Z$4,"M","F",0.065,"GM71","GM71","MP","N","","","")</f>
        <v>0.64761100597515975</v>
      </c>
      <c r="AA21" s="155">
        <f>[1]!BFCFAEQ("SLA",0,0,0,"JSC",0.5,0,0,P21,AA$4,"M","F",0.065,"GM71","GM71","MP","N","","","")</f>
        <v>0.64825672027246628</v>
      </c>
      <c r="AB21" s="155">
        <f>[1]!BFCFAEQ("SLA",0,0,0,"JSC",0.5,0,0,P21,AB$4,"M","F",0.065,"GM71","GM71","MP","N","","","")</f>
        <v>0.6489423527630177</v>
      </c>
      <c r="AC21" s="155">
        <f>[1]!BFCFAEQ("SLA",0,0,0,"JSC",0.5,0,0,P21,AC$4,"M","F",0.065,"GM71","GM71","MP","N","","","")</f>
        <v>0.64967024285097097</v>
      </c>
      <c r="AD21" s="155">
        <f>[1]!BFCFAEQ("SLA",0,0,0,"JSC",0.5,0,0,P21,AD$4,"M","F",0.065,"GM71","GM71","MP","N","","","")</f>
        <v>0.65044311277316968</v>
      </c>
      <c r="AE21" s="155">
        <f>[1]!BFCFAEQ("SLA",0,0,0,"JSC",0.5,0,0,P21,AE$4,"M","F",0.065,"GM71","GM71","MP","N","","","")</f>
        <v>0.65126361949641343</v>
      </c>
      <c r="AF21" s="155">
        <f>[1]!BFCFAEQ("SLA",0,0,0,"JSC",0.5,0,0,P21,AF$4,"M","F",0.065,"GM71","GM71","MP","N","","","")</f>
        <v>0.65213436459827234</v>
      </c>
      <c r="AG21" s="155">
        <f>[1]!BFCFAEQ("SLA",0,0,0,"JSC",0.5,0,0,P21,AG$4,"M","F",0.065,"GM71","GM71","MP","N","","","")</f>
        <v>0.65305858558462604</v>
      </c>
      <c r="AH21" s="155">
        <f>[1]!BFCFAEQ("SLA",0,0,0,"JSC",0.5,0,0,P21,AH$4,"M","F",0.065,"GM71","GM71","MP","N","","","")</f>
        <v>0.65403925515970152</v>
      </c>
      <c r="AI21" s="155">
        <f>[1]!BFCFAEQ("SLA",0,0,0,"JSC",0.5,0,0,P21,AI$4,"M","F",0.065,"GM71","GM71","MP","N","","","")</f>
        <v>0.6550797719830882</v>
      </c>
      <c r="AJ21" s="155">
        <f>[1]!BFCFAEQ("SLA",0,0,0,"JSC",0.5,0,0,P21,AJ$4,"M","F",0.065,"GM71","GM71","MP","N","","","")</f>
        <v>0.65618374164526949</v>
      </c>
      <c r="AK21" s="155">
        <f>[1]!BFCFAEQ("SLA",0,0,0,"JSC",0.5,0,0,P21,AK$4,"M","F",0.065,"GM71","GM71","MP","N","","","")</f>
        <v>0.65735475899420981</v>
      </c>
      <c r="AL21" s="155">
        <f>[1]!BFCFAEQ("SLA",0,0,0,"JSC",0.5,0,0,P21,AL$4,"M","F",0.065,"GM71","GM71","MP","N","","","")</f>
        <v>0.65859664317110123</v>
      </c>
      <c r="AM21" s="155">
        <f>[1]!BFCFAEQ("SLA",0,0,0,"JSC",0.5,0,0,P21,AM$4,"M","F",0.065,"GM71","GM71","MP","N","","","")</f>
        <v>0.65991322063396474</v>
      </c>
      <c r="AN21" s="155">
        <f>[1]!BFCFAEQ("SLA",0,0,0,"JSC",0.5,0,0,P21,AN$4,"M","F",0.065,"GM71","GM71","MP","N","","","")</f>
        <v>0.66130923155292254</v>
      </c>
      <c r="AO21" s="155">
        <f>[1]!BFCFAEQ("SLA",0,0,0,"JSC",0.5,0,0,P21,AO$4,"M","F",0.065,"GM71","GM71","MP","N","","","")</f>
        <v>0.66278898427767297</v>
      </c>
      <c r="AP21" s="155">
        <f>[1]!BFCFAEQ("SLA",0,0,0,"JSC",0.5,0,0,P21,AP$4,"M","F",0.065,"GM71","GM71","MP","N","","","")</f>
        <v>0.66435703672263513</v>
      </c>
      <c r="AQ21" s="155">
        <f>[1]!BFCFAEQ("SLA",0,0,0,"JSC",0.5,0,0,P21,AQ$4,"M","F",0.065,"GM71","GM71","MP","N","","","")</f>
        <v>0.66601820015426283</v>
      </c>
      <c r="AR21" s="155">
        <f>[1]!BFCFAEQ("SLA",0,0,0,"JSC",0.5,0,0,P21,AR$4,"M","F",0.065,"GM71","GM71","MP","N","","","")</f>
        <v>0.66777754122316368</v>
      </c>
      <c r="AS21" s="155">
        <f>[1]!BFCFAEQ("SLA",0,0,0,"JSC",0.5,0,0,P21,AS$4,"M","F",0.065,"GM71","GM71","MP","N","","","")</f>
        <v>0.66964016063969833</v>
      </c>
      <c r="AT21" s="155">
        <f>[1]!BFCFAEQ("SLA",0,0,0,"JSC",0.5,0,0,P21,AT$4,"M","F",0.065,"GM71","GM71","MP","N","","","")</f>
        <v>0.67161163704261284</v>
      </c>
      <c r="AU21" s="155">
        <f>[1]!BFCFAEQ("SLA",0,0,0,"JSC",0.5,0,0,P21,AU$4,"M","F",0.065,"GM71","GM71","MP","N","","","")</f>
        <v>0.67369735949838483</v>
      </c>
      <c r="AV21" s="155">
        <f>[1]!BFCFAEQ("SLA",0,0,0,"JSC",0.5,0,0,P21,AV$4,"M","F",0.065,"GM71","GM71","MP","N","","","")</f>
        <v>0.67590296913727854</v>
      </c>
      <c r="AW21" s="155">
        <f>[1]!BFCFAEQ("SLA",0,0,0,"JSC",0.5,0,0,P21,AW$4,"M","F",0.065,"GM71","GM71","MP","N","","","")</f>
        <v>0.67823435313731328</v>
      </c>
      <c r="AX21" s="155">
        <f>[1]!BFCFAEQ("SLA",0,0,0,"JSC",0.5,0,0,P21,AX$4,"M","F",0.065,"GM71","GM71","MP","N","","","")</f>
        <v>0.68069741840555975</v>
      </c>
      <c r="AY21" s="155">
        <f>[1]!BFCFAEQ("SLA",0,0,0,"JSC",0.5,0,0,P21,AY$4,"M","F",0.065,"GM71","GM71","MP","N","","","")</f>
        <v>0.68329830219884313</v>
      </c>
      <c r="AZ21" s="155">
        <f>[1]!BFCFAEQ("SLA",0,0,0,"JSC",0.5,0,0,P21,AZ$4,"M","F",0.065,"GM71","GM71","MP","N","","","")</f>
        <v>0.68604292719812532</v>
      </c>
      <c r="BA21" s="155">
        <f>[1]!BFCFAEQ("SLA",0,0,0,"JSC",0.5,0,0,P21,BA$4,"M","F",0.065,"GM71","GM71","MP","N","","","")</f>
        <v>0.68893785503203153</v>
      </c>
      <c r="BB21" s="155">
        <f>[1]!BFCFAEQ("SLA",0,0,0,"JSC",0.5,0,0,P21,BB$4,"M","F",0.065,"GM71","GM71","MP","N","","","")</f>
        <v>0.69198918576070878</v>
      </c>
      <c r="BC21" s="155">
        <f>[1]!BFCFAEQ("SLA",0,0,0,"JSC",0.5,0,0,P21,BC$4,"M","F",0.065,"GM71","GM71","MP","N","","","")</f>
        <v>0.69520276151618376</v>
      </c>
      <c r="BD21" s="155">
        <f>[1]!BFCFAEQ("SLA",0,0,0,"JSC",0.5,0,0,P21,BD$4,"M","F",0.065,"GM71","GM71","MP","N","","","")</f>
        <v>0.69858478171080518</v>
      </c>
      <c r="BE21" s="155">
        <f>[1]!BFCFAEQ("SLA",0,0,0,"JSC",0.5,0,0,P21,BE$4,"M","F",0.065,"GM71","GM71","MP","N","","","")</f>
        <v>0.70214112767776338</v>
      </c>
      <c r="BF21" s="155">
        <f>[1]!BFCFAEQ("SLA",0,0,0,"JSC",0.5,0,0,P21,BF$4,"M","F",0.065,"GM71","GM71","MP","N","","","")</f>
        <v>0.70587358462913685</v>
      </c>
      <c r="BG21" s="155">
        <f>[1]!BFCFAEQ("SLA",0,0,0,"JSC",0.5,0,0,P21,BG$4,"M","F",0.065,"GM71","GM71","MP","N","","","")</f>
        <v>0.70977934998051029</v>
      </c>
      <c r="BH21" s="155">
        <f>[1]!BFCFAEQ("SLA",0,0,0,"JSC",0.5,0,0,P21,BH$4,"M","F",0.065,"GM71","GM71","MP","N","","","")</f>
        <v>0.71385717515931069</v>
      </c>
      <c r="BI21" s="155">
        <f>[1]!BFCFAEQ("SLA",0,0,0,"JSC",0.5,0,0,P21,BI$4,"M","F",0.065,"GM71","GM71","MP","N","","","")</f>
        <v>0.71810611455865825</v>
      </c>
      <c r="BJ21" s="155">
        <f>[1]!BFCFAEQ("SLA",0,0,0,"JSC",0.5,0,0,P21,BJ$4,"M","F",0.065,"GM71","GM71","MP","N","","","")</f>
        <v>0.72252653910763698</v>
      </c>
      <c r="BK21" s="155">
        <f>[1]!BFCFAEQ("SLA",0,0,0,"JSC",0.5,0,0,P21,BK$4,"M","F",0.065,"GM71","GM71","MP","N","","","")</f>
        <v>0.72711928374164214</v>
      </c>
      <c r="BL21" s="155">
        <f>[1]!BFCFAEQ("SLA",0,0,0,"JSC",0.5,0,0,P21,BL$4,"M","F",0.065,"GM71","GM71","MP","N","","","")</f>
        <v>0.73188600839733087</v>
      </c>
      <c r="BM21" s="155">
        <f>[1]!BFCFAEQ("SLA",0,0,0,"JSC",0.5,0,0,P21,BM$4,"M","F",0.065,"GM71","GM71","MP","N","","","")</f>
        <v>0.73682893057794241</v>
      </c>
      <c r="BN21" s="155">
        <f>[1]!BFCFAEQ("SLA",0,0,0,"JSC",0.5,0,0,P21,BN$4,"M","F",0.065,"GM71","GM71","MP","N","","","")</f>
        <v>0.74195035778118812</v>
      </c>
      <c r="BO21" s="155">
        <f>[1]!BFCFAEQ("SLA",0,0,0,"JSC",0.5,0,0,P21,BO$4,"M","F",0.065,"GM71","GM71","MP","N","","","")</f>
        <v>0.74725356019907807</v>
      </c>
      <c r="BP21" s="155">
        <f>[1]!BFCFAEQ("SLA",0,0,0,"JSC",0.5,0,0,P21,BP$4,"M","F",0.065,"GM71","GM71","MP","N","","","")</f>
        <v>0.75274091881445926</v>
      </c>
      <c r="BQ21" s="155">
        <f>[1]!BFCFAEQ("SLA",0,0,0,"JSC",0.5,0,0,P21,BQ$4,"M","F",0.065,"GM71","GM71","MP","N","","","")</f>
        <v>0.75841570598456398</v>
      </c>
      <c r="BR21" s="155">
        <f>[1]!BFCFAEQ("SLA",0,0,0,"JSC",0.5,0,0,P21,BR$4,"M","F",0.065,"GM71","GM71","MP","N","","","")</f>
        <v>0.76428021944800806</v>
      </c>
      <c r="BS21" s="155">
        <f>[1]!BFCFAEQ("SLA",0,0,0,"JSC",0.5,0,0,P21,BS$4,"M","F",0.065,"GM71","GM71","MP","N","","","")</f>
        <v>0.77033654811774543</v>
      </c>
      <c r="BT21" s="155">
        <f>[1]!BFCFAEQ("SLA",0,0,0,"JSC",0.5,0,0,P21,BT$4,"M","F",0.065,"GM71","GM71","MP","N","","","")</f>
        <v>0.77658563822630899</v>
      </c>
      <c r="BU21" s="155">
        <f>[1]!BFCFAEQ("SLA",0,0,0,"JSC",0.5,0,0,P21,BU$4,"M","F",0.065,"GM71","GM71","MP","N","","","")</f>
        <v>0.78302812306037839</v>
      </c>
      <c r="BV21" s="155">
        <f>[1]!BFCFAEQ("SLA",0,0,0,"JSC",0.5,0,0,P21,BV$4,"M","F",0.065,"GM71","GM71","MP","N","","","")</f>
        <v>0.78966263256462832</v>
      </c>
      <c r="BW21" s="155">
        <f>[1]!BFCFAEQ("SLA",0,0,0,"JSC",0.5,0,0,P21,BW$4,"M","F",0.065,"GM71","GM71","MP","N","","","")</f>
        <v>0.79647982223230063</v>
      </c>
      <c r="BX21" s="155">
        <f>[1]!BFCFAEQ("SLA",0,0,0,"JSC",0.5,0,0,P21,BX$4,"M","F",0.065,"GM71","GM71","MP","N","","","")</f>
        <v>0.8034512327459753</v>
      </c>
      <c r="BY21" s="155">
        <f>[1]!BFCFAEQ("SLA",0,0,0,"JSC",0.5,0,0,P21,BY$4,"M","F",0.065,"GM71","GM71","MP","N","","","")</f>
        <v>0.81055297305469542</v>
      </c>
      <c r="BZ21" s="155">
        <f>[1]!BFCFAEQ("SLA",0,0,0,"JSC",0.5,0,0,P21,BZ$4,"M","F",0.065,"GM71","GM71","MP","N","","","")</f>
        <v>0.8177666510924948</v>
      </c>
      <c r="CA21" s="155">
        <f>[1]!BFCFAEQ("SLA",0,0,0,"JSC",0.5,0,0,P21,CA$4,"M","F",0.065,"GM71","GM71","MP","N","","","")</f>
        <v>0.82507711999055089</v>
      </c>
      <c r="CB21" s="155">
        <f>[1]!BFCFAEQ("SLA",0,0,0,"JSC",0.5,0,0,P21,CB$4,"M","F",0.065,"GM71","GM71","MP","N","","","")</f>
        <v>0.83246480430146208</v>
      </c>
      <c r="CC21" s="155">
        <f>[1]!BFCFAEQ("SLA",0,0,0,"JSC",0.5,0,0,P21,CC$4,"M","F",0.065,"GM71","GM71","MP","N","","","")</f>
        <v>0.83989652807871384</v>
      </c>
      <c r="CD21" s="155">
        <f>[1]!BFCFAEQ("SLA",0,0,0,"JSC",0.5,0,0,P21,CD$4,"M","F",0.065,"GM71","GM71","MP","N","","","")</f>
        <v>0.84732973709423964</v>
      </c>
      <c r="CE21" s="155">
        <f>[1]!BFCFAEQ("SLA",0,0,0,"JSC",0.5,0,0,P21,CE$4,"M","F",0.065,"GM71","GM71","MP","N","","","")</f>
        <v>0.85472446284734882</v>
      </c>
      <c r="CF21" s="155">
        <f>[1]!BFCFAEQ("SLA",0,0,0,"JSC",0.5,0,0,P21,CF$4,"M","F",0.065,"GM71","GM71","MP","N","","","")</f>
        <v>0.86204655566908883</v>
      </c>
      <c r="CG21" s="155">
        <f>[1]!BFCFAEQ("SLA",0,0,0,"JSC",0.5,0,0,P21,CG$4,"M","F",0.065,"GM71","GM71","MP","N","","","")</f>
        <v>0.86927599090005003</v>
      </c>
      <c r="CH21" s="155">
        <f>[1]!BFCFAEQ("SLA",0,0,0,"JSC",0.5,0,0,P21,CH$4,"M","F",0.065,"GM71","GM71","MP","N","","","")</f>
        <v>0.87637461294312169</v>
      </c>
      <c r="CI21" s="155">
        <f>[1]!BFCFAEQ("SLA",0,0,0,"JSC",0.5,0,0,P21,CI$4,"M","F",0.065,"GM71","GM71","MP","N","","","")</f>
        <v>0.88330455952420384</v>
      </c>
      <c r="CJ21" s="155">
        <f>[1]!BFCFAEQ("SLA",0,0,0,"JSC",0.5,0,0,P21,CJ$4,"M","F",0.065,"GM71","GM71","MP","N","","","")</f>
        <v>0.89005460534118486</v>
      </c>
      <c r="CK21" s="155">
        <f>[1]!BFCFAEQ("SLA",0,0,0,"JSC",0.5,0,0,P21,CK$4,"M","F",0.065,"GM71","GM71","MP","N","","","")</f>
        <v>0.89664699064755515</v>
      </c>
      <c r="CL21" s="155">
        <f>[1]!BFCFAEQ("SLA",0,0,0,"JSC",0.5,0,0,P21,CL$4,"M","F",0.065,"GM71","GM71","MP","N","","","")</f>
        <v>0.90310663215690412</v>
      </c>
      <c r="CM21" s="155">
        <f>[1]!BFCFAEQ("SLA",0,0,0,"JSC",0.5,0,0,P21,CM$4,"M","F",0.065,"GM71","GM71","MP","N","","","")</f>
        <v>0.90943194225286361</v>
      </c>
      <c r="CN21" s="257">
        <f>ROUND([1]!NPVF2("MP","SLA","N",0.05,"M",$P21,$P21,0,0,120,0,"UP84","UP84","P","","")/[1]!NPVF2("MP","JSC","N",0.05,"M",$P21,$P21,CN$4,0.5,0,0,"UP84","UP84","P","",""),4)</f>
        <v>1.0819000000000001</v>
      </c>
      <c r="CO21" s="257">
        <f>ROUND([1]!NPVF2("MP","SLA","N",0.05,"M",$P21,$P21,0,0,120,0,"UP84","UP84","P","","")/[1]!NPVF2("MP","JSC","N",0.05,"M",$P21,$P21,CO$4,0.5,0,0,"UP84","UP84","P","",""),4)</f>
        <v>1.0893999999999999</v>
      </c>
      <c r="CP21" s="257">
        <f>ROUND([1]!NPVF2("MP","SLA","N",0.05,"M",$P21,$P21,0,0,120,0,"UP84","UP84","P","","")/[1]!NPVF2("MP","JSC","N",0.05,"M",$P21,$P21,CP$4,0.5,0,0,"UP84","UP84","P","",""),4)</f>
        <v>1.0967</v>
      </c>
      <c r="CQ21" s="257">
        <f>ROUND([1]!NPVF2("MP","SLA","N",0.05,"M",$P21,$P21,0,0,120,0,"UP84","UP84","P","","")/[1]!NPVF2("MP","JSC","N",0.05,"M",$P21,$P21,CQ$4,0.5,0,0,"UP84","UP84","P","",""),4)</f>
        <v>1.1034999999999999</v>
      </c>
      <c r="CR21" s="257">
        <f>ROUND([1]!NPVF2("MP","SLA","N",0.05,"M",$P21,$P21,0,0,120,0,"UP84","UP84","P","","")/[1]!NPVF2("MP","JSC","N",0.05,"M",$P21,$P21,CR$4,0.5,0,0,"UP84","UP84","P","",""),4)</f>
        <v>1.1101000000000001</v>
      </c>
      <c r="CS21" s="257">
        <f>ROUND([1]!NPVF2("MP","SLA","N",0.05,"M",$P21,$P21,0,0,120,0,"UP84","UP84","P","","")/[1]!NPVF2("MP","JSC","N",0.05,"M",$P21,$P21,CS$4,0.5,0,0,"UP84","UP84","P","",""),4)</f>
        <v>1.1163000000000001</v>
      </c>
      <c r="CT21" s="257">
        <f>ROUND([1]!NPVF2("MP","SLA","N",0.05,"M",$P21,$P21,0,0,120,0,"UP84","UP84","P","","")/[1]!NPVF2("MP","JSC","N",0.05,"M",$P21,$P21,CT$4,0.5,0,0,"UP84","UP84","P","",""),4)</f>
        <v>1.1222000000000001</v>
      </c>
      <c r="CU21" s="257">
        <f>ROUND([1]!NPVF2("MP","SLA","N",0.05,"M",$P21,$P21,0,0,120,0,"UP84","UP84","P","","")/[1]!NPVF2("MP","JSC","N",0.05,"M",$P21,$P21,CU$4,0.5,0,0,"UP84","UP84","P","",""),4)</f>
        <v>1.1276999999999999</v>
      </c>
      <c r="CV21" s="257">
        <f>ROUND([1]!NPVF2("MP","SLA","N",0.05,"M",$P21,$P21,0,0,120,0,"UP84","UP84","P","","")/[1]!NPVF2("MP","JSC","N",0.05,"M",$P21,$P21,CV$4,0.5,0,0,"UP84","UP84","P","",""),4)</f>
        <v>1.1328</v>
      </c>
      <c r="CW21" s="258">
        <f>ROUND([1]!NPVF2("MP","SLA","N",0.05,"M",$P21,$P21,0,0,120,0,"UP84","UP84","P","","")/[1]!NPVF2("MP","JSC","N",0.05,"M",$P21,$P21,CW$4,0.5,0,0,"UP84","UP84","P","",""),4)</f>
        <v>1.1376999999999999</v>
      </c>
      <c r="CX21" s="62"/>
      <c r="CY21" s="342" t="s">
        <v>555</v>
      </c>
      <c r="CZ21" s="342"/>
      <c r="DD21" t="s">
        <v>405</v>
      </c>
      <c r="DE21" s="76"/>
      <c r="DH21" s="66"/>
      <c r="DP21" s="46"/>
      <c r="DW21" s="93">
        <v>1925</v>
      </c>
      <c r="DX21" s="16">
        <v>18312</v>
      </c>
      <c r="DY21" s="47">
        <v>18312</v>
      </c>
      <c r="DZ21" s="47">
        <v>18312</v>
      </c>
      <c r="EA21" s="47">
        <v>18312</v>
      </c>
      <c r="EB21" s="47">
        <v>18312</v>
      </c>
      <c r="EC21" s="47">
        <v>18312</v>
      </c>
      <c r="ED21" s="47">
        <v>18312</v>
      </c>
      <c r="EE21" s="47">
        <v>18312</v>
      </c>
      <c r="EF21" s="47">
        <v>18312</v>
      </c>
      <c r="EG21" s="47">
        <v>18312</v>
      </c>
      <c r="EH21" s="47">
        <v>18312</v>
      </c>
      <c r="EI21" s="47">
        <v>18312</v>
      </c>
      <c r="EJ21" s="47">
        <v>18312</v>
      </c>
      <c r="EK21" s="208">
        <v>18312</v>
      </c>
      <c r="EN21" s="43">
        <v>1925</v>
      </c>
      <c r="EO21" s="106">
        <v>16524</v>
      </c>
      <c r="EP21" s="127">
        <v>17268</v>
      </c>
      <c r="EQ21" s="149">
        <v>17676</v>
      </c>
      <c r="ER21" s="127">
        <v>17964</v>
      </c>
      <c r="ES21" s="127">
        <v>18276</v>
      </c>
      <c r="ET21" s="127">
        <v>18444</v>
      </c>
      <c r="EU21" s="127">
        <v>18528</v>
      </c>
      <c r="EV21" s="41">
        <v>18228</v>
      </c>
      <c r="EW21" s="127">
        <v>18312</v>
      </c>
      <c r="EX21" s="202">
        <v>18312</v>
      </c>
      <c r="EY21" s="47">
        <v>18312</v>
      </c>
      <c r="EZ21" s="47">
        <v>18312</v>
      </c>
      <c r="FA21" s="47">
        <v>18312</v>
      </c>
      <c r="FB21" s="47">
        <v>18312</v>
      </c>
      <c r="FC21" s="47">
        <v>18312</v>
      </c>
      <c r="FD21" s="47">
        <v>18312</v>
      </c>
      <c r="FE21" s="47">
        <v>18312</v>
      </c>
      <c r="FF21" s="47">
        <v>18312</v>
      </c>
      <c r="FG21" s="47">
        <v>18312</v>
      </c>
      <c r="FH21" s="47">
        <v>18312</v>
      </c>
      <c r="FI21" s="47">
        <v>18312</v>
      </c>
      <c r="FJ21" s="47">
        <v>18312</v>
      </c>
      <c r="FK21" s="208">
        <v>18312</v>
      </c>
    </row>
    <row r="22" spans="1:167" ht="15.75">
      <c r="A22" s="19">
        <v>48</v>
      </c>
      <c r="B22" s="122">
        <v>0.31</v>
      </c>
      <c r="C22" s="62"/>
      <c r="D22" s="209">
        <f t="shared" si="0"/>
        <v>17</v>
      </c>
      <c r="E22" s="126">
        <f>[1]!PBGCLRF(65+D22/12)</f>
        <v>1.1457999999999999</v>
      </c>
      <c r="F22" s="62"/>
      <c r="G22" s="62"/>
      <c r="H22" s="62"/>
      <c r="I22" s="62"/>
      <c r="J22" s="19">
        <v>18</v>
      </c>
      <c r="K22" s="122">
        <f t="shared" si="1"/>
        <v>0.90000000000000036</v>
      </c>
      <c r="L22" s="62"/>
      <c r="M22" s="297">
        <v>18</v>
      </c>
      <c r="N22" s="122">
        <f>[1]!LRFAEQ(0.065,"M",65,M22,0,"GM71","GM71","MP","Y","N","",65)</f>
        <v>1.1899941897585735</v>
      </c>
      <c r="O22" s="62"/>
      <c r="P22" s="130">
        <v>72</v>
      </c>
      <c r="Q22" s="155">
        <f>[1]!BFCFAEQ("SLA",0,0,0,"JSC",0.5,0,0,P22,Q$4,"M","F",0.065,"GM71","GM71","MP","N","","","")</f>
        <v>0.62826774301915989</v>
      </c>
      <c r="R22" s="155">
        <f>[1]!BFCFAEQ("SLA",0,0,0,"JSC",0.5,0,0,P22,R$4,"M","F",0.065,"GM71","GM71","MP","N","","","")</f>
        <v>0.62871915520122645</v>
      </c>
      <c r="S22" s="155">
        <f>[1]!BFCFAEQ("SLA",0,0,0,"JSC",0.5,0,0,P22,S$4,"M","F",0.065,"GM71","GM71","MP","N","","","")</f>
        <v>0.62919535921491443</v>
      </c>
      <c r="T22" s="155">
        <f>[1]!BFCFAEQ("SLA",0,0,0,"JSC",0.5,0,0,P22,T$4,"M","F",0.065,"GM71","GM71","MP","N","","","")</f>
        <v>0.62969750100563004</v>
      </c>
      <c r="U22" s="155">
        <f>[1]!BFCFAEQ("SLA",0,0,0,"JSC",0.5,0,0,P22,U$4,"M","F",0.065,"GM71","GM71","MP","N","","","")</f>
        <v>0.63022677476538247</v>
      </c>
      <c r="V22" s="155">
        <f>[1]!BFCFAEQ("SLA",0,0,0,"JSC",0.5,0,0,P22,V$4,"M","F",0.065,"GM71","GM71","MP","N","","","")</f>
        <v>0.63067819777121481</v>
      </c>
      <c r="W22" s="155">
        <f>[1]!BFCFAEQ("SLA",0,0,0,"JSC",0.5,0,0,P22,W$4,"M","F",0.065,"GM71","GM71","MP","N","","","")</f>
        <v>0.63116745586917222</v>
      </c>
      <c r="X22" s="155">
        <f>[1]!BFCFAEQ("SLA",0,0,0,"JSC",0.5,0,0,P22,X$4,"M","F",0.065,"GM71","GM71","MP","N","","","")</f>
        <v>0.63169393585239564</v>
      </c>
      <c r="Y22" s="155">
        <f>[1]!BFCFAEQ("SLA",0,0,0,"JSC",0.5,0,0,P22,Y$4,"M","F",0.065,"GM71","GM71","MP","N","","","")</f>
        <v>0.63225735248176362</v>
      </c>
      <c r="Z22" s="155">
        <f>[1]!BFCFAEQ("SLA",0,0,0,"JSC",0.5,0,0,P22,Z$4,"M","F",0.065,"GM71","GM71","MP","N","","","")</f>
        <v>0.63285799713347379</v>
      </c>
      <c r="AA22" s="155">
        <f>[1]!BFCFAEQ("SLA",0,0,0,"JSC",0.5,0,0,P22,AA$4,"M","F",0.065,"GM71","GM71","MP","N","","","")</f>
        <v>0.63349721646296986</v>
      </c>
      <c r="AB22" s="155">
        <f>[1]!BFCFAEQ("SLA",0,0,0,"JSC",0.5,0,0,P22,AB$4,"M","F",0.065,"GM71","GM71","MP","N","","","")</f>
        <v>0.63417602807973539</v>
      </c>
      <c r="AC22" s="155">
        <f>[1]!BFCFAEQ("SLA",0,0,0,"JSC",0.5,0,0,P22,AC$4,"M","F",0.065,"GM71","GM71","MP","N","","","")</f>
        <v>0.63489676037351761</v>
      </c>
      <c r="AD22" s="155">
        <f>[1]!BFCFAEQ("SLA",0,0,0,"JSC",0.5,0,0,P22,AD$4,"M","F",0.065,"GM71","GM71","MP","N","","","")</f>
        <v>0.63566213011353578</v>
      </c>
      <c r="AE22" s="155">
        <f>[1]!BFCFAEQ("SLA",0,0,0,"JSC",0.5,0,0,P22,AE$4,"M","F",0.065,"GM71","GM71","MP","N","","","")</f>
        <v>0.63647478629348886</v>
      </c>
      <c r="AF22" s="155">
        <f>[1]!BFCFAEQ("SLA",0,0,0,"JSC",0.5,0,0,P22,AF$4,"M","F",0.065,"GM71","GM71","MP","N","","","")</f>
        <v>0.6373373203835947</v>
      </c>
      <c r="AG22" s="155">
        <f>[1]!BFCFAEQ("SLA",0,0,0,"JSC",0.5,0,0,P22,AG$4,"M","F",0.065,"GM71","GM71","MP","N","","","")</f>
        <v>0.63825297114631052</v>
      </c>
      <c r="AH22" s="155">
        <f>[1]!BFCFAEQ("SLA",0,0,0,"JSC",0.5,0,0,P22,AH$4,"M","F",0.065,"GM71","GM71","MP","N","","","")</f>
        <v>0.63922470743363968</v>
      </c>
      <c r="AI22" s="155">
        <f>[1]!BFCFAEQ("SLA",0,0,0,"JSC",0.5,0,0,P22,AI$4,"M","F",0.065,"GM71","GM71","MP","N","","","")</f>
        <v>0.64025593268014191</v>
      </c>
      <c r="AJ22" s="155">
        <f>[1]!BFCFAEQ("SLA",0,0,0,"JSC",0.5,0,0,P22,AJ$4,"M","F",0.065,"GM71","GM71","MP","N","","","")</f>
        <v>0.64135026252603244</v>
      </c>
      <c r="AK22" s="155">
        <f>[1]!BFCFAEQ("SLA",0,0,0,"JSC",0.5,0,0,P22,AK$4,"M","F",0.065,"GM71","GM71","MP","N","","","")</f>
        <v>0.64251130373000853</v>
      </c>
      <c r="AL22" s="155">
        <f>[1]!BFCFAEQ("SLA",0,0,0,"JSC",0.5,0,0,P22,AL$4,"M","F",0.065,"GM71","GM71","MP","N","","","")</f>
        <v>0.64374289479486502</v>
      </c>
      <c r="AM22" s="155">
        <f>[1]!BFCFAEQ("SLA",0,0,0,"JSC",0.5,0,0,P22,AM$4,"M","F",0.065,"GM71","GM71","MP","N","","","")</f>
        <v>0.64504888584562614</v>
      </c>
      <c r="AN22" s="155">
        <f>[1]!BFCFAEQ("SLA",0,0,0,"JSC",0.5,0,0,P22,AN$4,"M","F",0.065,"GM71","GM71","MP","N","","","")</f>
        <v>0.64643406475481768</v>
      </c>
      <c r="AO22" s="155">
        <f>[1]!BFCFAEQ("SLA",0,0,0,"JSC",0.5,0,0,P22,AO$4,"M","F",0.065,"GM71","GM71","MP","N","","","")</f>
        <v>0.64790278591937966</v>
      </c>
      <c r="AP22" s="155">
        <f>[1]!BFCFAEQ("SLA",0,0,0,"JSC",0.5,0,0,P22,AP$4,"M","F",0.065,"GM71","GM71","MP","N","","","")</f>
        <v>0.64945966674455358</v>
      </c>
      <c r="AQ22" s="155">
        <f>[1]!BFCFAEQ("SLA",0,0,0,"JSC",0.5,0,0,P22,AQ$4,"M","F",0.065,"GM71","GM71","MP","N","","","")</f>
        <v>0.65110959325069284</v>
      </c>
      <c r="AR22" s="155">
        <f>[1]!BFCFAEQ("SLA",0,0,0,"JSC",0.5,0,0,P22,AR$4,"M","F",0.065,"GM71","GM71","MP","N","","","")</f>
        <v>0.65285772396189379</v>
      </c>
      <c r="AS22" s="155">
        <f>[1]!BFCFAEQ("SLA",0,0,0,"JSC",0.5,0,0,P22,AS$4,"M","F",0.065,"GM71","GM71","MP","N","","","")</f>
        <v>0.65470926557956133</v>
      </c>
      <c r="AT22" s="155">
        <f>[1]!BFCFAEQ("SLA",0,0,0,"JSC",0.5,0,0,P22,AT$4,"M","F",0.065,"GM71","GM71","MP","N","","","")</f>
        <v>0.6566699282430436</v>
      </c>
      <c r="AU22" s="155">
        <f>[1]!BFCFAEQ("SLA",0,0,0,"JSC",0.5,0,0,P22,AU$4,"M","F",0.065,"GM71","GM71","MP","N","","","")</f>
        <v>0.65874524507903387</v>
      </c>
      <c r="AV22" s="155">
        <f>[1]!BFCFAEQ("SLA",0,0,0,"JSC",0.5,0,0,P22,AV$4,"M","F",0.065,"GM71","GM71","MP","N","","","")</f>
        <v>0.66094102500784913</v>
      </c>
      <c r="AW22" s="155">
        <f>[1]!BFCFAEQ("SLA",0,0,0,"JSC",0.5,0,0,P22,AW$4,"M","F",0.065,"GM71","GM71","MP","N","","","")</f>
        <v>0.66326334830871936</v>
      </c>
      <c r="AX22" s="155">
        <f>[1]!BFCFAEQ("SLA",0,0,0,"JSC",0.5,0,0,P22,AX$4,"M","F",0.065,"GM71","GM71","MP","N","","","")</f>
        <v>0.66571833654133283</v>
      </c>
      <c r="AY22" s="155">
        <f>[1]!BFCFAEQ("SLA",0,0,0,"JSC",0.5,0,0,P22,AY$4,"M","F",0.065,"GM71","GM71","MP","N","","","")</f>
        <v>0.66831236955270568</v>
      </c>
      <c r="AZ22" s="155">
        <f>[1]!BFCFAEQ("SLA",0,0,0,"JSC",0.5,0,0,P22,AZ$4,"M","F",0.065,"GM71","GM71","MP","N","","","")</f>
        <v>0.67105163132497758</v>
      </c>
      <c r="BA22" s="155">
        <f>[1]!BFCFAEQ("SLA",0,0,0,"JSC",0.5,0,0,P22,BA$4,"M","F",0.065,"GM71","GM71","MP","N","","","")</f>
        <v>0.67394298625507132</v>
      </c>
      <c r="BB22" s="155">
        <f>[1]!BFCFAEQ("SLA",0,0,0,"JSC",0.5,0,0,P22,BB$4,"M","F",0.065,"GM71","GM71","MP","N","","","")</f>
        <v>0.67699285396654385</v>
      </c>
      <c r="BC22" s="155">
        <f>[1]!BFCFAEQ("SLA",0,0,0,"JSC",0.5,0,0,P22,BC$4,"M","F",0.065,"GM71","GM71","MP","N","","","")</f>
        <v>0.68020742045166749</v>
      </c>
      <c r="BD22" s="155">
        <f>[1]!BFCFAEQ("SLA",0,0,0,"JSC",0.5,0,0,P22,BD$4,"M","F",0.065,"GM71","GM71","MP","N","","","")</f>
        <v>0.6835932733951513</v>
      </c>
      <c r="BE22" s="155">
        <f>[1]!BFCFAEQ("SLA",0,0,0,"JSC",0.5,0,0,P22,BE$4,"M","F",0.065,"GM71","GM71","MP","N","","","")</f>
        <v>0.68715671359917219</v>
      </c>
      <c r="BF22" s="155">
        <f>[1]!BFCFAEQ("SLA",0,0,0,"JSC",0.5,0,0,P22,BF$4,"M","F",0.065,"GM71","GM71","MP","N","","","")</f>
        <v>0.69089987240787876</v>
      </c>
      <c r="BG22" s="155">
        <f>[1]!BFCFAEQ("SLA",0,0,0,"JSC",0.5,0,0,P22,BG$4,"M","F",0.065,"GM71","GM71","MP","N","","","")</f>
        <v>0.69482019635638159</v>
      </c>
      <c r="BH22" s="155">
        <f>[1]!BFCFAEQ("SLA",0,0,0,"JSC",0.5,0,0,P22,BH$4,"M","F",0.065,"GM71","GM71","MP","N","","","")</f>
        <v>0.69891676328671548</v>
      </c>
      <c r="BI22" s="155">
        <f>[1]!BFCFAEQ("SLA",0,0,0,"JSC",0.5,0,0,P22,BI$4,"M","F",0.065,"GM71","GM71","MP","N","","","")</f>
        <v>0.70318900490935232</v>
      </c>
      <c r="BJ22" s="155">
        <f>[1]!BFCFAEQ("SLA",0,0,0,"JSC",0.5,0,0,P22,BJ$4,"M","F",0.065,"GM71","GM71","MP","N","","","")</f>
        <v>0.70763776113387067</v>
      </c>
      <c r="BK22" s="155">
        <f>[1]!BFCFAEQ("SLA",0,0,0,"JSC",0.5,0,0,P22,BK$4,"M","F",0.065,"GM71","GM71","MP","N","","","")</f>
        <v>0.71226441272291641</v>
      </c>
      <c r="BL22" s="155">
        <f>[1]!BFCFAEQ("SLA",0,0,0,"JSC",0.5,0,0,P22,BL$4,"M","F",0.065,"GM71","GM71","MP","N","","","")</f>
        <v>0.71707126428958479</v>
      </c>
      <c r="BM22" s="155">
        <f>[1]!BFCFAEQ("SLA",0,0,0,"JSC",0.5,0,0,P22,BM$4,"M","F",0.065,"GM71","GM71","MP","N","","","")</f>
        <v>0.72206127938300169</v>
      </c>
      <c r="BN22" s="155">
        <f>[1]!BFCFAEQ("SLA",0,0,0,"JSC",0.5,0,0,P22,BN$4,"M","F",0.065,"GM71","GM71","MP","N","","","")</f>
        <v>0.72723760675749827</v>
      </c>
      <c r="BO22" s="155">
        <f>[1]!BFCFAEQ("SLA",0,0,0,"JSC",0.5,0,0,P22,BO$4,"M","F",0.065,"GM71","GM71","MP","N","","","")</f>
        <v>0.73260449294835528</v>
      </c>
      <c r="BP22" s="155">
        <f>[1]!BFCFAEQ("SLA",0,0,0,"JSC",0.5,0,0,P22,BP$4,"M","F",0.065,"GM71","GM71","MP","N","","","")</f>
        <v>0.73816536980681013</v>
      </c>
      <c r="BQ22" s="155">
        <f>[1]!BFCFAEQ("SLA",0,0,0,"JSC",0.5,0,0,P22,BQ$4,"M","F",0.065,"GM71","GM71","MP","N","","","")</f>
        <v>0.74392470446847492</v>
      </c>
      <c r="BR22" s="155">
        <f>[1]!BFCFAEQ("SLA",0,0,0,"JSC",0.5,0,0,P22,BR$4,"M","F",0.065,"GM71","GM71","MP","N","","","")</f>
        <v>0.74988606463862739</v>
      </c>
      <c r="BS22" s="155">
        <f>[1]!BFCFAEQ("SLA",0,0,0,"JSC",0.5,0,0,P22,BS$4,"M","F",0.065,"GM71","GM71","MP","N","","","")</f>
        <v>0.75605291244336725</v>
      </c>
      <c r="BT22" s="155">
        <f>[1]!BFCFAEQ("SLA",0,0,0,"JSC",0.5,0,0,P22,BT$4,"M","F",0.065,"GM71","GM71","MP","N","","","")</f>
        <v>0.76242762974686218</v>
      </c>
      <c r="BU22" s="155">
        <f>[1]!BFCFAEQ("SLA",0,0,0,"JSC",0.5,0,0,P22,BU$4,"M","F",0.065,"GM71","GM71","MP","N","","","")</f>
        <v>0.76901237738201422</v>
      </c>
      <c r="BV22" s="155">
        <f>[1]!BFCFAEQ("SLA",0,0,0,"JSC",0.5,0,0,P22,BV$4,"M","F",0.065,"GM71","GM71","MP","N","","","")</f>
        <v>0.77580731822678417</v>
      </c>
      <c r="BW22" s="155">
        <f>[1]!BFCFAEQ("SLA",0,0,0,"JSC",0.5,0,0,P22,BW$4,"M","F",0.065,"GM71","GM71","MP","N","","","")</f>
        <v>0.78280432790168752</v>
      </c>
      <c r="BX22" s="155">
        <f>[1]!BFCFAEQ("SLA",0,0,0,"JSC",0.5,0,0,P22,BX$4,"M","F",0.065,"GM71","GM71","MP","N","","","")</f>
        <v>0.78997520851341319</v>
      </c>
      <c r="BY22" s="155">
        <f>[1]!BFCFAEQ("SLA",0,0,0,"JSC",0.5,0,0,P22,BY$4,"M","F",0.065,"GM71","GM71","MP","N","","","")</f>
        <v>0.79729643276923945</v>
      </c>
      <c r="BZ22" s="155">
        <f>[1]!BFCFAEQ("SLA",0,0,0,"JSC",0.5,0,0,P22,BZ$4,"M","F",0.065,"GM71","GM71","MP","N","","","")</f>
        <v>0.80475015064266997</v>
      </c>
      <c r="CA22" s="155">
        <f>[1]!BFCFAEQ("SLA",0,0,0,"JSC",0.5,0,0,P22,CA$4,"M","F",0.065,"GM71","GM71","MP","N","","","")</f>
        <v>0.81232184709699196</v>
      </c>
      <c r="CB22" s="155">
        <f>[1]!BFCFAEQ("SLA",0,0,0,"JSC",0.5,0,0,P22,CB$4,"M","F",0.065,"GM71","GM71","MP","N","","","")</f>
        <v>0.81999223720335801</v>
      </c>
      <c r="CC22" s="155">
        <f>[1]!BFCFAEQ("SLA",0,0,0,"JSC",0.5,0,0,P22,CC$4,"M","F",0.065,"GM71","GM71","MP","N","","","")</f>
        <v>0.82772747720201356</v>
      </c>
      <c r="CD22" s="155">
        <f>[1]!BFCFAEQ("SLA",0,0,0,"JSC",0.5,0,0,P22,CD$4,"M","F",0.065,"GM71","GM71","MP","N","","","")</f>
        <v>0.83548349297343294</v>
      </c>
      <c r="CE22" s="155">
        <f>[1]!BFCFAEQ("SLA",0,0,0,"JSC",0.5,0,0,P22,CE$4,"M","F",0.065,"GM71","GM71","MP","N","","","")</f>
        <v>0.84321860389203784</v>
      </c>
      <c r="CF22" s="155">
        <f>[1]!BFCFAEQ("SLA",0,0,0,"JSC",0.5,0,0,P22,CF$4,"M","F",0.065,"GM71","GM71","MP","N","","","")</f>
        <v>0.85089698232851751</v>
      </c>
      <c r="CG22" s="155">
        <f>[1]!BFCFAEQ("SLA",0,0,0,"JSC",0.5,0,0,P22,CG$4,"M","F",0.065,"GM71","GM71","MP","N","","","")</f>
        <v>0.85849757081807032</v>
      </c>
      <c r="CH22" s="155">
        <f>[1]!BFCFAEQ("SLA",0,0,0,"JSC",0.5,0,0,P22,CH$4,"M","F",0.065,"GM71","GM71","MP","N","","","")</f>
        <v>0.86597964137011452</v>
      </c>
      <c r="CI22" s="155">
        <f>[1]!BFCFAEQ("SLA",0,0,0,"JSC",0.5,0,0,P22,CI$4,"M","F",0.065,"GM71","GM71","MP","N","","","")</f>
        <v>0.87330235054796945</v>
      </c>
      <c r="CJ22" s="155">
        <f>[1]!BFCFAEQ("SLA",0,0,0,"JSC",0.5,0,0,P22,CJ$4,"M","F",0.065,"GM71","GM71","MP","N","","","")</f>
        <v>0.88045307894691327</v>
      </c>
      <c r="CK22" s="155">
        <f>[1]!BFCFAEQ("SLA",0,0,0,"JSC",0.5,0,0,P22,CK$4,"M","F",0.065,"GM71","GM71","MP","N","","","")</f>
        <v>0.88745509588139782</v>
      </c>
      <c r="CL22" s="155">
        <f>[1]!BFCFAEQ("SLA",0,0,0,"JSC",0.5,0,0,P22,CL$4,"M","F",0.065,"GM71","GM71","MP","N","","","")</f>
        <v>0.89433467902919972</v>
      </c>
      <c r="CM22" s="155">
        <f>[1]!BFCFAEQ("SLA",0,0,0,"JSC",0.5,0,0,P22,CM$4,"M","F",0.065,"GM71","GM71","MP","N","","","")</f>
        <v>0.90108955656427037</v>
      </c>
      <c r="CN22" s="257">
        <f>ROUND([1]!NPVF2("MP","SLA","N",0.05,"M",$P22,$P22,0,0,120,0,"UP84","UP84","P","","")/[1]!NPVF2("MP","JSC","N",0.05,"M",$P22,$P22,CN$4,0.5,0,0,"UP84","UP84","P","",""),4)</f>
        <v>1.0913999999999999</v>
      </c>
      <c r="CO22" s="257">
        <f>ROUND([1]!NPVF2("MP","SLA","N",0.05,"M",$P22,$P22,0,0,120,0,"UP84","UP84","P","","")/[1]!NPVF2("MP","JSC","N",0.05,"M",$P22,$P22,CO$4,0.5,0,0,"UP84","UP84","P","",""),4)</f>
        <v>1.0996999999999999</v>
      </c>
      <c r="CP22" s="257">
        <f>ROUND([1]!NPVF2("MP","SLA","N",0.05,"M",$P22,$P22,0,0,120,0,"UP84","UP84","P","","")/[1]!NPVF2("MP","JSC","N",0.05,"M",$P22,$P22,CP$4,0.5,0,0,"UP84","UP84","P","",""),4)</f>
        <v>1.1075999999999999</v>
      </c>
      <c r="CQ22" s="257">
        <f>ROUND([1]!NPVF2("MP","SLA","N",0.05,"M",$P22,$P22,0,0,120,0,"UP84","UP84","P","","")/[1]!NPVF2("MP","JSC","N",0.05,"M",$P22,$P22,CQ$4,0.5,0,0,"UP84","UP84","P","",""),4)</f>
        <v>1.1152</v>
      </c>
      <c r="CR22" s="257">
        <f>ROUND([1]!NPVF2("MP","SLA","N",0.05,"M",$P22,$P22,0,0,120,0,"UP84","UP84","P","","")/[1]!NPVF2("MP","JSC","N",0.05,"M",$P22,$P22,CR$4,0.5,0,0,"UP84","UP84","P","",""),4)</f>
        <v>1.1224000000000001</v>
      </c>
      <c r="CS22" s="257">
        <f>ROUND([1]!NPVF2("MP","SLA","N",0.05,"M",$P22,$P22,0,0,120,0,"UP84","UP84","P","","")/[1]!NPVF2("MP","JSC","N",0.05,"M",$P22,$P22,CS$4,0.5,0,0,"UP84","UP84","P","",""),4)</f>
        <v>1.1293</v>
      </c>
      <c r="CT22" s="257">
        <f>ROUND([1]!NPVF2("MP","SLA","N",0.05,"M",$P22,$P22,0,0,120,0,"UP84","UP84","P","","")/[1]!NPVF2("MP","JSC","N",0.05,"M",$P22,$P22,CT$4,0.5,0,0,"UP84","UP84","P","",""),4)</f>
        <v>1.1356999999999999</v>
      </c>
      <c r="CU22" s="257">
        <f>ROUND([1]!NPVF2("MP","SLA","N",0.05,"M",$P22,$P22,0,0,120,0,"UP84","UP84","P","","")/[1]!NPVF2("MP","JSC","N",0.05,"M",$P22,$P22,CU$4,0.5,0,0,"UP84","UP84","P","",""),4)</f>
        <v>1.1418999999999999</v>
      </c>
      <c r="CV22" s="257">
        <f>ROUND([1]!NPVF2("MP","SLA","N",0.05,"M",$P22,$P22,0,0,120,0,"UP84","UP84","P","","")/[1]!NPVF2("MP","JSC","N",0.05,"M",$P22,$P22,CV$4,0.5,0,0,"UP84","UP84","P","",""),4)</f>
        <v>1.1476</v>
      </c>
      <c r="CW22" s="258">
        <f>ROUND([1]!NPVF2("MP","SLA","N",0.05,"M",$P22,$P22,0,0,120,0,"UP84","UP84","P","","")/[1]!NPVF2("MP","JSC","N",0.05,"M",$P22,$P22,CW$4,0.5,0,0,"UP84","UP84","P","",""),4)</f>
        <v>1.153</v>
      </c>
      <c r="CX22" s="62"/>
      <c r="CY22" s="104"/>
      <c r="CZ22" s="104"/>
      <c r="DD22" s="76" t="s">
        <v>520</v>
      </c>
      <c r="DE22" s="76"/>
      <c r="DH22" s="66"/>
      <c r="DK22" t="s">
        <v>541</v>
      </c>
      <c r="DL22" t="s">
        <v>179</v>
      </c>
      <c r="DM22" s="76">
        <f>DCOUNT(Retirees,"PVPBL_ANN_RATES",All_Criteria)</f>
        <v>0</v>
      </c>
      <c r="DN22" t="s">
        <v>422</v>
      </c>
      <c r="DO22" s="274">
        <f>DO6+DO14</f>
        <v>0</v>
      </c>
      <c r="DP22" s="46">
        <f t="shared" ref="DO22:DP25" si="4">DP6+DP14</f>
        <v>0</v>
      </c>
      <c r="DQ22" s="46">
        <f t="shared" ref="DQ22:DQ27" si="5">DO22 + DP22</f>
        <v>0</v>
      </c>
      <c r="DW22" s="93">
        <v>1926</v>
      </c>
      <c r="DX22" s="16">
        <v>19728</v>
      </c>
      <c r="DY22" s="47">
        <v>19728</v>
      </c>
      <c r="DZ22" s="47">
        <v>19728</v>
      </c>
      <c r="EA22" s="47">
        <v>19728</v>
      </c>
      <c r="EB22" s="47">
        <v>19728</v>
      </c>
      <c r="EC22" s="47">
        <v>19728</v>
      </c>
      <c r="ED22" s="47">
        <v>19728</v>
      </c>
      <c r="EE22" s="47">
        <v>19728</v>
      </c>
      <c r="EF22" s="47">
        <v>19728</v>
      </c>
      <c r="EG22" s="47">
        <v>19728</v>
      </c>
      <c r="EH22" s="47">
        <v>19728</v>
      </c>
      <c r="EI22" s="47">
        <v>19728</v>
      </c>
      <c r="EJ22" s="47">
        <v>19728</v>
      </c>
      <c r="EK22" s="208">
        <v>19728</v>
      </c>
      <c r="EN22" s="43">
        <v>1926</v>
      </c>
      <c r="EO22" s="106">
        <v>17016</v>
      </c>
      <c r="EP22" s="127">
        <v>17844</v>
      </c>
      <c r="EQ22" s="149">
        <v>18300</v>
      </c>
      <c r="ER22" s="127">
        <v>18636</v>
      </c>
      <c r="ES22" s="127">
        <v>19008</v>
      </c>
      <c r="ET22" s="127">
        <v>19236</v>
      </c>
      <c r="EU22" s="127">
        <v>19356</v>
      </c>
      <c r="EV22" s="41">
        <v>19476</v>
      </c>
      <c r="EW22" s="127">
        <v>19668</v>
      </c>
      <c r="EX22" s="202">
        <v>19728</v>
      </c>
      <c r="EY22" s="47">
        <v>19728</v>
      </c>
      <c r="EZ22" s="47">
        <v>19728</v>
      </c>
      <c r="FA22" s="47">
        <v>19728</v>
      </c>
      <c r="FB22" s="47">
        <v>19728</v>
      </c>
      <c r="FC22" s="47">
        <v>19728</v>
      </c>
      <c r="FD22" s="47">
        <v>19728</v>
      </c>
      <c r="FE22" s="47">
        <v>19728</v>
      </c>
      <c r="FF22" s="47">
        <v>19728</v>
      </c>
      <c r="FG22" s="47">
        <v>19728</v>
      </c>
      <c r="FH22" s="47">
        <v>19728</v>
      </c>
      <c r="FI22" s="47">
        <v>19728</v>
      </c>
      <c r="FJ22" s="47">
        <v>19728</v>
      </c>
      <c r="FK22" s="208">
        <v>19728</v>
      </c>
    </row>
    <row r="23" spans="1:167" ht="15.75">
      <c r="A23" s="164">
        <v>47</v>
      </c>
      <c r="B23" s="122">
        <v>0.28999999999999998</v>
      </c>
      <c r="C23" s="62"/>
      <c r="D23" s="209">
        <f t="shared" si="0"/>
        <v>18</v>
      </c>
      <c r="E23" s="126">
        <f>[1]!PBGCLRF(65+D23/12)</f>
        <v>1.155</v>
      </c>
      <c r="F23" s="62"/>
      <c r="G23" s="62"/>
      <c r="H23" s="62"/>
      <c r="I23" s="62"/>
      <c r="J23" s="19">
        <v>19</v>
      </c>
      <c r="K23" s="122">
        <f t="shared" si="1"/>
        <v>0.89444444444444482</v>
      </c>
      <c r="L23" s="62"/>
      <c r="M23" s="297">
        <v>19</v>
      </c>
      <c r="N23" s="122">
        <f>[1]!LRFAEQ(0.065,"M",65,M23,0,"GM71","GM71","MP","Y","N","",65)</f>
        <v>1.2015950994426454</v>
      </c>
      <c r="O23" s="62"/>
      <c r="P23" s="130">
        <v>73</v>
      </c>
      <c r="Q23" s="155">
        <f>[1]!BFCFAEQ("SLA",0,0,0,"JSC",0.5,0,0,P23,Q$4,"M","F",0.065,"GM71","GM71","MP","N","","","")</f>
        <v>0.61336905577834455</v>
      </c>
      <c r="R23" s="155">
        <f>[1]!BFCFAEQ("SLA",0,0,0,"JSC",0.5,0,0,P23,R$4,"M","F",0.065,"GM71","GM71","MP","N","","","")</f>
        <v>0.6138172684984593</v>
      </c>
      <c r="S23" s="155">
        <f>[1]!BFCFAEQ("SLA",0,0,0,"JSC",0.5,0,0,P23,S$4,"M","F",0.065,"GM71","GM71","MP","N","","","")</f>
        <v>0.61429010439033527</v>
      </c>
      <c r="T23" s="155">
        <f>[1]!BFCFAEQ("SLA",0,0,0,"JSC",0.5,0,0,P23,T$4,"M","F",0.065,"GM71","GM71","MP","N","","","")</f>
        <v>0.6147886802960536</v>
      </c>
      <c r="U23" s="155">
        <f>[1]!BFCFAEQ("SLA",0,0,0,"JSC",0.5,0,0,P23,U$4,"M","F",0.065,"GM71","GM71","MP","N","","","")</f>
        <v>0.61531415689706526</v>
      </c>
      <c r="V23" s="155">
        <f>[1]!BFCFAEQ("SLA",0,0,0,"JSC",0.5,0,0,P23,V$4,"M","F",0.065,"GM71","GM71","MP","N","","","")</f>
        <v>0.61575983282486169</v>
      </c>
      <c r="W23" s="155">
        <f>[1]!BFCFAEQ("SLA",0,0,0,"JSC",0.5,0,0,P23,W$4,"M","F",0.065,"GM71","GM71","MP","N","","","")</f>
        <v>0.61624316943432211</v>
      </c>
      <c r="X23" s="155">
        <f>[1]!BFCFAEQ("SLA",0,0,0,"JSC",0.5,0,0,P23,X$4,"M","F",0.065,"GM71","GM71","MP","N","","","")</f>
        <v>0.61676350619721831</v>
      </c>
      <c r="Y23" s="155">
        <f>[1]!BFCFAEQ("SLA",0,0,0,"JSC",0.5,0,0,P23,Y$4,"M","F",0.065,"GM71","GM71","MP","N","","","")</f>
        <v>0.61732051208202732</v>
      </c>
      <c r="Z23" s="155">
        <f>[1]!BFCFAEQ("SLA",0,0,0,"JSC",0.5,0,0,P23,Z$4,"M","F",0.065,"GM71","GM71","MP","N","","","")</f>
        <v>0.61791443861166284</v>
      </c>
      <c r="AA23" s="155">
        <f>[1]!BFCFAEQ("SLA",0,0,0,"JSC",0.5,0,0,P23,AA$4,"M","F",0.065,"GM71","GM71","MP","N","","","")</f>
        <v>0.61854660677353568</v>
      </c>
      <c r="AB23" s="155">
        <f>[1]!BFCFAEQ("SLA",0,0,0,"JSC",0.5,0,0,P23,AB$4,"M","F",0.065,"GM71","GM71","MP","N","","","")</f>
        <v>0.61921800065532562</v>
      </c>
      <c r="AC23" s="155">
        <f>[1]!BFCFAEQ("SLA",0,0,0,"JSC",0.5,0,0,P23,AC$4,"M","F",0.065,"GM71","GM71","MP","N","","","")</f>
        <v>0.619930934359603</v>
      </c>
      <c r="AD23" s="155">
        <f>[1]!BFCFAEQ("SLA",0,0,0,"JSC",0.5,0,0,P23,AD$4,"M","F",0.065,"GM71","GM71","MP","N","","","")</f>
        <v>0.62068811510714095</v>
      </c>
      <c r="AE23" s="155">
        <f>[1]!BFCFAEQ("SLA",0,0,0,"JSC",0.5,0,0,P23,AE$4,"M","F",0.065,"GM71","GM71","MP","N","","","")</f>
        <v>0.62149217976128668</v>
      </c>
      <c r="AF23" s="155">
        <f>[1]!BFCFAEQ("SLA",0,0,0,"JSC",0.5,0,0,P23,AF$4,"M","F",0.065,"GM71","GM71","MP","N","","","")</f>
        <v>0.62234570538938383</v>
      </c>
      <c r="AG23" s="155">
        <f>[1]!BFCFAEQ("SLA",0,0,0,"JSC",0.5,0,0,P23,AG$4,"M","F",0.065,"GM71","GM71","MP","N","","","")</f>
        <v>0.62325192632817872</v>
      </c>
      <c r="AH23" s="155">
        <f>[1]!BFCFAEQ("SLA",0,0,0,"JSC",0.5,0,0,P23,AH$4,"M","F",0.065,"GM71","GM71","MP","N","","","")</f>
        <v>0.62421380198891352</v>
      </c>
      <c r="AI23" s="155">
        <f>[1]!BFCFAEQ("SLA",0,0,0,"JSC",0.5,0,0,P23,AI$4,"M","F",0.065,"GM71","GM71","MP","N","","","")</f>
        <v>0.62523473384693529</v>
      </c>
      <c r="AJ23" s="155">
        <f>[1]!BFCFAEQ("SLA",0,0,0,"JSC",0.5,0,0,P23,AJ$4,"M","F",0.065,"GM71","GM71","MP","N","","","")</f>
        <v>0.62631834006049558</v>
      </c>
      <c r="AK23" s="155">
        <f>[1]!BFCFAEQ("SLA",0,0,0,"JSC",0.5,0,0,P23,AK$4,"M","F",0.065,"GM71","GM71","MP","N","","","")</f>
        <v>0.62746823126544327</v>
      </c>
      <c r="AL23" s="155">
        <f>[1]!BFCFAEQ("SLA",0,0,0,"JSC",0.5,0,0,P23,AL$4,"M","F",0.065,"GM71","GM71","MP","N","","","")</f>
        <v>0.62868825630048697</v>
      </c>
      <c r="AM23" s="155">
        <f>[1]!BFCFAEQ("SLA",0,0,0,"JSC",0.5,0,0,P23,AM$4,"M","F",0.065,"GM71","GM71","MP","N","","","")</f>
        <v>0.62998227928970107</v>
      </c>
      <c r="AN23" s="155">
        <f>[1]!BFCFAEQ("SLA",0,0,0,"JSC",0.5,0,0,P23,AN$4,"M","F",0.065,"GM71","GM71","MP","N","","","")</f>
        <v>0.63135512388791859</v>
      </c>
      <c r="AO23" s="155">
        <f>[1]!BFCFAEQ("SLA",0,0,0,"JSC",0.5,0,0,P23,AO$4,"M","F",0.065,"GM71","GM71","MP","N","","","")</f>
        <v>0.63281117871886328</v>
      </c>
      <c r="AP23" s="155">
        <f>[1]!BFCFAEQ("SLA",0,0,0,"JSC",0.5,0,0,P23,AP$4,"M","F",0.065,"GM71","GM71","MP","N","","","")</f>
        <v>0.63435510778466164</v>
      </c>
      <c r="AQ23" s="155">
        <f>[1]!BFCFAEQ("SLA",0,0,0,"JSC",0.5,0,0,P23,AQ$4,"M","F",0.065,"GM71","GM71","MP","N","","","")</f>
        <v>0.63599185790760659</v>
      </c>
      <c r="AR23" s="155">
        <f>[1]!BFCFAEQ("SLA",0,0,0,"JSC",0.5,0,0,P23,AR$4,"M","F",0.065,"GM71","GM71","MP","N","","","")</f>
        <v>0.6377266645313816</v>
      </c>
      <c r="AS23" s="155">
        <f>[1]!BFCFAEQ("SLA",0,0,0,"JSC",0.5,0,0,P23,AS$4,"M","F",0.065,"GM71","GM71","MP","N","","","")</f>
        <v>0.63956482487492972</v>
      </c>
      <c r="AT23" s="155">
        <f>[1]!BFCFAEQ("SLA",0,0,0,"JSC",0.5,0,0,P23,AT$4,"M","F",0.065,"GM71","GM71","MP","N","","","")</f>
        <v>0.64151216395021893</v>
      </c>
      <c r="AU23" s="155">
        <f>[1]!BFCFAEQ("SLA",0,0,0,"JSC",0.5,0,0,P23,AU$4,"M","F",0.065,"GM71","GM71","MP","N","","","")</f>
        <v>0.64357434248055656</v>
      </c>
      <c r="AV23" s="155">
        <f>[1]!BFCFAEQ("SLA",0,0,0,"JSC",0.5,0,0,P23,AV$4,"M","F",0.065,"GM71","GM71","MP","N","","","")</f>
        <v>0.6457573202492346</v>
      </c>
      <c r="AW23" s="155">
        <f>[1]!BFCFAEQ("SLA",0,0,0,"JSC",0.5,0,0,P23,AW$4,"M","F",0.065,"GM71","GM71","MP","N","","","")</f>
        <v>0.64806735339896315</v>
      </c>
      <c r="AX23" s="155">
        <f>[1]!BFCFAEQ("SLA",0,0,0,"JSC",0.5,0,0,P23,AX$4,"M","F",0.065,"GM71","GM71","MP","N","","","")</f>
        <v>0.65051076111070705</v>
      </c>
      <c r="AY23" s="155">
        <f>[1]!BFCFAEQ("SLA",0,0,0,"JSC",0.5,0,0,P23,AY$4,"M","F",0.065,"GM71","GM71","MP","N","","","")</f>
        <v>0.65309414859611759</v>
      </c>
      <c r="AZ23" s="155">
        <f>[1]!BFCFAEQ("SLA",0,0,0,"JSC",0.5,0,0,P23,AZ$4,"M","F",0.065,"GM71","GM71","MP","N","","","")</f>
        <v>0.65582394439159497</v>
      </c>
      <c r="BA23" s="155">
        <f>[1]!BFCFAEQ("SLA",0,0,0,"JSC",0.5,0,0,P23,BA$4,"M","F",0.065,"GM71","GM71","MP","N","","","")</f>
        <v>0.65870729766346037</v>
      </c>
      <c r="BB23" s="155">
        <f>[1]!BFCFAEQ("SLA",0,0,0,"JSC",0.5,0,0,P23,BB$4,"M","F",0.065,"GM71","GM71","MP","N","","","")</f>
        <v>0.66175092956853754</v>
      </c>
      <c r="BC23" s="155">
        <f>[1]!BFCFAEQ("SLA",0,0,0,"JSC",0.5,0,0,P23,BC$4,"M","F",0.065,"GM71","GM71","MP","N","","","")</f>
        <v>0.66496135060944717</v>
      </c>
      <c r="BD23" s="155">
        <f>[1]!BFCFAEQ("SLA",0,0,0,"JSC",0.5,0,0,P23,BD$4,"M","F",0.065,"GM71","GM71","MP","N","","","")</f>
        <v>0.66834551447097335</v>
      </c>
      <c r="BE23" s="155">
        <f>[1]!BFCFAEQ("SLA",0,0,0,"JSC",0.5,0,0,P23,BE$4,"M","F",0.065,"GM71","GM71","MP","N","","","")</f>
        <v>0.6719101172643891</v>
      </c>
      <c r="BF23" s="155">
        <f>[1]!BFCFAEQ("SLA",0,0,0,"JSC",0.5,0,0,P23,BF$4,"M","F",0.065,"GM71","GM71","MP","N","","","")</f>
        <v>0.67565761708836958</v>
      </c>
      <c r="BG23" s="155">
        <f>[1]!BFCFAEQ("SLA",0,0,0,"JSC",0.5,0,0,P23,BG$4,"M","F",0.065,"GM71","GM71","MP","N","","","")</f>
        <v>0.67958569587303141</v>
      </c>
      <c r="BH23" s="155">
        <f>[1]!BFCFAEQ("SLA",0,0,0,"JSC",0.5,0,0,P23,BH$4,"M","F",0.065,"GM71","GM71","MP","N","","","")</f>
        <v>0.68369373928389143</v>
      </c>
      <c r="BI23" s="155">
        <f>[1]!BFCFAEQ("SLA",0,0,0,"JSC",0.5,0,0,P23,BI$4,"M","F",0.065,"GM71","GM71","MP","N","","","")</f>
        <v>0.68798153534262818</v>
      </c>
      <c r="BJ23" s="155">
        <f>[1]!BFCFAEQ("SLA",0,0,0,"JSC",0.5,0,0,P23,BJ$4,"M","F",0.065,"GM71","GM71","MP","N","","","")</f>
        <v>0.69245036856963404</v>
      </c>
      <c r="BK23" s="155">
        <f>[1]!BFCFAEQ("SLA",0,0,0,"JSC",0.5,0,0,P23,BK$4,"M","F",0.065,"GM71","GM71","MP","N","","","")</f>
        <v>0.69710214041125251</v>
      </c>
      <c r="BL23" s="155">
        <f>[1]!BFCFAEQ("SLA",0,0,0,"JSC",0.5,0,0,P23,BL$4,"M","F",0.065,"GM71","GM71","MP","N","","","")</f>
        <v>0.70193977521199524</v>
      </c>
      <c r="BM23" s="155">
        <f>[1]!BFCFAEQ("SLA",0,0,0,"JSC",0.5,0,0,P23,BM$4,"M","F",0.065,"GM71","GM71","MP","N","","","")</f>
        <v>0.70696695974787715</v>
      </c>
      <c r="BN23" s="155">
        <f>[1]!BFCFAEQ("SLA",0,0,0,"JSC",0.5,0,0,P23,BN$4,"M","F",0.065,"GM71","GM71","MP","N","","","")</f>
        <v>0.71218766590437521</v>
      </c>
      <c r="BO23" s="155">
        <f>[1]!BFCFAEQ("SLA",0,0,0,"JSC",0.5,0,0,P23,BO$4,"M","F",0.065,"GM71","GM71","MP","N","","","")</f>
        <v>0.71760710457794719</v>
      </c>
      <c r="BP23" s="155">
        <f>[1]!BFCFAEQ("SLA",0,0,0,"JSC",0.5,0,0,P23,BP$4,"M","F",0.065,"GM71","GM71","MP","N","","","")</f>
        <v>0.72322975880749629</v>
      </c>
      <c r="BQ23" s="155">
        <f>[1]!BFCFAEQ("SLA",0,0,0,"JSC",0.5,0,0,P23,BQ$4,"M","F",0.065,"GM71","GM71","MP","N","","","")</f>
        <v>0.72906130318698537</v>
      </c>
      <c r="BR23" s="155">
        <f>[1]!BFCFAEQ("SLA",0,0,0,"JSC",0.5,0,0,P23,BR$4,"M","F",0.065,"GM71","GM71","MP","N","","","")</f>
        <v>0.73510660573397091</v>
      </c>
      <c r="BS23" s="155">
        <f>[1]!BFCFAEQ("SLA",0,0,0,"JSC",0.5,0,0,P23,BS$4,"M","F",0.065,"GM71","GM71","MP","N","","","")</f>
        <v>0.74137054993464291</v>
      </c>
      <c r="BT23" s="155">
        <f>[1]!BFCFAEQ("SLA",0,0,0,"JSC",0.5,0,0,P23,BT$4,"M","F",0.065,"GM71","GM71","MP","N","","","")</f>
        <v>0.7478570210226595</v>
      </c>
      <c r="BU23" s="155">
        <f>[1]!BFCFAEQ("SLA",0,0,0,"JSC",0.5,0,0,P23,BU$4,"M","F",0.065,"GM71","GM71","MP","N","","","")</f>
        <v>0.75456979545502967</v>
      </c>
      <c r="BV23" s="155">
        <f>[1]!BFCFAEQ("SLA",0,0,0,"JSC",0.5,0,0,P23,BV$4,"M","F",0.065,"GM71","GM71","MP","N","","","")</f>
        <v>0.76151068287676882</v>
      </c>
      <c r="BW23" s="155">
        <f>[1]!BFCFAEQ("SLA",0,0,0,"JSC",0.5,0,0,P23,BW$4,"M","F",0.065,"GM71","GM71","MP","N","","","")</f>
        <v>0.76867292665224174</v>
      </c>
      <c r="BX23" s="155">
        <f>[1]!BFCFAEQ("SLA",0,0,0,"JSC",0.5,0,0,P23,BX$4,"M","F",0.065,"GM71","GM71","MP","N","","","")</f>
        <v>0.77602877547837612</v>
      </c>
      <c r="BY23" s="155">
        <f>[1]!BFCFAEQ("SLA",0,0,0,"JSC",0.5,0,0,P23,BY$4,"M","F",0.065,"GM71","GM71","MP","N","","","")</f>
        <v>0.78355525973094853</v>
      </c>
      <c r="BZ23" s="155">
        <f>[1]!BFCFAEQ("SLA",0,0,0,"JSC",0.5,0,0,P23,BZ$4,"M","F",0.065,"GM71","GM71","MP","N","","","")</f>
        <v>0.79123527194260979</v>
      </c>
      <c r="CA23" s="155">
        <f>[1]!BFCFAEQ("SLA",0,0,0,"JSC",0.5,0,0,P23,CA$4,"M","F",0.065,"GM71","GM71","MP","N","","","")</f>
        <v>0.79905513637865033</v>
      </c>
      <c r="CB23" s="155">
        <f>[1]!BFCFAEQ("SLA",0,0,0,"JSC",0.5,0,0,P23,CB$4,"M","F",0.065,"GM71","GM71","MP","N","","","")</f>
        <v>0.80699607461461498</v>
      </c>
      <c r="CC23" s="155">
        <f>[1]!BFCFAEQ("SLA",0,0,0,"JSC",0.5,0,0,P23,CC$4,"M","F",0.065,"GM71","GM71","MP","N","","","")</f>
        <v>0.81502379265134739</v>
      </c>
      <c r="CD23" s="155">
        <f>[1]!BFCFAEQ("SLA",0,0,0,"JSC",0.5,0,0,P23,CD$4,"M","F",0.065,"GM71","GM71","MP","N","","","")</f>
        <v>0.82309289957198661</v>
      </c>
      <c r="CE23" s="155">
        <f>[1]!BFCFAEQ("SLA",0,0,0,"JSC",0.5,0,0,P23,CE$4,"M","F",0.065,"GM71","GM71","MP","N","","","")</f>
        <v>0.83116018467426889</v>
      </c>
      <c r="CF23" s="155">
        <f>[1]!BFCFAEQ("SLA",0,0,0,"JSC",0.5,0,0,P23,CF$4,"M","F",0.065,"GM71","GM71","MP","N","","","")</f>
        <v>0.83918830928020194</v>
      </c>
      <c r="CG23" s="155">
        <f>[1]!BFCFAEQ("SLA",0,0,0,"JSC",0.5,0,0,P23,CG$4,"M","F",0.065,"GM71","GM71","MP","N","","","")</f>
        <v>0.84715535938049291</v>
      </c>
      <c r="CH23" s="155">
        <f>[1]!BFCFAEQ("SLA",0,0,0,"JSC",0.5,0,0,P23,CH$4,"M","F",0.065,"GM71","GM71","MP","N","","","")</f>
        <v>0.8550181887114483</v>
      </c>
      <c r="CI23" s="155">
        <f>[1]!BFCFAEQ("SLA",0,0,0,"JSC",0.5,0,0,P23,CI$4,"M","F",0.065,"GM71","GM71","MP","N","","","")</f>
        <v>0.86273310143717397</v>
      </c>
      <c r="CJ23" s="155">
        <f>[1]!BFCFAEQ("SLA",0,0,0,"JSC",0.5,0,0,P23,CJ$4,"M","F",0.065,"GM71","GM71","MP","N","","","")</f>
        <v>0.8702862273869989</v>
      </c>
      <c r="CK23" s="155">
        <f>[1]!BFCFAEQ("SLA",0,0,0,"JSC",0.5,0,0,P23,CK$4,"M","F",0.065,"GM71","GM71","MP","N","","","")</f>
        <v>0.87770205710745397</v>
      </c>
      <c r="CL23" s="155">
        <f>[1]!BFCFAEQ("SLA",0,0,0,"JSC",0.5,0,0,P23,CL$4,"M","F",0.065,"GM71","GM71","MP","N","","","")</f>
        <v>0.88500840882199883</v>
      </c>
      <c r="CM23" s="155">
        <f>[1]!BFCFAEQ("SLA",0,0,0,"JSC",0.5,0,0,P23,CM$4,"M","F",0.065,"GM71","GM71","MP","N","","","")</f>
        <v>0.89220239555862146</v>
      </c>
      <c r="CN23" s="257">
        <f>ROUND([1]!NPVF2("MP","SLA","N",0.05,"M",$P23,$P23,0,0,120,0,"UP84","UP84","P","","")/[1]!NPVF2("MP","JSC","N",0.05,"M",$P23,$P23,CN$4,0.5,0,0,"UP84","UP84","P","",""),4)</f>
        <v>1.1021000000000001</v>
      </c>
      <c r="CO23" s="257">
        <f>ROUND([1]!NPVF2("MP","SLA","N",0.05,"M",$P23,$P23,0,0,120,0,"UP84","UP84","P","","")/[1]!NPVF2("MP","JSC","N",0.05,"M",$P23,$P23,CO$4,0.5,0,0,"UP84","UP84","P","",""),4)</f>
        <v>1.1111</v>
      </c>
      <c r="CP23" s="257">
        <f>ROUND([1]!NPVF2("MP","SLA","N",0.05,"M",$P23,$P23,0,0,120,0,"UP84","UP84","P","","")/[1]!NPVF2("MP","JSC","N",0.05,"M",$P23,$P23,CP$4,0.5,0,0,"UP84","UP84","P","",""),4)</f>
        <v>1.1197999999999999</v>
      </c>
      <c r="CQ23" s="257">
        <f>ROUND([1]!NPVF2("MP","SLA","N",0.05,"M",$P23,$P23,0,0,120,0,"UP84","UP84","P","","")/[1]!NPVF2("MP","JSC","N",0.05,"M",$P23,$P23,CQ$4,0.5,0,0,"UP84","UP84","P","",""),4)</f>
        <v>1.1281000000000001</v>
      </c>
      <c r="CR23" s="257">
        <f>ROUND([1]!NPVF2("MP","SLA","N",0.05,"M",$P23,$P23,0,0,120,0,"UP84","UP84","P","","")/[1]!NPVF2("MP","JSC","N",0.05,"M",$P23,$P23,CR$4,0.5,0,0,"UP84","UP84","P","",""),4)</f>
        <v>1.1361000000000001</v>
      </c>
      <c r="CS23" s="257">
        <f>ROUND([1]!NPVF2("MP","SLA","N",0.05,"M",$P23,$P23,0,0,120,0,"UP84","UP84","P","","")/[1]!NPVF2("MP","JSC","N",0.05,"M",$P23,$P23,CS$4,0.5,0,0,"UP84","UP84","P","",""),4)</f>
        <v>1.1436999999999999</v>
      </c>
      <c r="CT23" s="257">
        <f>ROUND([1]!NPVF2("MP","SLA","N",0.05,"M",$P23,$P23,0,0,120,0,"UP84","UP84","P","","")/[1]!NPVF2("MP","JSC","N",0.05,"M",$P23,$P23,CT$4,0.5,0,0,"UP84","UP84","P","",""),4)</f>
        <v>1.1509</v>
      </c>
      <c r="CU23" s="257">
        <f>ROUND([1]!NPVF2("MP","SLA","N",0.05,"M",$P23,$P23,0,0,120,0,"UP84","UP84","P","","")/[1]!NPVF2("MP","JSC","N",0.05,"M",$P23,$P23,CU$4,0.5,0,0,"UP84","UP84","P","",""),4)</f>
        <v>1.1577</v>
      </c>
      <c r="CV23" s="257">
        <f>ROUND([1]!NPVF2("MP","SLA","N",0.05,"M",$P23,$P23,0,0,120,0,"UP84","UP84","P","","")/[1]!NPVF2("MP","JSC","N",0.05,"M",$P23,$P23,CV$4,0.5,0,0,"UP84","UP84","P","",""),4)</f>
        <v>1.1640999999999999</v>
      </c>
      <c r="CW23" s="258">
        <f>ROUND([1]!NPVF2("MP","SLA","N",0.05,"M",$P23,$P23,0,0,120,0,"UP84","UP84","P","","")/[1]!NPVF2("MP","JSC","N",0.05,"M",$P23,$P23,CW$4,0.5,0,0,"UP84","UP84","P","",""),4)</f>
        <v>1.1700999999999999</v>
      </c>
      <c r="CX23" s="62"/>
      <c r="CY23" s="104"/>
      <c r="CZ23" s="104"/>
      <c r="DD23" s="76"/>
      <c r="DE23" s="76"/>
      <c r="DH23" s="66"/>
      <c r="DL23" t="s">
        <v>142</v>
      </c>
      <c r="DM23" s="76">
        <f>DCOUNT(Beneficiaries_in_Pay,"PVPBL_ANN_RATES",Beneficiary_Criteria)</f>
        <v>0</v>
      </c>
      <c r="DN23" t="s">
        <v>422</v>
      </c>
      <c r="DO23" s="274">
        <f>DO7+DO15</f>
        <v>0</v>
      </c>
      <c r="DP23" s="46">
        <f>DP7+DP15</f>
        <v>0</v>
      </c>
      <c r="DQ23" s="46">
        <f>DO23 + DP23</f>
        <v>0</v>
      </c>
      <c r="DW23" s="93">
        <v>1927</v>
      </c>
      <c r="DX23" s="16">
        <v>21132</v>
      </c>
      <c r="DY23" s="47">
        <v>21192</v>
      </c>
      <c r="DZ23" s="47">
        <v>21192</v>
      </c>
      <c r="EA23" s="47">
        <v>21192</v>
      </c>
      <c r="EB23" s="47">
        <v>21192</v>
      </c>
      <c r="EC23" s="47">
        <v>21192</v>
      </c>
      <c r="ED23" s="47">
        <v>21192</v>
      </c>
      <c r="EE23" s="47">
        <v>21192</v>
      </c>
      <c r="EF23" s="47">
        <v>21192</v>
      </c>
      <c r="EG23" s="47">
        <v>21192</v>
      </c>
      <c r="EH23" s="47">
        <v>21192</v>
      </c>
      <c r="EI23" s="47">
        <v>21192</v>
      </c>
      <c r="EJ23" s="47">
        <v>21192</v>
      </c>
      <c r="EK23" s="208">
        <v>21192</v>
      </c>
      <c r="EN23" s="43">
        <v>1927</v>
      </c>
      <c r="EO23" s="106">
        <v>17484</v>
      </c>
      <c r="EP23" s="127">
        <v>18384</v>
      </c>
      <c r="EQ23" s="149">
        <v>18888</v>
      </c>
      <c r="ER23" s="127">
        <v>19272</v>
      </c>
      <c r="ES23" s="127">
        <v>19708</v>
      </c>
      <c r="ET23" s="127">
        <v>19980</v>
      </c>
      <c r="EU23" s="127">
        <v>20124</v>
      </c>
      <c r="EV23" s="41">
        <v>20724</v>
      </c>
      <c r="EW23" s="127">
        <v>21012</v>
      </c>
      <c r="EX23" s="202">
        <v>21132</v>
      </c>
      <c r="EY23" s="47">
        <v>21192</v>
      </c>
      <c r="EZ23" s="47">
        <v>21192</v>
      </c>
      <c r="FA23" s="47">
        <v>21192</v>
      </c>
      <c r="FB23" s="47">
        <v>21192</v>
      </c>
      <c r="FC23" s="47">
        <v>21192</v>
      </c>
      <c r="FD23" s="47">
        <v>21192</v>
      </c>
      <c r="FE23" s="47">
        <v>21192</v>
      </c>
      <c r="FF23" s="47">
        <v>21192</v>
      </c>
      <c r="FG23" s="47">
        <v>21192</v>
      </c>
      <c r="FH23" s="47">
        <v>21192</v>
      </c>
      <c r="FI23" s="47">
        <v>21192</v>
      </c>
      <c r="FJ23" s="47">
        <v>21192</v>
      </c>
      <c r="FK23" s="208">
        <v>21192</v>
      </c>
    </row>
    <row r="24" spans="1:167" ht="15.75">
      <c r="A24" s="19">
        <v>46</v>
      </c>
      <c r="B24" s="122">
        <v>0.27</v>
      </c>
      <c r="C24" s="62"/>
      <c r="D24" s="209">
        <f t="shared" si="0"/>
        <v>19</v>
      </c>
      <c r="E24" s="126">
        <f>[1]!PBGCLRF(65+D24/12)</f>
        <v>1.1641999999999999</v>
      </c>
      <c r="F24" s="62"/>
      <c r="G24" s="62"/>
      <c r="H24" s="62"/>
      <c r="I24" s="62"/>
      <c r="J24" s="19">
        <v>20</v>
      </c>
      <c r="K24" s="122">
        <f t="shared" si="1"/>
        <v>0.88888888888888928</v>
      </c>
      <c r="L24" s="62"/>
      <c r="M24" s="297">
        <v>20</v>
      </c>
      <c r="N24" s="122">
        <f>[1]!LRFAEQ(0.065,"M",65,M24,0,"GM71","GM71","MP","Y","N","",65)</f>
        <v>1.2131960091267173</v>
      </c>
      <c r="O24" s="62"/>
      <c r="P24" s="130">
        <v>74</v>
      </c>
      <c r="Q24" s="155">
        <f>[1]!BFCFAEQ("SLA",0,0,0,"JSC",0.5,0,0,P24,Q$4,"M","F",0.065,"GM71","GM71","MP","N","","","")</f>
        <v>0.59810174160155727</v>
      </c>
      <c r="R24" s="155">
        <f>[1]!BFCFAEQ("SLA",0,0,0,"JSC",0.5,0,0,P24,R$4,"M","F",0.065,"GM71","GM71","MP","N","","","")</f>
        <v>0.59854625985804477</v>
      </c>
      <c r="S24" s="155">
        <f>[1]!BFCFAEQ("SLA",0,0,0,"JSC",0.5,0,0,P24,S$4,"M","F",0.065,"GM71","GM71","MP","N","","","")</f>
        <v>0.59901520980888889</v>
      </c>
      <c r="T24" s="155">
        <f>[1]!BFCFAEQ("SLA",0,0,0,"JSC",0.5,0,0,P24,T$4,"M","F",0.065,"GM71","GM71","MP","N","","","")</f>
        <v>0.59950967356705487</v>
      </c>
      <c r="U24" s="155">
        <f>[1]!BFCFAEQ("SLA",0,0,0,"JSC",0.5,0,0,P24,U$4,"M","F",0.065,"GM71","GM71","MP","N","","","")</f>
        <v>0.60003077520904446</v>
      </c>
      <c r="V24" s="155">
        <f>[1]!BFCFAEQ("SLA",0,0,0,"JSC",0.5,0,0,P24,V$4,"M","F",0.065,"GM71","GM71","MP","N","","","")</f>
        <v>0.60047026285671123</v>
      </c>
      <c r="W24" s="155">
        <f>[1]!BFCFAEQ("SLA",0,0,0,"JSC",0.5,0,0,P24,W$4,"M","F",0.065,"GM71","GM71","MP","N","","","")</f>
        <v>0.60094719044143818</v>
      </c>
      <c r="X24" s="155">
        <f>[1]!BFCFAEQ("SLA",0,0,0,"JSC",0.5,0,0,P24,X$4,"M","F",0.065,"GM71","GM71","MP","N","","","")</f>
        <v>0.60146085184373055</v>
      </c>
      <c r="Y24" s="155">
        <f>[1]!BFCFAEQ("SLA",0,0,0,"JSC",0.5,0,0,P24,Y$4,"M","F",0.065,"GM71","GM71","MP","N","","","")</f>
        <v>0.60201087127916597</v>
      </c>
      <c r="Z24" s="155">
        <f>[1]!BFCFAEQ("SLA",0,0,0,"JSC",0.5,0,0,P24,Z$4,"M","F",0.065,"GM71","GM71","MP","N","","","")</f>
        <v>0.60259746043076889</v>
      </c>
      <c r="AA24" s="155">
        <f>[1]!BFCFAEQ("SLA",0,0,0,"JSC",0.5,0,0,P24,AA$4,"M","F",0.065,"GM71","GM71","MP","N","","","")</f>
        <v>0.60322191288075944</v>
      </c>
      <c r="AB24" s="155">
        <f>[1]!BFCFAEQ("SLA",0,0,0,"JSC",0.5,0,0,P24,AB$4,"M","F",0.065,"GM71","GM71","MP","N","","","")</f>
        <v>0.60388517789878449</v>
      </c>
      <c r="AC24" s="155">
        <f>[1]!BFCFAEQ("SLA",0,0,0,"JSC",0.5,0,0,P24,AC$4,"M","F",0.065,"GM71","GM71","MP","N","","","")</f>
        <v>0.60458955180292795</v>
      </c>
      <c r="AD24" s="155">
        <f>[1]!BFCFAEQ("SLA",0,0,0,"JSC",0.5,0,0,P24,AD$4,"M","F",0.065,"GM71","GM71","MP","N","","","")</f>
        <v>0.60533772800126828</v>
      </c>
      <c r="AE24" s="155">
        <f>[1]!BFCFAEQ("SLA",0,0,0,"JSC",0.5,0,0,P24,AE$4,"M","F",0.065,"GM71","GM71","MP","N","","","")</f>
        <v>0.60613232687828023</v>
      </c>
      <c r="AF24" s="155">
        <f>[1]!BFCFAEQ("SLA",0,0,0,"JSC",0.5,0,0,P24,AF$4,"M","F",0.065,"GM71","GM71","MP","N","","","")</f>
        <v>0.60697590660481393</v>
      </c>
      <c r="AG24" s="155">
        <f>[1]!BFCFAEQ("SLA",0,0,0,"JSC",0.5,0,0,P24,AG$4,"M","F",0.065,"GM71","GM71","MP","N","","","")</f>
        <v>0.60787169127368657</v>
      </c>
      <c r="AH24" s="155">
        <f>[1]!BFCFAEQ("SLA",0,0,0,"JSC",0.5,0,0,P24,AH$4,"M","F",0.065,"GM71","GM71","MP","N","","","")</f>
        <v>0.60882262512383156</v>
      </c>
      <c r="AI24" s="155">
        <f>[1]!BFCFAEQ("SLA",0,0,0,"JSC",0.5,0,0,P24,AI$4,"M","F",0.065,"GM71","GM71","MP","N","","","")</f>
        <v>0.6098321008194787</v>
      </c>
      <c r="AJ24" s="155">
        <f>[1]!BFCFAEQ("SLA",0,0,0,"JSC",0.5,0,0,P24,AJ$4,"M","F",0.065,"GM71","GM71","MP","N","","","")</f>
        <v>0.61090373137340892</v>
      </c>
      <c r="AK24" s="155">
        <f>[1]!BFCFAEQ("SLA",0,0,0,"JSC",0.5,0,0,P24,AK$4,"M","F",0.065,"GM71","GM71","MP","N","","","")</f>
        <v>0.6120411231512628</v>
      </c>
      <c r="AL24" s="155">
        <f>[1]!BFCFAEQ("SLA",0,0,0,"JSC",0.5,0,0,P24,AL$4,"M","F",0.065,"GM71","GM71","MP","N","","","")</f>
        <v>0.61324812622407598</v>
      </c>
      <c r="AM24" s="155">
        <f>[1]!BFCFAEQ("SLA",0,0,0,"JSC",0.5,0,0,P24,AM$4,"M","F",0.065,"GM71","GM71","MP","N","","","")</f>
        <v>0.61452860892043581</v>
      </c>
      <c r="AN24" s="155">
        <f>[1]!BFCFAEQ("SLA",0,0,0,"JSC",0.5,0,0,P24,AN$4,"M","F",0.065,"GM71","GM71","MP","N","","","")</f>
        <v>0.61588741868902197</v>
      </c>
      <c r="AO24" s="155">
        <f>[1]!BFCFAEQ("SLA",0,0,0,"JSC",0.5,0,0,P24,AO$4,"M","F",0.065,"GM71","GM71","MP","N","","","")</f>
        <v>0.61732896637481993</v>
      </c>
      <c r="AP24" s="155">
        <f>[1]!BFCFAEQ("SLA",0,0,0,"JSC",0.5,0,0,P24,AP$4,"M","F",0.065,"GM71","GM71","MP","N","","","")</f>
        <v>0.61885794945928829</v>
      </c>
      <c r="AQ24" s="155">
        <f>[1]!BFCFAEQ("SLA",0,0,0,"JSC",0.5,0,0,P24,AQ$4,"M","F",0.065,"GM71","GM71","MP","N","","","")</f>
        <v>0.62047936134986448</v>
      </c>
      <c r="AR24" s="155">
        <f>[1]!BFCFAEQ("SLA",0,0,0,"JSC",0.5,0,0,P24,AR$4,"M","F",0.065,"GM71","GM71","MP","N","","","")</f>
        <v>0.62219849912943115</v>
      </c>
      <c r="AS24" s="155">
        <f>[1]!BFCFAEQ("SLA",0,0,0,"JSC",0.5,0,0,P24,AS$4,"M","F",0.065,"GM71","GM71","MP","N","","","")</f>
        <v>0.6240207346329556</v>
      </c>
      <c r="AT24" s="155">
        <f>[1]!BFCFAEQ("SLA",0,0,0,"JSC",0.5,0,0,P24,AT$4,"M","F",0.065,"GM71","GM71","MP","N","","","")</f>
        <v>0.62595199061886353</v>
      </c>
      <c r="AU24" s="155">
        <f>[1]!BFCFAEQ("SLA",0,0,0,"JSC",0.5,0,0,P24,AU$4,"M","F",0.065,"GM71","GM71","MP","N","","","")</f>
        <v>0.6279980383219701</v>
      </c>
      <c r="AV24" s="155">
        <f>[1]!BFCFAEQ("SLA",0,0,0,"JSC",0.5,0,0,P24,AV$4,"M","F",0.065,"GM71","GM71","MP","N","","","")</f>
        <v>0.63016497080488176</v>
      </c>
      <c r="AW24" s="155">
        <f>[1]!BFCFAEQ("SLA",0,0,0,"JSC",0.5,0,0,P24,AW$4,"M","F",0.065,"GM71","GM71","MP","N","","","")</f>
        <v>0.63245920218326712</v>
      </c>
      <c r="AX24" s="155">
        <f>[1]!BFCFAEQ("SLA",0,0,0,"JSC",0.5,0,0,P24,AX$4,"M","F",0.065,"GM71","GM71","MP","N","","","")</f>
        <v>0.6348872316123626</v>
      </c>
      <c r="AY24" s="155">
        <f>[1]!BFCFAEQ("SLA",0,0,0,"JSC",0.5,0,0,P24,AY$4,"M","F",0.065,"GM71","GM71","MP","N","","","")</f>
        <v>0.63745587207989707</v>
      </c>
      <c r="AZ24" s="155">
        <f>[1]!BFCFAEQ("SLA",0,0,0,"JSC",0.5,0,0,P24,AZ$4,"M","F",0.065,"GM71","GM71","MP","N","","","")</f>
        <v>0.64017177985502571</v>
      </c>
      <c r="BA24" s="155">
        <f>[1]!BFCFAEQ("SLA",0,0,0,"JSC",0.5,0,0,P24,BA$4,"M","F",0.065,"GM71","GM71","MP","N","","","")</f>
        <v>0.64304237135173592</v>
      </c>
      <c r="BB24" s="155">
        <f>[1]!BFCFAEQ("SLA",0,0,0,"JSC",0.5,0,0,P24,BB$4,"M","F",0.065,"GM71","GM71","MP","N","","","")</f>
        <v>0.6460746525837433</v>
      </c>
      <c r="BC24" s="155">
        <f>[1]!BFCFAEQ("SLA",0,0,0,"JSC",0.5,0,0,P24,BC$4,"M","F",0.065,"GM71","GM71","MP","N","","","")</f>
        <v>0.64927544162904482</v>
      </c>
      <c r="BD24" s="155">
        <f>[1]!BFCFAEQ("SLA",0,0,0,"JSC",0.5,0,0,P24,BD$4,"M","F",0.065,"GM71","GM71","MP","N","","","")</f>
        <v>0.65265203899569857</v>
      </c>
      <c r="BE24" s="155">
        <f>[1]!BFCFAEQ("SLA",0,0,0,"JSC",0.5,0,0,P24,BE$4,"M","F",0.065,"GM71","GM71","MP","N","","","")</f>
        <v>0.65621151521178778</v>
      </c>
      <c r="BF24" s="155">
        <f>[1]!BFCFAEQ("SLA",0,0,0,"JSC",0.5,0,0,P24,BF$4,"M","F",0.065,"GM71","GM71","MP","N","","","")</f>
        <v>0.65995663817083727</v>
      </c>
      <c r="BG24" s="155">
        <f>[1]!BFCFAEQ("SLA",0,0,0,"JSC",0.5,0,0,P24,BG$4,"M","F",0.065,"GM71","GM71","MP","N","","","")</f>
        <v>0.66388531270255846</v>
      </c>
      <c r="BH24" s="155">
        <f>[1]!BFCFAEQ("SLA",0,0,0,"JSC",0.5,0,0,P24,BH$4,"M","F",0.065,"GM71","GM71","MP","N","","","")</f>
        <v>0.6679972147186628</v>
      </c>
      <c r="BI24" s="155">
        <f>[1]!BFCFAEQ("SLA",0,0,0,"JSC",0.5,0,0,P24,BI$4,"M","F",0.065,"GM71","GM71","MP","N","","","")</f>
        <v>0.67229246798066378</v>
      </c>
      <c r="BJ24" s="155">
        <f>[1]!BFCFAEQ("SLA",0,0,0,"JSC",0.5,0,0,P24,BJ$4,"M","F",0.065,"GM71","GM71","MP","N","","","")</f>
        <v>0.67677277695322258</v>
      </c>
      <c r="BK24" s="155">
        <f>[1]!BFCFAEQ("SLA",0,0,0,"JSC",0.5,0,0,P24,BK$4,"M","F",0.065,"GM71","GM71","MP","N","","","")</f>
        <v>0.68144053723864018</v>
      </c>
      <c r="BL24" s="155">
        <f>[1]!BFCFAEQ("SLA",0,0,0,"JSC",0.5,0,0,P24,BL$4,"M","F",0.065,"GM71","GM71","MP","N","","","")</f>
        <v>0.68629926539586161</v>
      </c>
      <c r="BM24" s="155">
        <f>[1]!BFCFAEQ("SLA",0,0,0,"JSC",0.5,0,0,P24,BM$4,"M","F",0.065,"GM71","GM71","MP","N","","","")</f>
        <v>0.69135334522019265</v>
      </c>
      <c r="BN24" s="155">
        <f>[1]!BFCFAEQ("SLA",0,0,0,"JSC",0.5,0,0,P24,BN$4,"M","F",0.065,"GM71","GM71","MP","N","","","")</f>
        <v>0.69660754926828794</v>
      </c>
      <c r="BO24" s="155">
        <f>[1]!BFCFAEQ("SLA",0,0,0,"JSC",0.5,0,0,P24,BO$4,"M","F",0.065,"GM71","GM71","MP","N","","","")</f>
        <v>0.70206803520050665</v>
      </c>
      <c r="BP24" s="155">
        <f>[1]!BFCFAEQ("SLA",0,0,0,"JSC",0.5,0,0,P24,BP$4,"M","F",0.065,"GM71","GM71","MP","N","","","")</f>
        <v>0.70774033025768035</v>
      </c>
      <c r="BQ24" s="155">
        <f>[1]!BFCFAEQ("SLA",0,0,0,"JSC",0.5,0,0,P24,BQ$4,"M","F",0.065,"GM71","GM71","MP","N","","","")</f>
        <v>0.71363132188902412</v>
      </c>
      <c r="BR24" s="155">
        <f>[1]!BFCFAEQ("SLA",0,0,0,"JSC",0.5,0,0,P24,BR$4,"M","F",0.065,"GM71","GM71","MP","N","","","")</f>
        <v>0.71974720185268015</v>
      </c>
      <c r="BS24" s="155">
        <f>[1]!BFCFAEQ("SLA",0,0,0,"JSC",0.5,0,0,P24,BS$4,"M","F",0.065,"GM71","GM71","MP","N","","","")</f>
        <v>0.72609431873605124</v>
      </c>
      <c r="BT24" s="155">
        <f>[1]!BFCFAEQ("SLA",0,0,0,"JSC",0.5,0,0,P24,BT$4,"M","F",0.065,"GM71","GM71","MP","N","","","")</f>
        <v>0.73267812791551989</v>
      </c>
      <c r="BU24" s="155">
        <f>[1]!BFCFAEQ("SLA",0,0,0,"JSC",0.5,0,0,P24,BU$4,"M","F",0.065,"GM71","GM71","MP","N","","","")</f>
        <v>0.73950411155330165</v>
      </c>
      <c r="BV24" s="155">
        <f>[1]!BFCFAEQ("SLA",0,0,0,"JSC",0.5,0,0,P24,BV$4,"M","F",0.065,"GM71","GM71","MP","N","","","")</f>
        <v>0.74657584328630255</v>
      </c>
      <c r="BW24" s="155">
        <f>[1]!BFCFAEQ("SLA",0,0,0,"JSC",0.5,0,0,P24,BW$4,"M","F",0.065,"GM71","GM71","MP","N","","","")</f>
        <v>0.75388808496443427</v>
      </c>
      <c r="BX24" s="155">
        <f>[1]!BFCFAEQ("SLA",0,0,0,"JSC",0.5,0,0,P24,BX$4,"M","F",0.065,"GM71","GM71","MP","N","","","")</f>
        <v>0.76141371768017363</v>
      </c>
      <c r="BY24" s="155">
        <f>[1]!BFCFAEQ("SLA",0,0,0,"JSC",0.5,0,0,P24,BY$4,"M","F",0.065,"GM71","GM71","MP","N","","","")</f>
        <v>0.76913053186641767</v>
      </c>
      <c r="BZ24" s="155">
        <f>[1]!BFCFAEQ("SLA",0,0,0,"JSC",0.5,0,0,P24,BZ$4,"M","F",0.065,"GM71","GM71","MP","N","","","")</f>
        <v>0.7770223810001855</v>
      </c>
      <c r="CA24" s="155">
        <f>[1]!BFCFAEQ("SLA",0,0,0,"JSC",0.5,0,0,P24,CA$4,"M","F",0.065,"GM71","GM71","MP","N","","","")</f>
        <v>0.78507666311226343</v>
      </c>
      <c r="CB24" s="155">
        <f>[1]!BFCFAEQ("SLA",0,0,0,"JSC",0.5,0,0,P24,CB$4,"M","F",0.065,"GM71","GM71","MP","N","","","")</f>
        <v>0.79327535180769304</v>
      </c>
      <c r="CC24" s="155">
        <f>[1]!BFCFAEQ("SLA",0,0,0,"JSC",0.5,0,0,P24,CC$4,"M","F",0.065,"GM71","GM71","MP","N","","","")</f>
        <v>0.80158394461753246</v>
      </c>
      <c r="CD24" s="155">
        <f>[1]!BFCFAEQ("SLA",0,0,0,"JSC",0.5,0,0,P24,CD$4,"M","F",0.065,"GM71","GM71","MP","N","","","")</f>
        <v>0.8099559560304217</v>
      </c>
      <c r="CE24" s="155">
        <f>[1]!BFCFAEQ("SLA",0,0,0,"JSC",0.5,0,0,P24,CE$4,"M","F",0.065,"GM71","GM71","MP","N","","","")</f>
        <v>0.81834684503285759</v>
      </c>
      <c r="CF24" s="155">
        <f>[1]!BFCFAEQ("SLA",0,0,0,"JSC",0.5,0,0,P24,CF$4,"M","F",0.065,"GM71","GM71","MP","N","","","")</f>
        <v>0.82671794241576069</v>
      </c>
      <c r="CG24" s="155">
        <f>[1]!BFCFAEQ("SLA",0,0,0,"JSC",0.5,0,0,P24,CG$4,"M","F",0.065,"GM71","GM71","MP","N","","","")</f>
        <v>0.8350466669620028</v>
      </c>
      <c r="CH24" s="155">
        <f>[1]!BFCFAEQ("SLA",0,0,0,"JSC",0.5,0,0,P24,CH$4,"M","F",0.065,"GM71","GM71","MP","N","","","")</f>
        <v>0.84328760109751555</v>
      </c>
      <c r="CI24" s="155">
        <f>[1]!BFCFAEQ("SLA",0,0,0,"JSC",0.5,0,0,P24,CI$4,"M","F",0.065,"GM71","GM71","MP","N","","","")</f>
        <v>0.85139432216437927</v>
      </c>
      <c r="CJ24" s="155">
        <f>[1]!BFCFAEQ("SLA",0,0,0,"JSC",0.5,0,0,P24,CJ$4,"M","F",0.065,"GM71","GM71","MP","N","","","")</f>
        <v>0.85935188892506553</v>
      </c>
      <c r="CK24" s="155">
        <f>[1]!BFCFAEQ("SLA",0,0,0,"JSC",0.5,0,0,P24,CK$4,"M","F",0.065,"GM71","GM71","MP","N","","","")</f>
        <v>0.86718630897199378</v>
      </c>
      <c r="CL24" s="155">
        <f>[1]!BFCFAEQ("SLA",0,0,0,"JSC",0.5,0,0,P24,CL$4,"M","F",0.065,"GM71","GM71","MP","N","","","")</f>
        <v>0.874927266199094</v>
      </c>
      <c r="CM24" s="155">
        <f>[1]!BFCFAEQ("SLA",0,0,0,"JSC",0.5,0,0,P24,CM$4,"M","F",0.065,"GM71","GM71","MP","N","","","")</f>
        <v>0.88257145029147133</v>
      </c>
      <c r="CN24" s="257">
        <f>ROUND([1]!NPVF2("MP","SLA","N",0.05,"M",$P24,$P24,0,0,120,0,"UP84","UP84","P","","")/[1]!NPVF2("MP","JSC","N",0.05,"M",$P24,$P24,CN$4,0.5,0,0,"UP84","UP84","P","",""),4)</f>
        <v>1.1140000000000001</v>
      </c>
      <c r="CO24" s="257">
        <f>ROUND([1]!NPVF2("MP","SLA","N",0.05,"M",$P24,$P24,0,0,120,0,"UP84","UP84","P","","")/[1]!NPVF2("MP","JSC","N",0.05,"M",$P24,$P24,CO$4,0.5,0,0,"UP84","UP84","P","",""),4)</f>
        <v>1.1237999999999999</v>
      </c>
      <c r="CP24" s="257">
        <f>ROUND([1]!NPVF2("MP","SLA","N",0.05,"M",$P24,$P24,0,0,120,0,"UP84","UP84","P","","")/[1]!NPVF2("MP","JSC","N",0.05,"M",$P24,$P24,CP$4,0.5,0,0,"UP84","UP84","P","",""),4)</f>
        <v>1.1333</v>
      </c>
      <c r="CQ24" s="257">
        <f>ROUND([1]!NPVF2("MP","SLA","N",0.05,"M",$P24,$P24,0,0,120,0,"UP84","UP84","P","","")/[1]!NPVF2("MP","JSC","N",0.05,"M",$P24,$P24,CQ$4,0.5,0,0,"UP84","UP84","P","",""),4)</f>
        <v>1.1425000000000001</v>
      </c>
      <c r="CR24" s="257">
        <f>ROUND([1]!NPVF2("MP","SLA","N",0.05,"M",$P24,$P24,0,0,120,0,"UP84","UP84","P","","")/[1]!NPVF2("MP","JSC","N",0.05,"M",$P24,$P24,CR$4,0.5,0,0,"UP84","UP84","P","",""),4)</f>
        <v>1.1513</v>
      </c>
      <c r="CS24" s="257">
        <f>ROUND([1]!NPVF2("MP","SLA","N",0.05,"M",$P24,$P24,0,0,120,0,"UP84","UP84","P","","")/[1]!NPVF2("MP","JSC","N",0.05,"M",$P24,$P24,CS$4,0.5,0,0,"UP84","UP84","P","",""),4)</f>
        <v>1.1596</v>
      </c>
      <c r="CT24" s="257">
        <f>ROUND([1]!NPVF2("MP","SLA","N",0.05,"M",$P24,$P24,0,0,120,0,"UP84","UP84","P","","")/[1]!NPVF2("MP","JSC","N",0.05,"M",$P24,$P24,CT$4,0.5,0,0,"UP84","UP84","P","",""),4)</f>
        <v>1.1676</v>
      </c>
      <c r="CU24" s="257">
        <f>ROUND([1]!NPVF2("MP","SLA","N",0.05,"M",$P24,$P24,0,0,120,0,"UP84","UP84","P","","")/[1]!NPVF2("MP","JSC","N",0.05,"M",$P24,$P24,CU$4,0.5,0,0,"UP84","UP84","P","",""),4)</f>
        <v>1.1752</v>
      </c>
      <c r="CV24" s="257">
        <f>ROUND([1]!NPVF2("MP","SLA","N",0.05,"M",$P24,$P24,0,0,120,0,"UP84","UP84","P","","")/[1]!NPVF2("MP","JSC","N",0.05,"M",$P24,$P24,CV$4,0.5,0,0,"UP84","UP84","P","",""),4)</f>
        <v>1.1822999999999999</v>
      </c>
      <c r="CW24" s="258">
        <f>ROUND([1]!NPVF2("MP","SLA","N",0.05,"M",$P24,$P24,0,0,120,0,"UP84","UP84","P","","")/[1]!NPVF2("MP","JSC","N",0.05,"M",$P24,$P24,CW$4,0.5,0,0,"UP84","UP84","P","",""),4)</f>
        <v>1.1891</v>
      </c>
      <c r="CX24" s="62"/>
      <c r="CY24" s="104"/>
      <c r="CZ24" s="104"/>
      <c r="DD24" s="76"/>
      <c r="DE24" s="76"/>
      <c r="DH24" s="66"/>
      <c r="DL24" t="s">
        <v>136</v>
      </c>
      <c r="DM24">
        <f>DCOUNT(Active_Vesteds,"PVPBL_ANN_RATES",All_Criteria)</f>
        <v>0</v>
      </c>
      <c r="DN24" t="s">
        <v>422</v>
      </c>
      <c r="DO24" s="46">
        <f t="shared" si="4"/>
        <v>0</v>
      </c>
      <c r="DP24" s="46">
        <f t="shared" si="4"/>
        <v>0</v>
      </c>
      <c r="DQ24" s="46">
        <f t="shared" si="5"/>
        <v>0</v>
      </c>
      <c r="DW24" s="93">
        <v>1928</v>
      </c>
      <c r="DX24" s="16">
        <v>22536</v>
      </c>
      <c r="DY24" s="47">
        <v>22656</v>
      </c>
      <c r="DZ24" s="47">
        <v>22716</v>
      </c>
      <c r="EA24" s="47">
        <v>22716</v>
      </c>
      <c r="EB24" s="47">
        <v>22716</v>
      </c>
      <c r="EC24" s="47">
        <v>22716</v>
      </c>
      <c r="ED24" s="47">
        <v>22716</v>
      </c>
      <c r="EE24" s="47">
        <v>22716</v>
      </c>
      <c r="EF24" s="47">
        <v>22716</v>
      </c>
      <c r="EG24" s="47">
        <v>22716</v>
      </c>
      <c r="EH24" s="47">
        <v>22716</v>
      </c>
      <c r="EI24" s="47">
        <v>22716</v>
      </c>
      <c r="EJ24" s="47">
        <v>22716</v>
      </c>
      <c r="EK24" s="208">
        <v>22716</v>
      </c>
      <c r="EN24" s="43">
        <v>1928</v>
      </c>
      <c r="EO24" s="106">
        <v>17916</v>
      </c>
      <c r="EP24" s="127">
        <v>18888</v>
      </c>
      <c r="EQ24" s="149">
        <v>19452</v>
      </c>
      <c r="ER24" s="127">
        <v>19872</v>
      </c>
      <c r="ES24" s="127">
        <v>20364</v>
      </c>
      <c r="ET24" s="127">
        <v>20688</v>
      </c>
      <c r="EU24" s="127">
        <v>20856</v>
      </c>
      <c r="EV24" s="41">
        <v>21972</v>
      </c>
      <c r="EW24" s="127">
        <v>22356</v>
      </c>
      <c r="EX24" s="202">
        <v>22536</v>
      </c>
      <c r="EY24" s="47">
        <v>22656</v>
      </c>
      <c r="EZ24" s="47">
        <v>22716</v>
      </c>
      <c r="FA24" s="47">
        <v>22716</v>
      </c>
      <c r="FB24" s="47">
        <v>22716</v>
      </c>
      <c r="FC24" s="47">
        <v>22716</v>
      </c>
      <c r="FD24" s="47">
        <v>22716</v>
      </c>
      <c r="FE24" s="47">
        <v>22716</v>
      </c>
      <c r="FF24" s="47">
        <v>22716</v>
      </c>
      <c r="FG24" s="47">
        <v>22716</v>
      </c>
      <c r="FH24" s="47">
        <v>22716</v>
      </c>
      <c r="FI24" s="47">
        <v>22716</v>
      </c>
      <c r="FJ24" s="47">
        <v>22716</v>
      </c>
      <c r="FK24" s="208">
        <v>22716</v>
      </c>
    </row>
    <row r="25" spans="1:167" ht="16.5" thickBot="1">
      <c r="A25" s="164">
        <v>45</v>
      </c>
      <c r="B25" s="122">
        <v>0.25</v>
      </c>
      <c r="C25" s="62"/>
      <c r="D25" s="209">
        <f t="shared" si="0"/>
        <v>20</v>
      </c>
      <c r="E25" s="126">
        <f>[1]!PBGCLRF(65+D25/12)</f>
        <v>1.1733</v>
      </c>
      <c r="F25" s="62"/>
      <c r="G25" s="62"/>
      <c r="H25" s="62"/>
      <c r="I25" s="62"/>
      <c r="J25" s="19">
        <v>21</v>
      </c>
      <c r="K25" s="122">
        <f t="shared" si="1"/>
        <v>0.88333333333333375</v>
      </c>
      <c r="L25" s="62"/>
      <c r="M25" s="297">
        <v>21</v>
      </c>
      <c r="N25" s="122">
        <f>[1]!LRFAEQ(0.065,"M",65,M25,0,"GM71","GM71","MP","Y","N","",65)</f>
        <v>1.2247969188107894</v>
      </c>
      <c r="O25" s="62"/>
      <c r="P25" s="84">
        <v>75</v>
      </c>
      <c r="Q25" s="5">
        <f>[1]!BFCFAEQ("SLA",0,0,0,"JSC",0.5,0,0,P25,Q$4,"M","F",0.065,"GM71","GM71","MP","N","","","")</f>
        <v>0.58235806139169455</v>
      </c>
      <c r="R25" s="37">
        <f>[1]!BFCFAEQ("SLA",0,0,0,"JSC",0.5,0,0,P25,R$4,"M","F",0.065,"GM71","GM71","MP","N","","","")</f>
        <v>0.58279832155210154</v>
      </c>
      <c r="S25" s="37">
        <f>[1]!BFCFAEQ("SLA",0,0,0,"JSC",0.5,0,0,P25,S$4,"M","F",0.065,"GM71","GM71","MP","N","","","")</f>
        <v>0.5832628034300722</v>
      </c>
      <c r="T25" s="37">
        <f>[1]!BFCFAEQ("SLA",0,0,0,"JSC",0.5,0,0,P25,T$4,"M","F",0.065,"GM71","GM71","MP","N","","","")</f>
        <v>0.58375254611324989</v>
      </c>
      <c r="U25" s="37">
        <f>[1]!BFCFAEQ("SLA",0,0,0,"JSC",0.5,0,0,P25,U$4,"M","F",0.065,"GM71","GM71","MP","N","","","")</f>
        <v>0.58426863068080936</v>
      </c>
      <c r="V25" s="37">
        <f>[1]!BFCFAEQ("SLA",0,0,0,"JSC",0.5,0,0,P25,V$4,"M","F",0.065,"GM71","GM71","MP","N","","","")</f>
        <v>0.5847014271895945</v>
      </c>
      <c r="W25" s="37">
        <f>[1]!BFCFAEQ("SLA",0,0,0,"JSC",0.5,0,0,P25,W$4,"M","F",0.065,"GM71","GM71","MP","N","","","")</f>
        <v>0.58517139161699705</v>
      </c>
      <c r="X25" s="37">
        <f>[1]!BFCFAEQ("SLA",0,0,0,"JSC",0.5,0,0,P25,X$4,"M","F",0.065,"GM71","GM71","MP","N","","","")</f>
        <v>0.58567777419470268</v>
      </c>
      <c r="Y25" s="37">
        <f>[1]!BFCFAEQ("SLA",0,0,0,"JSC",0.5,0,0,P25,Y$4,"M","F",0.065,"GM71","GM71","MP","N","","","")</f>
        <v>0.5862201555501434</v>
      </c>
      <c r="Z25" s="37">
        <f>[1]!BFCFAEQ("SLA",0,0,0,"JSC",0.5,0,0,P25,Z$4,"M","F",0.065,"GM71","GM71","MP","N","","","")</f>
        <v>0.58679870753404928</v>
      </c>
      <c r="AA25" s="37">
        <f>[1]!BFCFAEQ("SLA",0,0,0,"JSC",0.5,0,0,P25,AA$4,"M","F",0.065,"GM71","GM71","MP","N","","","")</f>
        <v>0.58741469444852612</v>
      </c>
      <c r="AB25" s="37">
        <f>[1]!BFCFAEQ("SLA",0,0,0,"JSC",0.5,0,0,P25,AB$4,"M","F",0.065,"GM71","GM71","MP","N","","","")</f>
        <v>0.58806902932679117</v>
      </c>
      <c r="AC25" s="37">
        <f>[1]!BFCFAEQ("SLA",0,0,0,"JSC",0.5,0,0,P25,AC$4,"M","F",0.065,"GM71","GM71","MP","N","","","")</f>
        <v>0.58876398700921528</v>
      </c>
      <c r="AD25" s="37">
        <f>[1]!BFCFAEQ("SLA",0,0,0,"JSC",0.5,0,0,P25,AD$4,"M","F",0.065,"GM71","GM71","MP","N","","","")</f>
        <v>0.58950224261903517</v>
      </c>
      <c r="AE25" s="37">
        <f>[1]!BFCFAEQ("SLA",0,0,0,"JSC",0.5,0,0,P25,AE$4,"M","F",0.065,"GM71","GM71","MP","N","","","")</f>
        <v>0.59028639553060858</v>
      </c>
      <c r="AF25" s="37">
        <f>[1]!BFCFAEQ("SLA",0,0,0,"JSC",0.5,0,0,P25,AF$4,"M","F",0.065,"GM71","GM71","MP","N","","","")</f>
        <v>0.59111898036285349</v>
      </c>
      <c r="AG25" s="37">
        <f>[1]!BFCFAEQ("SLA",0,0,0,"JSC",0.5,0,0,P25,AG$4,"M","F",0.065,"GM71","GM71","MP","N","","","")</f>
        <v>0.5920032049669236</v>
      </c>
      <c r="AH25" s="37">
        <f>[1]!BFCFAEQ("SLA",0,0,0,"JSC",0.5,0,0,P25,AH$4,"M","F",0.065,"GM71","GM71","MP","N","","","")</f>
        <v>0.59294199252936297</v>
      </c>
      <c r="AI25" s="37">
        <f>[1]!BFCFAEQ("SLA",0,0,0,"JSC",0.5,0,0,P25,AI$4,"M","F",0.065,"GM71","GM71","MP","N","","","")</f>
        <v>0.59393871991735758</v>
      </c>
      <c r="AJ25" s="37">
        <f>[1]!BFCFAEQ("SLA",0,0,0,"JSC",0.5,0,0,P25,AJ$4,"M","F",0.065,"GM71","GM71","MP","N","","","")</f>
        <v>0.59499698718355076</v>
      </c>
      <c r="AK25" s="37">
        <f>[1]!BFCFAEQ("SLA",0,0,0,"JSC",0.5,0,0,P25,AK$4,"M","F",0.065,"GM71","GM71","MP","N","","","")</f>
        <v>0.59612038809765122</v>
      </c>
      <c r="AL25" s="37">
        <f>[1]!BFCFAEQ("SLA",0,0,0,"JSC",0.5,0,0,P25,AL$4,"M","F",0.065,"GM71","GM71","MP","N","","","")</f>
        <v>0.59731276470135597</v>
      </c>
      <c r="AM25" s="37">
        <f>[1]!BFCFAEQ("SLA",0,0,0,"JSC",0.5,0,0,P25,AM$4,"M","F",0.065,"GM71","GM71","MP","N","","","")</f>
        <v>0.59857797959886494</v>
      </c>
      <c r="AN25" s="37">
        <f>[1]!BFCFAEQ("SLA",0,0,0,"JSC",0.5,0,0,P25,AN$4,"M","F",0.065,"GM71","GM71","MP","N","","","")</f>
        <v>0.59992089180981822</v>
      </c>
      <c r="AO25" s="37">
        <f>[1]!BFCFAEQ("SLA",0,0,0,"JSC",0.5,0,0,P25,AO$4,"M","F",0.065,"GM71","GM71","MP","N","","","")</f>
        <v>0.60134592213012827</v>
      </c>
      <c r="AP25" s="37">
        <f>[1]!BFCFAEQ("SLA",0,0,0,"JSC",0.5,0,0,P25,AP$4,"M","F",0.065,"GM71","GM71","MP","N","","","")</f>
        <v>0.60285778803998169</v>
      </c>
      <c r="AQ25" s="37">
        <f>[1]!BFCFAEQ("SLA",0,0,0,"JSC",0.5,0,0,P25,AQ$4,"M","F",0.065,"GM71","GM71","MP","N","","","")</f>
        <v>0.60446151485343247</v>
      </c>
      <c r="AR25" s="37">
        <f>[1]!BFCFAEQ("SLA",0,0,0,"JSC",0.5,0,0,P25,AR$4,"M","F",0.065,"GM71","GM71","MP","N","","","")</f>
        <v>0.60616244543790554</v>
      </c>
      <c r="AS25" s="37">
        <f>[1]!BFCFAEQ("SLA",0,0,0,"JSC",0.5,0,0,P25,AS$4,"M","F",0.065,"GM71","GM71","MP","N","","","")</f>
        <v>0.60796600963426628</v>
      </c>
      <c r="AT25" s="37">
        <f>[1]!BFCFAEQ("SLA",0,0,0,"JSC",0.5,0,0,P25,AT$4,"M","F",0.065,"GM71","GM71","MP","N","","","")</f>
        <v>0.60987820992976394</v>
      </c>
      <c r="AU25" s="37">
        <f>[1]!BFCFAEQ("SLA",0,0,0,"JSC",0.5,0,0,P25,AU$4,"M","F",0.065,"GM71","GM71","MP","N","","","")</f>
        <v>0.61190490990571023</v>
      </c>
      <c r="AV25" s="37">
        <f>[1]!BFCFAEQ("SLA",0,0,0,"JSC",0.5,0,0,P25,AV$4,"M","F",0.065,"GM71","GM71","MP","N","","","")</f>
        <v>0.61405231705232255</v>
      </c>
      <c r="AW25" s="37">
        <f>[1]!BFCFAEQ("SLA",0,0,0,"JSC",0.5,0,0,P25,AW$4,"M","F",0.065,"GM71","GM71","MP","N","","","")</f>
        <v>0.61632698413393572</v>
      </c>
      <c r="AX25" s="37">
        <f>[1]!BFCFAEQ("SLA",0,0,0,"JSC",0.5,0,0,P25,AX$4,"M","F",0.065,"GM71","GM71","MP","N","","","")</f>
        <v>0.61873557106820043</v>
      </c>
      <c r="AY25" s="37">
        <f>[1]!BFCFAEQ("SLA",0,0,0,"JSC",0.5,0,0,P25,AY$4,"M","F",0.065,"GM71","GM71","MP","N","","","")</f>
        <v>0.62128507937498489</v>
      </c>
      <c r="AZ25" s="37">
        <f>[1]!BFCFAEQ("SLA",0,0,0,"JSC",0.5,0,0,P25,AZ$4,"M","F",0.065,"GM71","GM71","MP","N","","","")</f>
        <v>0.62398237469537421</v>
      </c>
      <c r="BA25" s="37">
        <f>[1]!BFCFAEQ("SLA",0,0,0,"JSC",0.5,0,0,P25,BA$4,"M","F",0.065,"GM71","GM71","MP","N","","","")</f>
        <v>0.62683512179059975</v>
      </c>
      <c r="BB25" s="37">
        <f>[1]!BFCFAEQ("SLA",0,0,0,"JSC",0.5,0,0,P25,BB$4,"M","F",0.065,"GM71","GM71","MP","N","","","")</f>
        <v>0.62985059380653752</v>
      </c>
      <c r="BC25" s="37">
        <f>[1]!BFCFAEQ("SLA",0,0,0,"JSC",0.5,0,0,P25,BC$4,"M","F",0.065,"GM71","GM71","MP","N","","","")</f>
        <v>0.63303589924560666</v>
      </c>
      <c r="BD25" s="37">
        <f>[1]!BFCFAEQ("SLA",0,0,0,"JSC",0.5,0,0,P25,BD$4,"M","F",0.065,"GM71","GM71","MP","N","","","")</f>
        <v>0.6363986669937346</v>
      </c>
      <c r="BE25" s="37">
        <f>[1]!BFCFAEQ("SLA",0,0,0,"JSC",0.5,0,0,P25,BE$4,"M","F",0.065,"GM71","GM71","MP","N","","","")</f>
        <v>0.6399463222267836</v>
      </c>
      <c r="BF25" s="37">
        <f>[1]!BFCFAEQ("SLA",0,0,0,"JSC",0.5,0,0,P25,BF$4,"M","F",0.065,"GM71","GM71","MP","N","","","")</f>
        <v>0.64368192687467263</v>
      </c>
      <c r="BG25" s="37">
        <f>[1]!BFCFAEQ("SLA",0,0,0,"JSC",0.5,0,0,P25,BG$4,"M","F",0.065,"GM71","GM71","MP","N","","","")</f>
        <v>0.64760359714785487</v>
      </c>
      <c r="BH25" s="37">
        <f>[1]!BFCFAEQ("SLA",0,0,0,"JSC",0.5,0,0,P25,BH$4,"M","F",0.065,"GM71","GM71","MP","N","","","")</f>
        <v>0.65171128206624329</v>
      </c>
      <c r="BI25" s="37">
        <f>[1]!BFCFAEQ("SLA",0,0,0,"JSC",0.5,0,0,P25,BI$4,"M","F",0.065,"GM71","GM71","MP","N","","","")</f>
        <v>0.65600542044040067</v>
      </c>
      <c r="BJ25" s="37">
        <f>[1]!BFCFAEQ("SLA",0,0,0,"JSC",0.5,0,0,P25,BJ$4,"M","F",0.065,"GM71","GM71","MP","N","","","")</f>
        <v>0.66048811109970629</v>
      </c>
      <c r="BK25" s="37">
        <f>[1]!BFCFAEQ("SLA",0,0,0,"JSC",0.5,0,0,P25,BK$4,"M","F",0.065,"GM71","GM71","MP","N","","","")</f>
        <v>0.66516221515048346</v>
      </c>
      <c r="BL25" s="37">
        <f>[1]!BFCFAEQ("SLA",0,0,0,"JSC",0.5,0,0,P25,BL$4,"M","F",0.065,"GM71","GM71","MP","N","","","")</f>
        <v>0.67003181021923086</v>
      </c>
      <c r="BM25" s="37">
        <f>[1]!BFCFAEQ("SLA",0,0,0,"JSC",0.5,0,0,P25,BM$4,"M","F",0.065,"GM71","GM71","MP","N","","","")</f>
        <v>0.67510194551260883</v>
      </c>
      <c r="BN25" s="37">
        <f>[1]!BFCFAEQ("SLA",0,0,0,"JSC",0.5,0,0,P25,BN$4,"M","F",0.065,"GM71","GM71","MP","N","","","")</f>
        <v>0.68037816502838477</v>
      </c>
      <c r="BO25" s="37">
        <f>[1]!BFCFAEQ("SLA",0,0,0,"JSC",0.5,0,0,P25,BO$4,"M","F",0.065,"GM71","GM71","MP","N","","","")</f>
        <v>0.685867547308744</v>
      </c>
      <c r="BP25" s="37">
        <f>[1]!BFCFAEQ("SLA",0,0,0,"JSC",0.5,0,0,P25,BP$4,"M","F",0.065,"GM71","GM71","MP","N","","","")</f>
        <v>0.69157664632199523</v>
      </c>
      <c r="BQ25" s="37">
        <f>[1]!BFCFAEQ("SLA",0,0,0,"JSC",0.5,0,0,P25,BQ$4,"M","F",0.065,"GM71","GM71","MP","N","","","")</f>
        <v>0.69751355497021061</v>
      </c>
      <c r="BR25" s="37">
        <f>[1]!BFCFAEQ("SLA",0,0,0,"JSC",0.5,0,0,P25,BR$4,"M","F",0.065,"GM71","GM71","MP","N","","","")</f>
        <v>0.70368579839605416</v>
      </c>
      <c r="BS25" s="37">
        <f>[1]!BFCFAEQ("SLA",0,0,0,"JSC",0.5,0,0,P25,BS$4,"M","F",0.065,"GM71","GM71","MP","N","","","")</f>
        <v>0.7101012200330159</v>
      </c>
      <c r="BT25" s="37">
        <f>[1]!BFCFAEQ("SLA",0,0,0,"JSC",0.5,0,0,P25,BT$4,"M","F",0.065,"GM71","GM71","MP","N","","","")</f>
        <v>0.71676690002200572</v>
      </c>
      <c r="BU25" s="37">
        <f>[1]!BFCFAEQ("SLA",0,0,0,"JSC",0.5,0,0,P25,BU$4,"M","F",0.065,"GM71","GM71","MP","N","","","")</f>
        <v>0.72369010718655302</v>
      </c>
      <c r="BV25" s="37">
        <f>[1]!BFCFAEQ("SLA",0,0,0,"JSC",0.5,0,0,P25,BV$4,"M","F",0.065,"GM71","GM71","MP","N","","","")</f>
        <v>0.73087628922575942</v>
      </c>
      <c r="BW25" s="37">
        <f>[1]!BFCFAEQ("SLA",0,0,0,"JSC",0.5,0,0,P25,BW$4,"M","F",0.065,"GM71","GM71","MP","N","","","")</f>
        <v>0.73832187049177023</v>
      </c>
      <c r="BX25" s="37">
        <f>[1]!BFCFAEQ("SLA",0,0,0,"JSC",0.5,0,0,P25,BX$4,"M","F",0.065,"GM71","GM71","MP","N","","","")</f>
        <v>0.74600054412462757</v>
      </c>
      <c r="BY25" s="37">
        <f>[1]!BFCFAEQ("SLA",0,0,0,"JSC",0.5,0,0,P25,BY$4,"M","F",0.065,"GM71","GM71","MP","N","","","")</f>
        <v>0.75389106164080055</v>
      </c>
      <c r="BZ25" s="37">
        <f>[1]!BFCFAEQ("SLA",0,0,0,"JSC",0.5,0,0,P25,BZ$4,"M","F",0.065,"GM71","GM71","MP","N","","","")</f>
        <v>0.76197846221525056</v>
      </c>
      <c r="CA25" s="37">
        <f>[1]!BFCFAEQ("SLA",0,0,0,"JSC",0.5,0,0,P25,CA$4,"M","F",0.065,"GM71","GM71","MP","N","","","")</f>
        <v>0.77025146684075696</v>
      </c>
      <c r="CB25" s="37">
        <f>[1]!BFCFAEQ("SLA",0,0,0,"JSC",0.5,0,0,P25,CB$4,"M","F",0.065,"GM71","GM71","MP","N","","","")</f>
        <v>0.77869306896589785</v>
      </c>
      <c r="CC25" s="37">
        <f>[1]!BFCFAEQ("SLA",0,0,0,"JSC",0.5,0,0,P25,CC$4,"M","F",0.065,"GM71","GM71","MP","N","","","")</f>
        <v>0.78726882381671104</v>
      </c>
      <c r="CD25" s="37">
        <f>[1]!BFCFAEQ("SLA",0,0,0,"JSC",0.5,0,0,P25,CD$4,"M","F",0.065,"GM71","GM71","MP","N","","","")</f>
        <v>0.79593139729558005</v>
      </c>
      <c r="CE25" s="37">
        <f>[1]!BFCFAEQ("SLA",0,0,0,"JSC",0.5,0,0,P25,CE$4,"M","F",0.065,"GM71","GM71","MP","N","","","")</f>
        <v>0.80463514328383279</v>
      </c>
      <c r="CF25" s="37">
        <f>[1]!BFCFAEQ("SLA",0,0,0,"JSC",0.5,0,0,P25,CF$4,"M","F",0.065,"GM71","GM71","MP","N","","","")</f>
        <v>0.8133402685044151</v>
      </c>
      <c r="CG25" s="37">
        <f>[1]!BFCFAEQ("SLA",0,0,0,"JSC",0.5,0,0,P25,CG$4,"M","F",0.065,"GM71","GM71","MP","N","","","")</f>
        <v>0.82202373793305039</v>
      </c>
      <c r="CH25" s="37">
        <f>[1]!BFCFAEQ("SLA",0,0,0,"JSC",0.5,0,0,P25,CH$4,"M","F",0.065,"GM71","GM71","MP","N","","","")</f>
        <v>0.83063801590051822</v>
      </c>
      <c r="CI25" s="37">
        <f>[1]!BFCFAEQ("SLA",0,0,0,"JSC",0.5,0,0,P25,CI$4,"M","F",0.065,"GM71","GM71","MP","N","","","")</f>
        <v>0.83913407807307661</v>
      </c>
      <c r="CJ25" s="37">
        <f>[1]!BFCFAEQ("SLA",0,0,0,"JSC",0.5,0,0,P25,CJ$4,"M","F",0.065,"GM71","GM71","MP","N","","","")</f>
        <v>0.84749611546012427</v>
      </c>
      <c r="CK25" s="37">
        <f>[1]!BFCFAEQ("SLA",0,0,0,"JSC",0.5,0,0,P25,CK$4,"M","F",0.065,"GM71","GM71","MP","N","","","")</f>
        <v>0.85575201876032958</v>
      </c>
      <c r="CL25" s="37">
        <f>[1]!BFCFAEQ("SLA",0,0,0,"JSC",0.5,0,0,P25,CL$4,"M","F",0.065,"GM71","GM71","MP","N","","","")</f>
        <v>0.86393377824383322</v>
      </c>
      <c r="CM25" s="37">
        <f>[1]!BFCFAEQ("SLA",0,0,0,"JSC",0.5,0,0,P25,CM$4,"M","F",0.065,"GM71","GM71","MP","N","","","")</f>
        <v>0.87203798607009786</v>
      </c>
      <c r="CN25" s="259">
        <f>ROUND([1]!NPVF2("MP","SLA","N",0.05,"M",$P25,$P25,0,0,120,0,"UP84","UP84","P","","")/[1]!NPVF2("MP","JSC","N",0.05,"M",$P25,$P25,CN$4,0.5,0,0,"UP84","UP84","P","",""),4)</f>
        <v>1.127</v>
      </c>
      <c r="CO25" s="259">
        <f>ROUND([1]!NPVF2("MP","SLA","N",0.05,"M",$P25,$P25,0,0,120,0,"UP84","UP84","P","","")/[1]!NPVF2("MP","JSC","N",0.05,"M",$P25,$P25,CO$4,0.5,0,0,"UP84","UP84","P","",""),4)</f>
        <v>1.1377999999999999</v>
      </c>
      <c r="CP25" s="259">
        <f>ROUND([1]!NPVF2("MP","SLA","N",0.05,"M",$P25,$P25,0,0,120,0,"UP84","UP84","P","","")/[1]!NPVF2("MP","JSC","N",0.05,"M",$P25,$P25,CP$4,0.5,0,0,"UP84","UP84","P","",""),4)</f>
        <v>1.1482000000000001</v>
      </c>
      <c r="CQ25" s="259">
        <f>ROUND([1]!NPVF2("MP","SLA","N",0.05,"M",$P25,$P25,0,0,120,0,"UP84","UP84","P","","")/[1]!NPVF2("MP","JSC","N",0.05,"M",$P25,$P25,CQ$4,0.5,0,0,"UP84","UP84","P","",""),4)</f>
        <v>1.1581999999999999</v>
      </c>
      <c r="CR25" s="259">
        <f>ROUND([1]!NPVF2("MP","SLA","N",0.05,"M",$P25,$P25,0,0,120,0,"UP84","UP84","P","","")/[1]!NPVF2("MP","JSC","N",0.05,"M",$P25,$P25,CR$4,0.5,0,0,"UP84","UP84","P","",""),4)</f>
        <v>1.1678999999999999</v>
      </c>
      <c r="CS25" s="259">
        <f>ROUND([1]!NPVF2("MP","SLA","N",0.05,"M",$P25,$P25,0,0,120,0,"UP84","UP84","P","","")/[1]!NPVF2("MP","JSC","N",0.05,"M",$P25,$P25,CS$4,0.5,0,0,"UP84","UP84","P","",""),4)</f>
        <v>1.1772</v>
      </c>
      <c r="CT25" s="259">
        <f>ROUND([1]!NPVF2("MP","SLA","N",0.05,"M",$P25,$P25,0,0,120,0,"UP84","UP84","P","","")/[1]!NPVF2("MP","JSC","N",0.05,"M",$P25,$P25,CT$4,0.5,0,0,"UP84","UP84","P","",""),4)</f>
        <v>1.1859999999999999</v>
      </c>
      <c r="CU25" s="259">
        <f>ROUND([1]!NPVF2("MP","SLA","N",0.05,"M",$P25,$P25,0,0,120,0,"UP84","UP84","P","","")/[1]!NPVF2("MP","JSC","N",0.05,"M",$P25,$P25,CU$4,0.5,0,0,"UP84","UP84","P","",""),4)</f>
        <v>1.1943999999999999</v>
      </c>
      <c r="CV25" s="259">
        <f>ROUND([1]!NPVF2("MP","SLA","N",0.05,"M",$P25,$P25,0,0,120,0,"UP84","UP84","P","","")/[1]!NPVF2("MP","JSC","N",0.05,"M",$P25,$P25,CV$4,0.5,0,0,"UP84","UP84","P","",""),4)</f>
        <v>1.2023999999999999</v>
      </c>
      <c r="CW25" s="260">
        <f>ROUND([1]!NPVF2("MP","SLA","N",0.05,"M",$P25,$P25,0,0,120,0,"UP84","UP84","P","","")/[1]!NPVF2("MP","JSC","N",0.05,"M",$P25,$P25,CW$4,0.5,0,0,"UP84","UP84","P","",""),4)</f>
        <v>1.2099</v>
      </c>
      <c r="CX25" s="62"/>
      <c r="CY25" s="104"/>
      <c r="CZ25" s="104"/>
      <c r="DD25" s="76"/>
      <c r="DE25" s="76"/>
      <c r="DH25" s="66"/>
      <c r="DL25" t="s">
        <v>352</v>
      </c>
      <c r="DM25">
        <f>DCOUNT(Separated_Vesteds,"PVPBL_ANN_RATES",All_Criteria)</f>
        <v>0</v>
      </c>
      <c r="DN25" t="s">
        <v>422</v>
      </c>
      <c r="DO25" s="46">
        <f t="shared" si="4"/>
        <v>0</v>
      </c>
      <c r="DP25" s="46">
        <f t="shared" si="4"/>
        <v>0</v>
      </c>
      <c r="DQ25" s="46">
        <f t="shared" si="5"/>
        <v>0</v>
      </c>
      <c r="DW25" s="93">
        <v>1929</v>
      </c>
      <c r="DX25" s="16">
        <v>23928</v>
      </c>
      <c r="DY25" s="47">
        <v>24108</v>
      </c>
      <c r="DZ25" s="47">
        <v>24228</v>
      </c>
      <c r="EA25" s="47">
        <v>24312</v>
      </c>
      <c r="EB25" s="47">
        <v>24312</v>
      </c>
      <c r="EC25" s="47">
        <v>24312</v>
      </c>
      <c r="ED25" s="47">
        <v>24312</v>
      </c>
      <c r="EE25" s="47">
        <v>24312</v>
      </c>
      <c r="EF25" s="47">
        <v>24312</v>
      </c>
      <c r="EG25" s="47">
        <v>24312</v>
      </c>
      <c r="EH25" s="47">
        <v>24312</v>
      </c>
      <c r="EI25" s="47">
        <v>24312</v>
      </c>
      <c r="EJ25" s="47">
        <v>24312</v>
      </c>
      <c r="EK25" s="208">
        <v>24312</v>
      </c>
      <c r="EN25" s="43">
        <v>1929</v>
      </c>
      <c r="EO25" s="106">
        <v>18336</v>
      </c>
      <c r="EP25" s="127">
        <v>19368</v>
      </c>
      <c r="EQ25" s="149">
        <v>19968</v>
      </c>
      <c r="ER25" s="127">
        <v>20436</v>
      </c>
      <c r="ES25" s="127">
        <v>20988</v>
      </c>
      <c r="ET25" s="127">
        <v>21348</v>
      </c>
      <c r="EU25" s="127">
        <v>21552</v>
      </c>
      <c r="EV25" s="41">
        <v>23208</v>
      </c>
      <c r="EW25" s="127">
        <v>23688</v>
      </c>
      <c r="EX25" s="202">
        <v>23928</v>
      </c>
      <c r="EY25" s="47">
        <v>24108</v>
      </c>
      <c r="EZ25" s="47">
        <v>24228</v>
      </c>
      <c r="FA25" s="47">
        <v>24312</v>
      </c>
      <c r="FB25" s="47">
        <v>24312</v>
      </c>
      <c r="FC25" s="47">
        <v>24312</v>
      </c>
      <c r="FD25" s="47">
        <v>24312</v>
      </c>
      <c r="FE25" s="47">
        <v>24312</v>
      </c>
      <c r="FF25" s="47">
        <v>24312</v>
      </c>
      <c r="FG25" s="47">
        <v>24312</v>
      </c>
      <c r="FH25" s="47">
        <v>24312</v>
      </c>
      <c r="FI25" s="47">
        <v>24312</v>
      </c>
      <c r="FJ25" s="47">
        <v>24312</v>
      </c>
      <c r="FK25" s="208">
        <v>24312</v>
      </c>
    </row>
    <row r="26" spans="1:167" ht="15.75">
      <c r="A26" s="11">
        <v>44</v>
      </c>
      <c r="B26" s="122">
        <v>0.24</v>
      </c>
      <c r="C26" s="62"/>
      <c r="D26" s="209">
        <f t="shared" si="0"/>
        <v>21</v>
      </c>
      <c r="E26" s="126">
        <f>[1]!PBGCLRF(65+D26/12)</f>
        <v>1.1825000000000001</v>
      </c>
      <c r="F26" s="62"/>
      <c r="G26" s="62"/>
      <c r="H26" s="62"/>
      <c r="I26" s="62"/>
      <c r="J26" s="19">
        <v>22</v>
      </c>
      <c r="K26" s="122">
        <f t="shared" si="1"/>
        <v>0.87777777777777821</v>
      </c>
      <c r="L26" s="62"/>
      <c r="M26" s="297">
        <v>22</v>
      </c>
      <c r="N26" s="122">
        <f>[1]!LRFAEQ(0.065,"M",65,M26,0,"GM71","GM71","MP","Y","N","",65)</f>
        <v>1.2363978284948614</v>
      </c>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2"/>
      <c r="BL26" s="62"/>
      <c r="BM26" s="62"/>
      <c r="BN26" s="62"/>
      <c r="BO26" s="62"/>
      <c r="BP26" s="62"/>
      <c r="BQ26" s="62"/>
      <c r="BR26" s="62"/>
      <c r="BS26" s="62"/>
      <c r="BT26" s="62"/>
      <c r="BU26" s="62"/>
      <c r="BV26" s="62"/>
      <c r="BW26" s="62"/>
      <c r="BX26" s="62"/>
      <c r="BY26" s="62"/>
      <c r="BZ26" s="62"/>
      <c r="CA26" s="62"/>
      <c r="CB26" s="62"/>
      <c r="CC26" s="62"/>
      <c r="CD26" s="62"/>
      <c r="CE26" s="62"/>
      <c r="CF26" s="62"/>
      <c r="CG26" s="62"/>
      <c r="CH26" s="62"/>
      <c r="CI26" s="62"/>
      <c r="CJ26" s="62"/>
      <c r="CK26" s="62"/>
      <c r="CL26" s="62"/>
      <c r="CM26" s="62"/>
      <c r="CN26" s="62"/>
      <c r="CO26" s="62"/>
      <c r="CP26" s="62"/>
      <c r="CQ26" s="62"/>
      <c r="CR26" s="62"/>
      <c r="CS26" s="62"/>
      <c r="CT26" s="62"/>
      <c r="CU26" s="62"/>
      <c r="CV26" s="62"/>
      <c r="CW26" s="62"/>
      <c r="CX26" s="62"/>
      <c r="CY26" s="150">
        <v>0.06</v>
      </c>
      <c r="CZ26">
        <v>999</v>
      </c>
      <c r="DL26" t="s">
        <v>404</v>
      </c>
      <c r="DM26">
        <v>0</v>
      </c>
      <c r="DN26" t="s">
        <v>422</v>
      </c>
      <c r="DO26" s="46">
        <v>0</v>
      </c>
      <c r="DP26" s="46">
        <v>0</v>
      </c>
      <c r="DQ26" s="46">
        <f t="shared" si="5"/>
        <v>0</v>
      </c>
      <c r="DW26" s="93">
        <v>1930</v>
      </c>
      <c r="DX26" s="16">
        <v>25308</v>
      </c>
      <c r="DY26" s="47">
        <v>25548</v>
      </c>
      <c r="DZ26" s="47">
        <v>25728</v>
      </c>
      <c r="EA26" s="47">
        <v>25908</v>
      </c>
      <c r="EB26" s="47">
        <v>25920</v>
      </c>
      <c r="EC26" s="47">
        <v>25920</v>
      </c>
      <c r="ED26" s="47">
        <v>25920</v>
      </c>
      <c r="EE26" s="47">
        <v>25920</v>
      </c>
      <c r="EF26" s="47">
        <v>25920</v>
      </c>
      <c r="EG26" s="47">
        <v>25920</v>
      </c>
      <c r="EH26" s="47">
        <v>25920</v>
      </c>
      <c r="EI26" s="47">
        <v>25920</v>
      </c>
      <c r="EJ26" s="47">
        <v>25920</v>
      </c>
      <c r="EK26" s="208">
        <v>25920</v>
      </c>
      <c r="EN26" s="43">
        <v>1930</v>
      </c>
      <c r="EO26" s="106">
        <v>19128</v>
      </c>
      <c r="EP26" s="127">
        <v>20256</v>
      </c>
      <c r="EQ26" s="149">
        <v>20916</v>
      </c>
      <c r="ER26" s="127">
        <v>21432</v>
      </c>
      <c r="ES26" s="127">
        <v>22044</v>
      </c>
      <c r="ET26" s="127">
        <v>22452</v>
      </c>
      <c r="EU26" s="127">
        <v>22692</v>
      </c>
      <c r="EV26" s="41">
        <v>24444</v>
      </c>
      <c r="EW26" s="127">
        <v>25008</v>
      </c>
      <c r="EX26" s="202">
        <v>25308</v>
      </c>
      <c r="EY26" s="47">
        <v>25548</v>
      </c>
      <c r="EZ26" s="47">
        <v>25728</v>
      </c>
      <c r="FA26" s="47">
        <v>25908</v>
      </c>
      <c r="FB26" s="47">
        <v>25920</v>
      </c>
      <c r="FC26" s="47">
        <v>25920</v>
      </c>
      <c r="FD26" s="47">
        <v>25920</v>
      </c>
      <c r="FE26" s="47">
        <v>25920</v>
      </c>
      <c r="FF26" s="47">
        <v>25920</v>
      </c>
      <c r="FG26" s="47">
        <v>25920</v>
      </c>
      <c r="FH26" s="47">
        <v>25920</v>
      </c>
      <c r="FI26" s="47">
        <v>25920</v>
      </c>
      <c r="FJ26" s="47">
        <v>25920</v>
      </c>
      <c r="FK26" s="208">
        <v>25920</v>
      </c>
    </row>
    <row r="27" spans="1:167" ht="15.75">
      <c r="A27" s="164">
        <v>43</v>
      </c>
      <c r="B27" s="122">
        <v>0.23</v>
      </c>
      <c r="C27" s="62"/>
      <c r="D27" s="209">
        <f t="shared" si="0"/>
        <v>22</v>
      </c>
      <c r="E27" s="126">
        <f>[1]!PBGCLRF(65+D27/12)</f>
        <v>1.1917</v>
      </c>
      <c r="F27" s="62"/>
      <c r="G27" s="62"/>
      <c r="H27" s="62"/>
      <c r="I27" s="62"/>
      <c r="J27" s="19">
        <v>23</v>
      </c>
      <c r="K27" s="122">
        <f t="shared" si="1"/>
        <v>0.87222222222222268</v>
      </c>
      <c r="L27" s="62"/>
      <c r="M27" s="297">
        <v>23</v>
      </c>
      <c r="N27" s="122">
        <f>[1]!LRFAEQ(0.065,"M",65,M27,0,"GM71","GM71","MP","Y","N","",65)</f>
        <v>1.2479987381789335</v>
      </c>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62"/>
      <c r="BJ27" s="62"/>
      <c r="BK27" s="62"/>
      <c r="BL27" s="62"/>
      <c r="BM27" s="62"/>
      <c r="BN27" s="62"/>
      <c r="BO27" s="62"/>
      <c r="BP27" s="62"/>
      <c r="BQ27" s="62"/>
      <c r="BR27" s="62"/>
      <c r="BS27" s="62"/>
      <c r="BT27" s="62"/>
      <c r="BU27" s="62"/>
      <c r="BV27" s="62"/>
      <c r="BW27" s="62"/>
      <c r="BX27" s="62"/>
      <c r="BY27" s="62"/>
      <c r="BZ27" s="62"/>
      <c r="CA27" s="62"/>
      <c r="CB27" s="62"/>
      <c r="CC27" s="62"/>
      <c r="CD27" s="62"/>
      <c r="CE27" s="62"/>
      <c r="CF27" s="62"/>
      <c r="CG27" s="62"/>
      <c r="CH27" s="62"/>
      <c r="CI27" s="62"/>
      <c r="CJ27" s="62"/>
      <c r="CK27" s="62"/>
      <c r="CL27" s="62"/>
      <c r="CM27" s="62"/>
      <c r="CN27" s="62"/>
      <c r="CO27" s="62"/>
      <c r="CP27" s="62"/>
      <c r="CQ27" s="62"/>
      <c r="CR27" s="62"/>
      <c r="CS27" s="62"/>
      <c r="CT27" s="62"/>
      <c r="CU27" s="62"/>
      <c r="CV27" s="62"/>
      <c r="CW27" s="62"/>
      <c r="CX27" s="62"/>
      <c r="DL27" t="s">
        <v>125</v>
      </c>
      <c r="DM27">
        <v>0</v>
      </c>
      <c r="DN27" t="s">
        <v>422</v>
      </c>
      <c r="DO27" s="46">
        <v>0</v>
      </c>
      <c r="DP27" s="46">
        <v>0</v>
      </c>
      <c r="DQ27" s="46">
        <f t="shared" si="5"/>
        <v>0</v>
      </c>
      <c r="DW27" s="93">
        <v>1931</v>
      </c>
      <c r="DX27" s="16">
        <v>26700</v>
      </c>
      <c r="DY27" s="47">
        <v>27000</v>
      </c>
      <c r="DZ27" s="47">
        <v>27240</v>
      </c>
      <c r="EA27" s="47">
        <v>27492</v>
      </c>
      <c r="EB27" s="47">
        <v>27528</v>
      </c>
      <c r="EC27" s="47">
        <v>27576</v>
      </c>
      <c r="ED27" s="47">
        <v>27576</v>
      </c>
      <c r="EE27" s="47">
        <v>27576</v>
      </c>
      <c r="EF27" s="47">
        <v>27576</v>
      </c>
      <c r="EG27" s="47">
        <v>27576</v>
      </c>
      <c r="EH27" s="47">
        <v>27576</v>
      </c>
      <c r="EI27" s="47">
        <v>27576</v>
      </c>
      <c r="EJ27" s="47">
        <v>27576</v>
      </c>
      <c r="EK27" s="208">
        <v>27576</v>
      </c>
      <c r="EN27" s="43">
        <v>1931</v>
      </c>
      <c r="EO27" s="106">
        <v>19908</v>
      </c>
      <c r="EP27" s="127">
        <v>21132</v>
      </c>
      <c r="EQ27" s="149">
        <v>21852</v>
      </c>
      <c r="ER27" s="127">
        <v>22428</v>
      </c>
      <c r="ES27" s="127">
        <v>23112</v>
      </c>
      <c r="ET27" s="127">
        <v>23568</v>
      </c>
      <c r="EU27" s="127">
        <v>23844</v>
      </c>
      <c r="EV27" s="41">
        <v>25680</v>
      </c>
      <c r="EW27" s="127">
        <v>26340</v>
      </c>
      <c r="EX27" s="202">
        <v>26700</v>
      </c>
      <c r="EY27" s="47">
        <v>27000</v>
      </c>
      <c r="EZ27" s="47">
        <v>27240</v>
      </c>
      <c r="FA27" s="47">
        <v>27492</v>
      </c>
      <c r="FB27" s="47">
        <v>27528</v>
      </c>
      <c r="FC27" s="47">
        <v>27576</v>
      </c>
      <c r="FD27" s="47">
        <v>27576</v>
      </c>
      <c r="FE27" s="47">
        <v>27576</v>
      </c>
      <c r="FF27" s="47">
        <v>27576</v>
      </c>
      <c r="FG27" s="47">
        <v>27576</v>
      </c>
      <c r="FH27" s="47">
        <v>27576</v>
      </c>
      <c r="FI27" s="47">
        <v>27576</v>
      </c>
      <c r="FJ27" s="47">
        <v>27576</v>
      </c>
      <c r="FK27" s="208">
        <v>27576</v>
      </c>
    </row>
    <row r="28" spans="1:167" ht="15.75">
      <c r="A28" s="19">
        <v>42</v>
      </c>
      <c r="B28" s="122">
        <v>0.22</v>
      </c>
      <c r="C28" s="62"/>
      <c r="D28" s="209">
        <f t="shared" si="0"/>
        <v>23</v>
      </c>
      <c r="E28" s="126">
        <f>[1]!PBGCLRF(65+D28/12)</f>
        <v>1.2008000000000001</v>
      </c>
      <c r="F28" s="62"/>
      <c r="G28" s="62"/>
      <c r="H28" s="62"/>
      <c r="I28" s="62"/>
      <c r="J28" s="19">
        <v>24</v>
      </c>
      <c r="K28" s="122">
        <f t="shared" si="1"/>
        <v>0.86666666666666714</v>
      </c>
      <c r="L28" s="62"/>
      <c r="M28" s="297">
        <v>24</v>
      </c>
      <c r="N28" s="122">
        <f>[1]!LRFAEQ(0.065,"M",65,M28,0,"GM71","GM71","MP","Y","N","",65)</f>
        <v>1.2595996478630054</v>
      </c>
      <c r="O28" s="62"/>
      <c r="P28" s="184" t="s">
        <v>153</v>
      </c>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62"/>
      <c r="BB28" s="62"/>
      <c r="BC28" s="62"/>
      <c r="BD28" s="62"/>
      <c r="BE28" s="62"/>
      <c r="BF28" s="62"/>
      <c r="BG28" s="62"/>
      <c r="BH28" s="62"/>
      <c r="BI28" s="62"/>
      <c r="BJ28" s="62"/>
      <c r="BK28" s="62"/>
      <c r="BL28" s="62"/>
      <c r="BM28" s="62"/>
      <c r="BN28" s="62"/>
      <c r="BO28" s="62"/>
      <c r="BP28" s="62"/>
      <c r="BQ28" s="62"/>
      <c r="BR28" s="62"/>
      <c r="BS28" s="62"/>
      <c r="BT28" s="62"/>
      <c r="BU28" s="62"/>
      <c r="BV28" s="62"/>
      <c r="BW28" s="62"/>
      <c r="BX28" s="62"/>
      <c r="BY28" s="62"/>
      <c r="BZ28" s="62"/>
      <c r="CA28" s="62"/>
      <c r="CB28" s="62"/>
      <c r="CC28" s="62"/>
      <c r="CD28" s="62"/>
      <c r="CE28" s="62"/>
      <c r="CF28" s="62"/>
      <c r="CG28" s="62"/>
      <c r="CH28" s="62"/>
      <c r="CI28" s="62"/>
      <c r="CJ28" s="62"/>
      <c r="CK28" s="62"/>
      <c r="CL28" s="62"/>
      <c r="CM28" s="62"/>
      <c r="CN28" s="62"/>
      <c r="CO28" s="62"/>
      <c r="CP28" s="62"/>
      <c r="CQ28" s="62"/>
      <c r="CR28" s="62"/>
      <c r="CS28" s="62"/>
      <c r="CT28" s="62"/>
      <c r="CU28" s="62"/>
      <c r="CV28" s="62"/>
      <c r="CW28" s="62"/>
      <c r="CX28" s="62"/>
      <c r="DO28" s="46">
        <f>SUM(DO22:DO27)</f>
        <v>0</v>
      </c>
      <c r="DP28" s="46"/>
      <c r="DQ28" s="46">
        <f>SUM(DQ22:DQ27)</f>
        <v>0</v>
      </c>
      <c r="DW28" s="93">
        <v>1932</v>
      </c>
      <c r="DX28" s="16">
        <v>28092</v>
      </c>
      <c r="DY28" s="47">
        <v>28452</v>
      </c>
      <c r="DZ28" s="47">
        <v>28752</v>
      </c>
      <c r="EA28" s="47">
        <v>29088</v>
      </c>
      <c r="EB28" s="47">
        <v>29148</v>
      </c>
      <c r="EC28" s="47">
        <v>29232</v>
      </c>
      <c r="ED28" s="47">
        <v>29304</v>
      </c>
      <c r="EE28" s="47">
        <v>29304</v>
      </c>
      <c r="EF28" s="47">
        <v>29304</v>
      </c>
      <c r="EG28" s="47">
        <v>29304</v>
      </c>
      <c r="EH28" s="47">
        <v>29304</v>
      </c>
      <c r="EI28" s="47">
        <v>29304</v>
      </c>
      <c r="EJ28" s="47">
        <v>29304</v>
      </c>
      <c r="EK28" s="208">
        <v>29304</v>
      </c>
      <c r="EN28" s="43">
        <v>1932</v>
      </c>
      <c r="EO28" s="106">
        <v>20700</v>
      </c>
      <c r="EP28" s="127">
        <v>22020</v>
      </c>
      <c r="EQ28" s="149">
        <v>22800</v>
      </c>
      <c r="ER28" s="127">
        <v>23412</v>
      </c>
      <c r="ES28" s="127">
        <v>24168</v>
      </c>
      <c r="ET28" s="127">
        <v>24684</v>
      </c>
      <c r="EU28" s="127">
        <v>24996</v>
      </c>
      <c r="EV28" s="41">
        <v>26916</v>
      </c>
      <c r="EW28" s="127">
        <v>27672</v>
      </c>
      <c r="EX28" s="202">
        <v>28092</v>
      </c>
      <c r="EY28" s="47">
        <v>28452</v>
      </c>
      <c r="EZ28" s="47">
        <v>28752</v>
      </c>
      <c r="FA28" s="47">
        <v>29088</v>
      </c>
      <c r="FB28" s="47">
        <v>29148</v>
      </c>
      <c r="FC28" s="47">
        <v>29232</v>
      </c>
      <c r="FD28" s="47">
        <v>29304</v>
      </c>
      <c r="FE28" s="47">
        <v>29304</v>
      </c>
      <c r="FF28" s="47">
        <v>29304</v>
      </c>
      <c r="FG28" s="47">
        <v>29304</v>
      </c>
      <c r="FH28" s="47">
        <v>29304</v>
      </c>
      <c r="FI28" s="47">
        <v>29304</v>
      </c>
      <c r="FJ28" s="47">
        <v>29304</v>
      </c>
      <c r="FK28" s="208">
        <v>29304</v>
      </c>
    </row>
    <row r="29" spans="1:167" ht="15.75">
      <c r="A29" s="164">
        <v>41</v>
      </c>
      <c r="B29" s="122">
        <v>0.21</v>
      </c>
      <c r="C29" s="62"/>
      <c r="D29" s="209">
        <f t="shared" si="0"/>
        <v>24</v>
      </c>
      <c r="E29" s="126">
        <f>[1]!PBGCLRF(65+D29/12)</f>
        <v>1.21</v>
      </c>
      <c r="F29" s="62"/>
      <c r="G29" s="62"/>
      <c r="H29" s="62"/>
      <c r="I29" s="62"/>
      <c r="J29" s="19">
        <v>25</v>
      </c>
      <c r="K29" s="122">
        <f t="shared" si="1"/>
        <v>0.8611111111111116</v>
      </c>
      <c r="L29" s="62"/>
      <c r="M29" s="297">
        <v>25</v>
      </c>
      <c r="N29" s="122">
        <f>[1]!LRFAEQ(0.065,"M",65,M29,0,"GM71","GM71","MP","Y","N","",65)</f>
        <v>1.2730753308531597</v>
      </c>
      <c r="O29" s="62"/>
      <c r="CX29" s="62"/>
      <c r="DP29" s="46"/>
      <c r="DW29" s="93">
        <v>1933</v>
      </c>
      <c r="DX29" s="16">
        <v>29472</v>
      </c>
      <c r="DY29" s="47">
        <v>29892</v>
      </c>
      <c r="DZ29" s="47">
        <v>30252</v>
      </c>
      <c r="EA29" s="47">
        <v>30684</v>
      </c>
      <c r="EB29" s="47">
        <v>30756</v>
      </c>
      <c r="EC29" s="47">
        <v>30888</v>
      </c>
      <c r="ED29" s="47">
        <v>31032</v>
      </c>
      <c r="EE29" s="47">
        <v>31128</v>
      </c>
      <c r="EF29" s="47">
        <v>31128</v>
      </c>
      <c r="EG29" s="47">
        <v>31128</v>
      </c>
      <c r="EH29" s="47">
        <v>31128</v>
      </c>
      <c r="EI29" s="47">
        <v>31128</v>
      </c>
      <c r="EJ29" s="47">
        <v>31128</v>
      </c>
      <c r="EK29" s="208">
        <v>31128</v>
      </c>
      <c r="EN29" s="43">
        <v>1933</v>
      </c>
      <c r="EO29" s="106">
        <v>21492</v>
      </c>
      <c r="EP29" s="127">
        <v>22908</v>
      </c>
      <c r="EQ29" s="149">
        <v>23748</v>
      </c>
      <c r="ER29" s="127">
        <v>24408</v>
      </c>
      <c r="ES29" s="127">
        <v>25236</v>
      </c>
      <c r="ET29" s="127">
        <v>25800</v>
      </c>
      <c r="EU29" s="127">
        <v>26148</v>
      </c>
      <c r="EV29" s="41">
        <v>28152</v>
      </c>
      <c r="EW29" s="127">
        <v>28992</v>
      </c>
      <c r="EX29" s="202">
        <v>29472</v>
      </c>
      <c r="EY29" s="47">
        <v>29892</v>
      </c>
      <c r="EZ29" s="47">
        <v>30252</v>
      </c>
      <c r="FA29" s="47">
        <v>30684</v>
      </c>
      <c r="FB29" s="47">
        <v>30756</v>
      </c>
      <c r="FC29" s="47">
        <v>30888</v>
      </c>
      <c r="FD29" s="47">
        <v>31032</v>
      </c>
      <c r="FE29" s="47">
        <v>31128</v>
      </c>
      <c r="FF29" s="47">
        <v>31128</v>
      </c>
      <c r="FG29" s="47">
        <v>31128</v>
      </c>
      <c r="FH29" s="47">
        <v>31128</v>
      </c>
      <c r="FI29" s="47">
        <v>31128</v>
      </c>
      <c r="FJ29" s="47">
        <v>31128</v>
      </c>
      <c r="FK29" s="208">
        <v>31128</v>
      </c>
    </row>
    <row r="30" spans="1:167" ht="16.5" thickBot="1">
      <c r="A30" s="19">
        <v>40</v>
      </c>
      <c r="B30" s="122">
        <v>0.2</v>
      </c>
      <c r="C30" s="62"/>
      <c r="D30" s="209">
        <f t="shared" si="0"/>
        <v>25</v>
      </c>
      <c r="E30" s="126">
        <f>[1]!PBGCLRF(65+D30/12)</f>
        <v>1.2208000000000001</v>
      </c>
      <c r="F30" s="62"/>
      <c r="G30" s="62"/>
      <c r="H30" s="62"/>
      <c r="I30" s="62"/>
      <c r="J30" s="19">
        <v>26</v>
      </c>
      <c r="K30" s="122">
        <f t="shared" si="1"/>
        <v>0.85555555555555607</v>
      </c>
      <c r="L30" s="62"/>
      <c r="M30" s="297">
        <v>26</v>
      </c>
      <c r="N30" s="122">
        <f>[1]!LRFAEQ(0.065,"M",65,M30,0,"GM71","GM71","MP","Y","N","",65)</f>
        <v>1.2865510138433141</v>
      </c>
      <c r="O30" s="62"/>
      <c r="P30" s="104"/>
      <c r="Q30" s="233" t="s">
        <v>486</v>
      </c>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c r="BS30" s="104"/>
      <c r="BT30" s="104"/>
      <c r="BU30" s="104"/>
      <c r="BV30" s="104"/>
      <c r="BW30" s="104"/>
      <c r="BX30" s="104"/>
      <c r="BY30" s="104"/>
      <c r="BZ30" s="104"/>
      <c r="CA30" s="104"/>
      <c r="CB30" s="104"/>
      <c r="CC30" s="104"/>
      <c r="CD30" s="104"/>
      <c r="CE30" s="104"/>
      <c r="CF30" s="104"/>
      <c r="CG30" s="104"/>
      <c r="CH30" s="104"/>
      <c r="CI30" s="104"/>
      <c r="CJ30" s="104"/>
      <c r="CK30" s="104"/>
      <c r="CL30" s="104"/>
      <c r="CM30" s="104"/>
      <c r="CN30" s="104"/>
      <c r="CO30" s="104"/>
      <c r="CP30" s="104"/>
      <c r="CQ30" s="104"/>
      <c r="CR30" s="104"/>
      <c r="CS30" s="104"/>
      <c r="CT30" s="104"/>
      <c r="CU30" s="104"/>
      <c r="CV30" s="104"/>
      <c r="CW30" s="104"/>
      <c r="CX30" s="62"/>
      <c r="DK30" t="s">
        <v>2</v>
      </c>
      <c r="DL30" t="s">
        <v>179</v>
      </c>
      <c r="DM30" s="76">
        <f>DCOUNT(Retirees,"PVPBL_ANN_RATES",All_Criteria)</f>
        <v>0</v>
      </c>
      <c r="DN30" t="s">
        <v>422</v>
      </c>
      <c r="DO30" s="274">
        <f>DSUM(Retirees,"PVMB_4022C_NO_LOAD",All_Criteria)</f>
        <v>0</v>
      </c>
      <c r="DP30" s="274">
        <f>DSUM(Retirees,"LOAD_4022C",All_Criteria)</f>
        <v>0</v>
      </c>
      <c r="DQ30" s="46">
        <f t="shared" ref="DQ30:DQ35" si="6">DO30 + DP30</f>
        <v>0</v>
      </c>
      <c r="DR30" s="46"/>
      <c r="DS30" s="46"/>
      <c r="DW30" s="93">
        <v>1934</v>
      </c>
      <c r="DX30" s="16">
        <v>30864</v>
      </c>
      <c r="DY30" s="47">
        <v>31344</v>
      </c>
      <c r="DZ30" s="47">
        <v>31764</v>
      </c>
      <c r="EA30" s="47">
        <v>32280</v>
      </c>
      <c r="EB30" s="47">
        <v>32364</v>
      </c>
      <c r="EC30" s="47">
        <v>32532</v>
      </c>
      <c r="ED30" s="47">
        <v>32772</v>
      </c>
      <c r="EE30" s="47">
        <v>32940</v>
      </c>
      <c r="EF30" s="47">
        <v>33060</v>
      </c>
      <c r="EG30" s="47">
        <v>33060</v>
      </c>
      <c r="EH30" s="47">
        <v>33060</v>
      </c>
      <c r="EI30" s="47">
        <v>33060</v>
      </c>
      <c r="EJ30" s="47">
        <v>33060</v>
      </c>
      <c r="EK30" s="208">
        <v>33060</v>
      </c>
      <c r="EN30" s="43">
        <v>1934</v>
      </c>
      <c r="EO30" s="106">
        <v>22272</v>
      </c>
      <c r="EP30" s="127">
        <v>23784</v>
      </c>
      <c r="EQ30" s="149">
        <v>24684</v>
      </c>
      <c r="ER30" s="127">
        <v>25404</v>
      </c>
      <c r="ES30" s="127">
        <v>26292</v>
      </c>
      <c r="ET30" s="127">
        <v>26916</v>
      </c>
      <c r="EU30" s="127">
        <v>27288</v>
      </c>
      <c r="EV30" s="41">
        <v>29388</v>
      </c>
      <c r="EW30" s="127">
        <v>30324</v>
      </c>
      <c r="EX30" s="202">
        <v>30864</v>
      </c>
      <c r="EY30" s="47">
        <v>31344</v>
      </c>
      <c r="EZ30" s="47">
        <v>31764</v>
      </c>
      <c r="FA30" s="47">
        <v>32280</v>
      </c>
      <c r="FB30" s="47">
        <v>32364</v>
      </c>
      <c r="FC30" s="47">
        <v>32532</v>
      </c>
      <c r="FD30" s="47">
        <v>32772</v>
      </c>
      <c r="FE30" s="47">
        <v>32940</v>
      </c>
      <c r="FF30" s="47">
        <v>33060</v>
      </c>
      <c r="FG30" s="47">
        <v>33060</v>
      </c>
      <c r="FH30" s="47">
        <v>33060</v>
      </c>
      <c r="FI30" s="47">
        <v>33060</v>
      </c>
      <c r="FJ30" s="47">
        <v>33060</v>
      </c>
      <c r="FK30" s="208">
        <v>33060</v>
      </c>
    </row>
    <row r="31" spans="1:167" ht="16.5" thickBot="1">
      <c r="A31" s="164">
        <v>39</v>
      </c>
      <c r="B31" s="122">
        <v>0.19</v>
      </c>
      <c r="C31" s="62"/>
      <c r="D31" s="209">
        <f t="shared" si="0"/>
        <v>26</v>
      </c>
      <c r="E31" s="126">
        <f>[1]!PBGCLRF(65+D31/12)</f>
        <v>1.2317</v>
      </c>
      <c r="F31" s="62"/>
      <c r="G31" s="62"/>
      <c r="H31" s="62"/>
      <c r="I31" s="62"/>
      <c r="J31" s="19">
        <v>27</v>
      </c>
      <c r="K31" s="122">
        <f t="shared" si="1"/>
        <v>0.85000000000000053</v>
      </c>
      <c r="L31" s="62"/>
      <c r="M31" s="297">
        <v>27</v>
      </c>
      <c r="N31" s="122">
        <f>[1]!LRFAEQ(0.065,"M",65,M31,0,"GM71","GM71","MP","Y","N","",65)</f>
        <v>1.3000266968334684</v>
      </c>
      <c r="O31" s="62"/>
      <c r="P31" s="218" t="s">
        <v>450</v>
      </c>
      <c r="Q31" s="24">
        <v>1</v>
      </c>
      <c r="R31" s="80">
        <v>2</v>
      </c>
      <c r="S31" s="80">
        <v>3</v>
      </c>
      <c r="T31" s="80">
        <v>4</v>
      </c>
      <c r="U31" s="80">
        <v>5</v>
      </c>
      <c r="V31" s="80">
        <v>6</v>
      </c>
      <c r="W31" s="80">
        <v>7</v>
      </c>
      <c r="X31" s="80">
        <v>8</v>
      </c>
      <c r="Y31" s="80">
        <v>9</v>
      </c>
      <c r="Z31" s="80">
        <v>10</v>
      </c>
      <c r="AA31" s="80">
        <v>11</v>
      </c>
      <c r="AB31" s="80">
        <v>12</v>
      </c>
      <c r="AC31" s="80">
        <v>13</v>
      </c>
      <c r="AD31" s="80">
        <v>14</v>
      </c>
      <c r="AE31" s="80">
        <v>15</v>
      </c>
      <c r="AF31" s="80">
        <v>16</v>
      </c>
      <c r="AG31" s="80">
        <v>17</v>
      </c>
      <c r="AH31" s="80">
        <v>18</v>
      </c>
      <c r="AI31" s="80">
        <v>19</v>
      </c>
      <c r="AJ31" s="80">
        <v>20</v>
      </c>
      <c r="AK31" s="80">
        <v>21</v>
      </c>
      <c r="AL31" s="80">
        <v>22</v>
      </c>
      <c r="AM31" s="80">
        <v>23</v>
      </c>
      <c r="AN31" s="80">
        <v>24</v>
      </c>
      <c r="AO31" s="80">
        <v>25</v>
      </c>
      <c r="AP31" s="80">
        <v>26</v>
      </c>
      <c r="AQ31" s="80">
        <v>27</v>
      </c>
      <c r="AR31" s="80">
        <v>28</v>
      </c>
      <c r="AS31" s="80">
        <v>29</v>
      </c>
      <c r="AT31" s="80">
        <v>30</v>
      </c>
      <c r="AU31" s="80">
        <v>31</v>
      </c>
      <c r="AV31" s="80">
        <v>32</v>
      </c>
      <c r="AW31" s="80">
        <v>33</v>
      </c>
      <c r="AX31" s="80">
        <v>34</v>
      </c>
      <c r="AY31" s="80">
        <v>35</v>
      </c>
      <c r="AZ31" s="80">
        <v>36</v>
      </c>
      <c r="BA31" s="80">
        <v>37</v>
      </c>
      <c r="BB31" s="80">
        <v>38</v>
      </c>
      <c r="BC31" s="80">
        <v>39</v>
      </c>
      <c r="BD31" s="80">
        <v>40</v>
      </c>
      <c r="BE31" s="80">
        <v>41</v>
      </c>
      <c r="BF31" s="80">
        <v>42</v>
      </c>
      <c r="BG31" s="80">
        <v>43</v>
      </c>
      <c r="BH31" s="80">
        <v>44</v>
      </c>
      <c r="BI31" s="80">
        <v>45</v>
      </c>
      <c r="BJ31" s="80">
        <v>46</v>
      </c>
      <c r="BK31" s="80">
        <v>47</v>
      </c>
      <c r="BL31" s="80">
        <v>48</v>
      </c>
      <c r="BM31" s="80">
        <v>49</v>
      </c>
      <c r="BN31" s="80">
        <v>50</v>
      </c>
      <c r="BO31" s="80">
        <v>51</v>
      </c>
      <c r="BP31" s="80">
        <v>52</v>
      </c>
      <c r="BQ31" s="80">
        <v>53</v>
      </c>
      <c r="BR31" s="80">
        <v>54</v>
      </c>
      <c r="BS31" s="80">
        <v>55</v>
      </c>
      <c r="BT31" s="80">
        <v>56</v>
      </c>
      <c r="BU31" s="80">
        <v>57</v>
      </c>
      <c r="BV31" s="80">
        <v>58</v>
      </c>
      <c r="BW31" s="80">
        <v>59</v>
      </c>
      <c r="BX31" s="80">
        <v>60</v>
      </c>
      <c r="BY31" s="80">
        <v>61</v>
      </c>
      <c r="BZ31" s="80">
        <v>62</v>
      </c>
      <c r="CA31" s="80">
        <v>63</v>
      </c>
      <c r="CB31" s="80">
        <v>64</v>
      </c>
      <c r="CC31" s="80">
        <v>65</v>
      </c>
      <c r="CD31" s="80">
        <v>66</v>
      </c>
      <c r="CE31" s="80">
        <v>67</v>
      </c>
      <c r="CF31" s="80">
        <v>68</v>
      </c>
      <c r="CG31" s="80">
        <v>69</v>
      </c>
      <c r="CH31" s="80">
        <v>70</v>
      </c>
      <c r="CI31" s="80">
        <v>71</v>
      </c>
      <c r="CJ31" s="80">
        <v>72</v>
      </c>
      <c r="CK31" s="80">
        <v>73</v>
      </c>
      <c r="CL31" s="80">
        <v>74</v>
      </c>
      <c r="CM31" s="214">
        <v>75</v>
      </c>
      <c r="CN31" s="214">
        <v>76</v>
      </c>
      <c r="CO31" s="214">
        <v>77</v>
      </c>
      <c r="CP31" s="214">
        <v>78</v>
      </c>
      <c r="CQ31" s="214">
        <v>79</v>
      </c>
      <c r="CR31" s="214">
        <v>80</v>
      </c>
      <c r="CS31" s="214">
        <v>81</v>
      </c>
      <c r="CT31" s="214">
        <v>82</v>
      </c>
      <c r="CU31" s="214">
        <v>83</v>
      </c>
      <c r="CV31" s="214">
        <v>84</v>
      </c>
      <c r="CW31" s="86">
        <v>85</v>
      </c>
      <c r="CX31" s="62"/>
      <c r="DL31" t="s">
        <v>142</v>
      </c>
      <c r="DM31" s="76">
        <f>DCOUNT(Beneficiaries_in_Pay,"PVPBL_ANN_RATES",Beneficiary_Criteria)</f>
        <v>0</v>
      </c>
      <c r="DN31" t="s">
        <v>422</v>
      </c>
      <c r="DO31" s="274">
        <f>DSUM(Beneficiaries_in_Pay,"PVMB_4022C_NO_LOAD",All_Criteria)</f>
        <v>0</v>
      </c>
      <c r="DP31" s="274">
        <f>DSUM(Beneficiaries_in_Pay,"LOAD_4022C",All_Criteria)</f>
        <v>0</v>
      </c>
      <c r="DQ31" s="46">
        <f t="shared" si="6"/>
        <v>0</v>
      </c>
      <c r="DR31" s="46"/>
      <c r="DS31" s="46"/>
      <c r="DW31" s="93">
        <v>1935</v>
      </c>
      <c r="DX31" s="16">
        <v>32256</v>
      </c>
      <c r="DY31" s="47">
        <v>32796</v>
      </c>
      <c r="DZ31" s="47">
        <v>33276</v>
      </c>
      <c r="EA31" s="47">
        <v>33876</v>
      </c>
      <c r="EB31" s="47">
        <v>33972</v>
      </c>
      <c r="EC31" s="47">
        <v>34188</v>
      </c>
      <c r="ED31" s="47">
        <v>34500</v>
      </c>
      <c r="EE31" s="47">
        <v>34752</v>
      </c>
      <c r="EF31" s="47">
        <v>34992</v>
      </c>
      <c r="EG31" s="47">
        <v>35100</v>
      </c>
      <c r="EH31" s="47">
        <v>35100</v>
      </c>
      <c r="EI31" s="47">
        <v>35100</v>
      </c>
      <c r="EJ31" s="47">
        <v>35100</v>
      </c>
      <c r="EK31" s="208">
        <v>35100</v>
      </c>
      <c r="EN31" s="43">
        <v>1935</v>
      </c>
      <c r="EO31" s="106">
        <v>23064</v>
      </c>
      <c r="EP31" s="127">
        <v>24672</v>
      </c>
      <c r="EQ31" s="149">
        <v>25632</v>
      </c>
      <c r="ER31" s="127">
        <v>26400</v>
      </c>
      <c r="ES31" s="127">
        <v>27360</v>
      </c>
      <c r="ET31" s="127">
        <v>28032</v>
      </c>
      <c r="EU31" s="127">
        <v>28440</v>
      </c>
      <c r="EV31" s="41">
        <v>30612</v>
      </c>
      <c r="EW31" s="127">
        <v>31656</v>
      </c>
      <c r="EX31" s="202">
        <v>32256</v>
      </c>
      <c r="EY31" s="47">
        <v>32796</v>
      </c>
      <c r="EZ31" s="47">
        <v>33276</v>
      </c>
      <c r="FA31" s="47">
        <v>33876</v>
      </c>
      <c r="FB31" s="47">
        <v>33972</v>
      </c>
      <c r="FC31" s="47">
        <v>34188</v>
      </c>
      <c r="FD31" s="47">
        <v>34500</v>
      </c>
      <c r="FE31" s="47">
        <v>34752</v>
      </c>
      <c r="FF31" s="47">
        <v>34992</v>
      </c>
      <c r="FG31" s="47">
        <v>35100</v>
      </c>
      <c r="FH31" s="47">
        <v>35100</v>
      </c>
      <c r="FI31" s="47">
        <v>35100</v>
      </c>
      <c r="FJ31" s="47">
        <v>35100</v>
      </c>
      <c r="FK31" s="208">
        <v>35100</v>
      </c>
    </row>
    <row r="32" spans="1:167" ht="15.75">
      <c r="A32" s="11">
        <v>38</v>
      </c>
      <c r="B32" s="122">
        <v>0.18</v>
      </c>
      <c r="C32" s="62"/>
      <c r="D32" s="209">
        <f t="shared" si="0"/>
        <v>27</v>
      </c>
      <c r="E32" s="126">
        <f>[1]!PBGCLRF(65+D32/12)</f>
        <v>1.2424999999999999</v>
      </c>
      <c r="F32" s="62"/>
      <c r="G32" s="62"/>
      <c r="H32" s="62"/>
      <c r="I32" s="62"/>
      <c r="J32" s="19">
        <v>28</v>
      </c>
      <c r="K32" s="122">
        <f t="shared" si="1"/>
        <v>0.844444444444445</v>
      </c>
      <c r="L32" s="62"/>
      <c r="M32" s="297">
        <v>28</v>
      </c>
      <c r="N32" s="122">
        <f>[1]!LRFAEQ(0.065,"M",65,M32,0,"GM71","GM71","MP","Y","N","",65)</f>
        <v>1.3135023798236225</v>
      </c>
      <c r="O32" s="62"/>
      <c r="P32" s="88">
        <v>55</v>
      </c>
      <c r="Q32" s="190">
        <v>0.67179999999999995</v>
      </c>
      <c r="R32" s="53">
        <v>0.67300000000000004</v>
      </c>
      <c r="S32" s="53">
        <v>0.67430000000000001</v>
      </c>
      <c r="T32" s="53">
        <v>0.67569999999999997</v>
      </c>
      <c r="U32" s="53">
        <v>0.67710000000000004</v>
      </c>
      <c r="V32" s="53">
        <v>0.67849999999999999</v>
      </c>
      <c r="W32" s="53">
        <v>0.68010000000000004</v>
      </c>
      <c r="X32" s="53">
        <v>0.68169999999999997</v>
      </c>
      <c r="Y32" s="53">
        <v>0.68330000000000002</v>
      </c>
      <c r="Z32" s="53">
        <v>0.68510000000000004</v>
      </c>
      <c r="AA32" s="53">
        <v>0.68689999999999996</v>
      </c>
      <c r="AB32" s="53">
        <v>0.68879999999999997</v>
      </c>
      <c r="AC32" s="53">
        <v>0.69079999999999997</v>
      </c>
      <c r="AD32" s="53">
        <v>0.69289999999999996</v>
      </c>
      <c r="AE32" s="53">
        <v>0.69510000000000005</v>
      </c>
      <c r="AF32" s="53">
        <v>0.69730000000000003</v>
      </c>
      <c r="AG32" s="53">
        <v>0.69940000000000002</v>
      </c>
      <c r="AH32" s="53">
        <v>0.7016</v>
      </c>
      <c r="AI32" s="53">
        <v>0.70389999999999997</v>
      </c>
      <c r="AJ32" s="53">
        <v>0.70630000000000004</v>
      </c>
      <c r="AK32" s="53">
        <v>0.70879999999999999</v>
      </c>
      <c r="AL32" s="53">
        <v>0.71150000000000002</v>
      </c>
      <c r="AM32" s="53">
        <v>0.71430000000000005</v>
      </c>
      <c r="AN32" s="53">
        <v>0.71730000000000005</v>
      </c>
      <c r="AO32" s="53">
        <v>0.72040000000000004</v>
      </c>
      <c r="AP32" s="53">
        <v>0.72370000000000001</v>
      </c>
      <c r="AQ32" s="53">
        <v>0.72709999999999997</v>
      </c>
      <c r="AR32" s="53">
        <v>0.73070000000000002</v>
      </c>
      <c r="AS32" s="53">
        <v>0.73440000000000005</v>
      </c>
      <c r="AT32" s="53">
        <v>0.73829999999999996</v>
      </c>
      <c r="AU32" s="53">
        <v>0.74239999999999995</v>
      </c>
      <c r="AV32" s="53">
        <v>0.74660000000000004</v>
      </c>
      <c r="AW32" s="53">
        <v>0.751</v>
      </c>
      <c r="AX32" s="53">
        <v>0.75560000000000005</v>
      </c>
      <c r="AY32" s="53">
        <v>0.76039999999999996</v>
      </c>
      <c r="AZ32" s="53">
        <v>0.76529999999999998</v>
      </c>
      <c r="BA32" s="53">
        <v>0.77029999999999998</v>
      </c>
      <c r="BB32" s="53">
        <v>0.77549999999999997</v>
      </c>
      <c r="BC32" s="53">
        <v>0.78090000000000004</v>
      </c>
      <c r="BD32" s="53">
        <v>0.78649999999999998</v>
      </c>
      <c r="BE32" s="53">
        <v>0.79210000000000003</v>
      </c>
      <c r="BF32" s="53">
        <v>0.79800000000000004</v>
      </c>
      <c r="BG32" s="53">
        <v>0.80400000000000005</v>
      </c>
      <c r="BH32" s="53">
        <v>0.81010000000000004</v>
      </c>
      <c r="BI32" s="53">
        <v>0.81630000000000003</v>
      </c>
      <c r="BJ32" s="53">
        <v>0.8226</v>
      </c>
      <c r="BK32" s="53">
        <v>0.82909999999999995</v>
      </c>
      <c r="BL32" s="53">
        <v>0.83560000000000001</v>
      </c>
      <c r="BM32" s="53">
        <v>0.84230000000000005</v>
      </c>
      <c r="BN32" s="53">
        <v>0.84889999999999999</v>
      </c>
      <c r="BO32" s="53">
        <v>0.85570000000000002</v>
      </c>
      <c r="BP32" s="53">
        <v>0.86240000000000006</v>
      </c>
      <c r="BQ32" s="53">
        <v>0.86919999999999997</v>
      </c>
      <c r="BR32" s="53">
        <v>0.876</v>
      </c>
      <c r="BS32" s="53">
        <v>0.88280000000000003</v>
      </c>
      <c r="BT32" s="53">
        <v>0.88949999999999996</v>
      </c>
      <c r="BU32" s="53">
        <v>0.8962</v>
      </c>
      <c r="BV32" s="53">
        <v>0.90290000000000004</v>
      </c>
      <c r="BW32" s="53">
        <v>0.90949999999999998</v>
      </c>
      <c r="BX32" s="53">
        <v>0.91590000000000005</v>
      </c>
      <c r="BY32" s="53">
        <v>0.92230000000000001</v>
      </c>
      <c r="BZ32" s="53">
        <v>0.92849999999999999</v>
      </c>
      <c r="CA32" s="53">
        <v>0.93459999999999999</v>
      </c>
      <c r="CB32" s="53">
        <v>0.9405</v>
      </c>
      <c r="CC32" s="53">
        <v>0.94630000000000003</v>
      </c>
      <c r="CD32" s="53">
        <v>0.95179999999999998</v>
      </c>
      <c r="CE32" s="53">
        <v>0.95720000000000005</v>
      </c>
      <c r="CF32" s="53">
        <v>0.96230000000000004</v>
      </c>
      <c r="CG32" s="53">
        <v>0.96719999999999995</v>
      </c>
      <c r="CH32" s="53">
        <v>0.97199999999999998</v>
      </c>
      <c r="CI32" s="53">
        <v>0.97650000000000003</v>
      </c>
      <c r="CJ32" s="53">
        <v>0.98080000000000001</v>
      </c>
      <c r="CK32" s="53">
        <v>0.9849</v>
      </c>
      <c r="CL32" s="53">
        <v>0.98880000000000001</v>
      </c>
      <c r="CM32" s="252">
        <v>0.99239999999999995</v>
      </c>
      <c r="CN32" s="53">
        <f>ROUND([1]!NPVF2("MP","SLA","N",0.05,"M",$P32,$P32,0,0,120,0,"UP84","UP84","P","","")/[1]!NPVF2("MP","JSC","N",0.05,"M",$P32,$P32,CN$31,1,0,0,"UP84","UP84","P","",""),4)</f>
        <v>0.99580000000000002</v>
      </c>
      <c r="CO32" s="53">
        <f>ROUND([1]!NPVF2("MP","SLA","N",0.05,"M",$P32,$P32,0,0,120,0,"UP84","UP84","P","","")/[1]!NPVF2("MP","JSC","N",0.05,"M",$P32,$P32,CO$31,1,0,0,"UP84","UP84","P","",""),4)</f>
        <v>0.99909999999999999</v>
      </c>
      <c r="CP32" s="53">
        <f>ROUND([1]!NPVF2("MP","SLA","N",0.05,"M",$P32,$P32,0,0,120,0,"UP84","UP84","P","","")/[1]!NPVF2("MP","JSC","N",0.05,"M",$P32,$P32,CP$31,1,0,0,"UP84","UP84","P","",""),4)</f>
        <v>1.002</v>
      </c>
      <c r="CQ32" s="53">
        <f>ROUND([1]!NPVF2("MP","SLA","N",0.05,"M",$P32,$P32,0,0,120,0,"UP84","UP84","P","","")/[1]!NPVF2("MP","JSC","N",0.05,"M",$P32,$P32,CQ$31,1,0,0,"UP84","UP84","P","",""),4)</f>
        <v>1.0047999999999999</v>
      </c>
      <c r="CR32" s="53">
        <f>ROUND([1]!NPVF2("MP","SLA","N",0.05,"M",$P32,$P32,0,0,120,0,"UP84","UP84","P","","")/[1]!NPVF2("MP","JSC","N",0.05,"M",$P32,$P32,CR$31,1,0,0,"UP84","UP84","P","",""),4)</f>
        <v>1.0074000000000001</v>
      </c>
      <c r="CS32" s="53">
        <f>ROUND([1]!NPVF2("MP","SLA","N",0.05,"M",$P32,$P32,0,0,120,0,"UP84","UP84","P","","")/[1]!NPVF2("MP","JSC","N",0.05,"M",$P32,$P32,CS$31,1,0,0,"UP84","UP84","P","",""),4)</f>
        <v>1.0098</v>
      </c>
      <c r="CT32" s="53">
        <f>ROUND([1]!NPVF2("MP","SLA","N",0.05,"M",$P32,$P32,0,0,120,0,"UP84","UP84","P","","")/[1]!NPVF2("MP","JSC","N",0.05,"M",$P32,$P32,CT$31,1,0,0,"UP84","UP84","P","",""),4)</f>
        <v>1.012</v>
      </c>
      <c r="CU32" s="53">
        <f>ROUND([1]!NPVF2("MP","SLA","N",0.05,"M",$P32,$P32,0,0,120,0,"UP84","UP84","P","","")/[1]!NPVF2("MP","JSC","N",0.05,"M",$P32,$P32,CU$31,1,0,0,"UP84","UP84","P","",""),4)</f>
        <v>1.014</v>
      </c>
      <c r="CV32" s="53">
        <f>ROUND([1]!NPVF2("MP","SLA","N",0.05,"M",$P32,$P32,0,0,120,0,"UP84","UP84","P","","")/[1]!NPVF2("MP","JSC","N",0.05,"M",$P32,$P32,CV$31,1,0,0,"UP84","UP84","P","",""),4)</f>
        <v>1.0159</v>
      </c>
      <c r="CW32" s="160">
        <f>ROUND([1]!NPVF2("MP","SLA","N",0.05,"M",$P32,$P32,0,0,120,0,"UP84","UP84","P","","")/[1]!NPVF2("MP","JSC","N",0.05,"M",$P32,$P32,CW$31,1,0,0,"UP84","UP84","P","",""),4)</f>
        <v>1.0176000000000001</v>
      </c>
      <c r="CX32" s="62"/>
      <c r="CY32" s="342"/>
      <c r="CZ32" s="340"/>
      <c r="DE32" s="184"/>
      <c r="DL32" t="s">
        <v>136</v>
      </c>
      <c r="DM32">
        <f>DCOUNT(Active_Vesteds,"PVPBL_ANN_RATES",All_Criteria)</f>
        <v>0</v>
      </c>
      <c r="DN32" t="s">
        <v>422</v>
      </c>
      <c r="DO32" s="46">
        <f>DSUM(Active_Vesteds,"PVMB_4022C_NO_LOAD",All_Criteria)</f>
        <v>0</v>
      </c>
      <c r="DP32" s="46">
        <f>DSUM(Active_Vesteds,"LOAD_4022C",All_Criteria)</f>
        <v>0</v>
      </c>
      <c r="DQ32" s="46">
        <f t="shared" si="6"/>
        <v>0</v>
      </c>
      <c r="DW32" s="93">
        <v>1936</v>
      </c>
      <c r="DX32" s="16">
        <v>33588</v>
      </c>
      <c r="DY32" s="47">
        <v>34188</v>
      </c>
      <c r="DZ32" s="47">
        <v>34728</v>
      </c>
      <c r="EA32" s="47">
        <v>35412</v>
      </c>
      <c r="EB32" s="47">
        <v>35532</v>
      </c>
      <c r="EC32" s="47">
        <v>35796</v>
      </c>
      <c r="ED32" s="47">
        <v>36180</v>
      </c>
      <c r="EE32" s="47">
        <v>36528</v>
      </c>
      <c r="EF32" s="47">
        <v>36888</v>
      </c>
      <c r="EG32" s="47">
        <v>37092</v>
      </c>
      <c r="EH32" s="47">
        <v>37212</v>
      </c>
      <c r="EI32" s="47">
        <v>37212</v>
      </c>
      <c r="EJ32" s="47">
        <v>37212</v>
      </c>
      <c r="EK32" s="208">
        <v>37212</v>
      </c>
      <c r="EN32" s="43">
        <v>1936</v>
      </c>
      <c r="EO32" s="106">
        <v>23856</v>
      </c>
      <c r="EP32" s="127">
        <v>25548</v>
      </c>
      <c r="EQ32" s="149">
        <v>26568</v>
      </c>
      <c r="ER32" s="127">
        <v>27396</v>
      </c>
      <c r="ES32" s="127">
        <v>28428</v>
      </c>
      <c r="ET32" s="127">
        <v>29148</v>
      </c>
      <c r="EU32" s="127">
        <v>29592</v>
      </c>
      <c r="EV32" s="41">
        <v>31800</v>
      </c>
      <c r="EW32" s="127">
        <v>32928</v>
      </c>
      <c r="EX32" s="202">
        <v>33588</v>
      </c>
      <c r="EY32" s="47">
        <v>34188</v>
      </c>
      <c r="EZ32" s="47">
        <v>34728</v>
      </c>
      <c r="FA32" s="47">
        <v>35412</v>
      </c>
      <c r="FB32" s="47">
        <v>35532</v>
      </c>
      <c r="FC32" s="47">
        <v>35796</v>
      </c>
      <c r="FD32" s="47">
        <v>36180</v>
      </c>
      <c r="FE32" s="47">
        <v>36528</v>
      </c>
      <c r="FF32" s="47">
        <v>36888</v>
      </c>
      <c r="FG32" s="47">
        <v>37092</v>
      </c>
      <c r="FH32" s="47">
        <v>37212</v>
      </c>
      <c r="FI32" s="47">
        <v>37212</v>
      </c>
      <c r="FJ32" s="47">
        <v>37212</v>
      </c>
      <c r="FK32" s="208">
        <v>37212</v>
      </c>
    </row>
    <row r="33" spans="1:167" ht="15.75">
      <c r="A33" s="164">
        <v>37</v>
      </c>
      <c r="B33" s="122">
        <v>0.17</v>
      </c>
      <c r="C33" s="62"/>
      <c r="D33" s="209">
        <f t="shared" si="0"/>
        <v>28</v>
      </c>
      <c r="E33" s="126">
        <f>[1]!PBGCLRF(65+D33/12)</f>
        <v>1.2533000000000001</v>
      </c>
      <c r="F33" s="62"/>
      <c r="G33" s="62"/>
      <c r="H33" s="62"/>
      <c r="I33" s="62"/>
      <c r="J33" s="19">
        <v>29</v>
      </c>
      <c r="K33" s="122">
        <f t="shared" si="1"/>
        <v>0.83888888888888946</v>
      </c>
      <c r="L33" s="62"/>
      <c r="M33" s="297">
        <v>29</v>
      </c>
      <c r="N33" s="122">
        <f>[1]!LRFAEQ(0.065,"M",65,M33,0,"GM71","GM71","MP","Y","N","",65)</f>
        <v>1.3269780628137771</v>
      </c>
      <c r="O33" s="62"/>
      <c r="P33" s="88">
        <v>56</v>
      </c>
      <c r="Q33" s="48">
        <v>0.6603</v>
      </c>
      <c r="R33" s="188">
        <v>0.66159999999999997</v>
      </c>
      <c r="S33" s="188">
        <v>0.66279999999999994</v>
      </c>
      <c r="T33" s="188">
        <v>0.66410000000000002</v>
      </c>
      <c r="U33" s="188">
        <v>0.66549999999999998</v>
      </c>
      <c r="V33" s="188">
        <v>0.66700000000000004</v>
      </c>
      <c r="W33" s="188">
        <v>0.66849999999999998</v>
      </c>
      <c r="X33" s="188">
        <v>0.67010000000000003</v>
      </c>
      <c r="Y33" s="188">
        <v>0.67169999999999996</v>
      </c>
      <c r="Z33" s="188">
        <v>0.67349999999999999</v>
      </c>
      <c r="AA33" s="188">
        <v>0.67530000000000001</v>
      </c>
      <c r="AB33" s="188">
        <v>0.67720000000000002</v>
      </c>
      <c r="AC33" s="188">
        <v>0.67920000000000003</v>
      </c>
      <c r="AD33" s="188">
        <v>0.68120000000000003</v>
      </c>
      <c r="AE33" s="188">
        <v>0.68340000000000001</v>
      </c>
      <c r="AF33" s="188">
        <v>0.68569999999999998</v>
      </c>
      <c r="AG33" s="188">
        <v>0.68769999999999998</v>
      </c>
      <c r="AH33" s="188">
        <v>0.68979999999999997</v>
      </c>
      <c r="AI33" s="188">
        <v>0.69210000000000005</v>
      </c>
      <c r="AJ33" s="188">
        <v>0.69450000000000001</v>
      </c>
      <c r="AK33" s="188">
        <v>0.69699999999999995</v>
      </c>
      <c r="AL33" s="188">
        <v>0.69969999999999999</v>
      </c>
      <c r="AM33" s="188">
        <v>0.70250000000000001</v>
      </c>
      <c r="AN33" s="188">
        <v>0.70540000000000003</v>
      </c>
      <c r="AO33" s="188">
        <v>0.70850000000000002</v>
      </c>
      <c r="AP33" s="188">
        <v>0.71179999999999999</v>
      </c>
      <c r="AQ33" s="188">
        <v>0.71519999999999995</v>
      </c>
      <c r="AR33" s="188">
        <v>0.71879999999999999</v>
      </c>
      <c r="AS33" s="188">
        <v>0.72250000000000003</v>
      </c>
      <c r="AT33" s="188">
        <v>0.72640000000000005</v>
      </c>
      <c r="AU33" s="188">
        <v>0.73050000000000004</v>
      </c>
      <c r="AV33" s="188">
        <v>0.73470000000000002</v>
      </c>
      <c r="AW33" s="188">
        <v>0.73919999999999997</v>
      </c>
      <c r="AX33" s="188">
        <v>0.74380000000000002</v>
      </c>
      <c r="AY33" s="188">
        <v>0.74850000000000005</v>
      </c>
      <c r="AZ33" s="188">
        <v>0.75349999999999995</v>
      </c>
      <c r="BA33" s="188">
        <v>0.75860000000000005</v>
      </c>
      <c r="BB33" s="188">
        <v>0.76390000000000002</v>
      </c>
      <c r="BC33" s="188">
        <v>0.76929999999999998</v>
      </c>
      <c r="BD33" s="188">
        <v>0.77490000000000003</v>
      </c>
      <c r="BE33" s="188">
        <v>0.78069999999999995</v>
      </c>
      <c r="BF33" s="188">
        <v>0.78659999999999997</v>
      </c>
      <c r="BG33" s="188">
        <v>0.79269999999999996</v>
      </c>
      <c r="BH33" s="188">
        <v>0.79900000000000004</v>
      </c>
      <c r="BI33" s="188">
        <v>0.8054</v>
      </c>
      <c r="BJ33" s="188">
        <v>0.81189999999999996</v>
      </c>
      <c r="BK33" s="188">
        <v>0.81850000000000001</v>
      </c>
      <c r="BL33" s="188">
        <v>0.82520000000000004</v>
      </c>
      <c r="BM33" s="188">
        <v>0.83209999999999995</v>
      </c>
      <c r="BN33" s="188">
        <v>0.83899999999999997</v>
      </c>
      <c r="BO33" s="188">
        <v>0.84599999999999997</v>
      </c>
      <c r="BP33" s="188">
        <v>0.85299999999999998</v>
      </c>
      <c r="BQ33" s="188">
        <v>0.86009999999999998</v>
      </c>
      <c r="BR33" s="188">
        <v>0.86719999999999997</v>
      </c>
      <c r="BS33" s="188">
        <v>0.87429999999999997</v>
      </c>
      <c r="BT33" s="188">
        <v>0.88129999999999997</v>
      </c>
      <c r="BU33" s="188">
        <v>0.88839999999999997</v>
      </c>
      <c r="BV33" s="188">
        <v>0.89539999999999997</v>
      </c>
      <c r="BW33" s="188">
        <v>0.90239999999999998</v>
      </c>
      <c r="BX33" s="188">
        <v>0.9093</v>
      </c>
      <c r="BY33" s="188">
        <v>0.91600000000000004</v>
      </c>
      <c r="BZ33" s="188">
        <v>0.92269999999999996</v>
      </c>
      <c r="CA33" s="188">
        <v>0.92920000000000003</v>
      </c>
      <c r="CB33" s="188">
        <v>0.9355</v>
      </c>
      <c r="CC33" s="188">
        <v>0.94169999999999998</v>
      </c>
      <c r="CD33" s="188">
        <v>0.94769999999999999</v>
      </c>
      <c r="CE33" s="188">
        <v>0.95340000000000003</v>
      </c>
      <c r="CF33" s="188">
        <v>0.95899999999999996</v>
      </c>
      <c r="CG33" s="188">
        <v>0.96430000000000005</v>
      </c>
      <c r="CH33" s="188">
        <v>0.96940000000000004</v>
      </c>
      <c r="CI33" s="188">
        <v>0.97440000000000004</v>
      </c>
      <c r="CJ33" s="188">
        <v>0.97909999999999997</v>
      </c>
      <c r="CK33" s="188">
        <v>0.98350000000000004</v>
      </c>
      <c r="CL33" s="188">
        <v>0.98780000000000001</v>
      </c>
      <c r="CM33" s="253">
        <v>0.99180000000000001</v>
      </c>
      <c r="CN33" s="188">
        <f>ROUND([1]!NPVF2("MP","SLA","N",0.05,"M",$P33,$P33,0,0,120,0,"UP84","UP84","P","","")/[1]!NPVF2("MP","JSC","N",0.05,"M",$P33,$P33,CN$31,1,0,0,"UP84","UP84","P","",""),4)</f>
        <v>0.99560000000000004</v>
      </c>
      <c r="CO33" s="188">
        <f>ROUND([1]!NPVF2("MP","SLA","N",0.05,"M",$P33,$P33,0,0,120,0,"UP84","UP84","P","","")/[1]!NPVF2("MP","JSC","N",0.05,"M",$P33,$P33,CO$31,1,0,0,"UP84","UP84","P","",""),4)</f>
        <v>0.99909999999999999</v>
      </c>
      <c r="CP33" s="188">
        <f>ROUND([1]!NPVF2("MP","SLA","N",0.05,"M",$P33,$P33,0,0,120,0,"UP84","UP84","P","","")/[1]!NPVF2("MP","JSC","N",0.05,"M",$P33,$P33,CP$31,1,0,0,"UP84","UP84","P","",""),4)</f>
        <v>1.0024</v>
      </c>
      <c r="CQ33" s="188">
        <f>ROUND([1]!NPVF2("MP","SLA","N",0.05,"M",$P33,$P33,0,0,120,0,"UP84","UP84","P","","")/[1]!NPVF2("MP","JSC","N",0.05,"M",$P33,$P33,CQ$31,1,0,0,"UP84","UP84","P","",""),4)</f>
        <v>1.0054000000000001</v>
      </c>
      <c r="CR33" s="188">
        <f>ROUND([1]!NPVF2("MP","SLA","N",0.05,"M",$P33,$P33,0,0,120,0,"UP84","UP84","P","","")/[1]!NPVF2("MP","JSC","N",0.05,"M",$P33,$P33,CR$31,1,0,0,"UP84","UP84","P","",""),4)</f>
        <v>1.0083</v>
      </c>
      <c r="CS33" s="188">
        <f>ROUND([1]!NPVF2("MP","SLA","N",0.05,"M",$P33,$P33,0,0,120,0,"UP84","UP84","P","","")/[1]!NPVF2("MP","JSC","N",0.05,"M",$P33,$P33,CS$31,1,0,0,"UP84","UP84","P","",""),4)</f>
        <v>1.0108999999999999</v>
      </c>
      <c r="CT33" s="188">
        <f>ROUND([1]!NPVF2("MP","SLA","N",0.05,"M",$P33,$P33,0,0,120,0,"UP84","UP84","P","","")/[1]!NPVF2("MP","JSC","N",0.05,"M",$P33,$P33,CT$31,1,0,0,"UP84","UP84","P","",""),4)</f>
        <v>1.0134000000000001</v>
      </c>
      <c r="CU33" s="188">
        <f>ROUND([1]!NPVF2("MP","SLA","N",0.05,"M",$P33,$P33,0,0,120,0,"UP84","UP84","P","","")/[1]!NPVF2("MP","JSC","N",0.05,"M",$P33,$P33,CU$31,1,0,0,"UP84","UP84","P","",""),4)</f>
        <v>1.0156000000000001</v>
      </c>
      <c r="CV33" s="188">
        <f>ROUND([1]!NPVF2("MP","SLA","N",0.05,"M",$P33,$P33,0,0,120,0,"UP84","UP84","P","","")/[1]!NPVF2("MP","JSC","N",0.05,"M",$P33,$P33,CV$31,1,0,0,"UP84","UP84","P","",""),4)</f>
        <v>1.0177</v>
      </c>
      <c r="CW33" s="122">
        <f>ROUND([1]!NPVF2("MP","SLA","N",0.05,"M",$P33,$P33,0,0,120,0,"UP84","UP84","P","","")/[1]!NPVF2("MP","JSC","N",0.05,"M",$P33,$P33,CW$31,1,0,0,"UP84","UP84","P","",""),4)</f>
        <v>1.0196000000000001</v>
      </c>
      <c r="CX33" s="62"/>
      <c r="CY33" s="150"/>
      <c r="DL33" t="s">
        <v>352</v>
      </c>
      <c r="DM33">
        <f>DCOUNT(Separated_Vesteds,"PVPBL_ANN_RATES",All_Criteria)</f>
        <v>0</v>
      </c>
      <c r="DN33" t="s">
        <v>422</v>
      </c>
      <c r="DO33" s="46">
        <f>DSUM(Separated_Vesteds,"PVMB_4022C_NO_LOAD",All_Criteria)</f>
        <v>0</v>
      </c>
      <c r="DP33" s="46">
        <f>DSUM(Separated_Vesteds,"LOAD_4022C",All_Criteria)</f>
        <v>0</v>
      </c>
      <c r="DQ33" s="46">
        <f t="shared" si="6"/>
        <v>0</v>
      </c>
      <c r="DW33" s="93">
        <v>1937</v>
      </c>
      <c r="DX33" s="16">
        <v>34932</v>
      </c>
      <c r="DY33" s="47">
        <v>35592</v>
      </c>
      <c r="DZ33" s="47">
        <v>36192</v>
      </c>
      <c r="EA33" s="47">
        <v>36960</v>
      </c>
      <c r="EB33" s="47">
        <v>37092</v>
      </c>
      <c r="EC33" s="47">
        <v>37392</v>
      </c>
      <c r="ED33" s="47">
        <v>37860</v>
      </c>
      <c r="EE33" s="47">
        <v>38292</v>
      </c>
      <c r="EF33" s="47">
        <v>38772</v>
      </c>
      <c r="EG33" s="47">
        <v>39072</v>
      </c>
      <c r="EH33" s="47">
        <v>39312</v>
      </c>
      <c r="EI33" s="47">
        <v>39444</v>
      </c>
      <c r="EJ33" s="47">
        <v>39444</v>
      </c>
      <c r="EK33" s="208">
        <v>39444</v>
      </c>
      <c r="EN33" s="43">
        <v>1937</v>
      </c>
      <c r="EO33" s="106">
        <v>24588</v>
      </c>
      <c r="EP33" s="127">
        <v>26388</v>
      </c>
      <c r="EQ33" s="149">
        <v>27468</v>
      </c>
      <c r="ER33" s="127">
        <v>28332</v>
      </c>
      <c r="ES33" s="127">
        <v>29436</v>
      </c>
      <c r="ET33" s="127">
        <v>30204</v>
      </c>
      <c r="EU33" s="127">
        <v>30684</v>
      </c>
      <c r="EV33" s="41">
        <v>32988</v>
      </c>
      <c r="EW33" s="127">
        <v>34212</v>
      </c>
      <c r="EX33" s="202">
        <v>34932</v>
      </c>
      <c r="EY33" s="47">
        <v>35592</v>
      </c>
      <c r="EZ33" s="47">
        <v>36192</v>
      </c>
      <c r="FA33" s="47">
        <v>36960</v>
      </c>
      <c r="FB33" s="47">
        <v>37092</v>
      </c>
      <c r="FC33" s="47">
        <v>37392</v>
      </c>
      <c r="FD33" s="47">
        <v>37860</v>
      </c>
      <c r="FE33" s="47">
        <v>38292</v>
      </c>
      <c r="FF33" s="47">
        <v>38772</v>
      </c>
      <c r="FG33" s="47">
        <v>39072</v>
      </c>
      <c r="FH33" s="47">
        <v>39312</v>
      </c>
      <c r="FI33" s="47">
        <v>39444</v>
      </c>
      <c r="FJ33" s="47">
        <v>39444</v>
      </c>
      <c r="FK33" s="208">
        <v>39444</v>
      </c>
    </row>
    <row r="34" spans="1:167" ht="15.75">
      <c r="A34" s="19">
        <v>36</v>
      </c>
      <c r="B34" s="122">
        <v>0.16</v>
      </c>
      <c r="C34" s="62"/>
      <c r="D34" s="209">
        <f t="shared" si="0"/>
        <v>29</v>
      </c>
      <c r="E34" s="126">
        <f>[1]!PBGCLRF(65+D34/12)</f>
        <v>1.2642</v>
      </c>
      <c r="F34" s="62"/>
      <c r="G34" s="62"/>
      <c r="H34" s="62"/>
      <c r="I34" s="62"/>
      <c r="J34" s="19">
        <v>30</v>
      </c>
      <c r="K34" s="122">
        <f t="shared" si="1"/>
        <v>0.83333333333333393</v>
      </c>
      <c r="L34" s="62"/>
      <c r="M34" s="297">
        <v>30</v>
      </c>
      <c r="N34" s="122">
        <f>[1]!LRFAEQ(0.065,"M",65,M34,0,"GM71","GM71","MP","Y","N","",65)</f>
        <v>1.3404537458039314</v>
      </c>
      <c r="O34" s="62"/>
      <c r="P34" s="88">
        <v>57</v>
      </c>
      <c r="Q34" s="48">
        <v>0.64880000000000004</v>
      </c>
      <c r="R34" s="188">
        <v>0.65</v>
      </c>
      <c r="S34" s="188">
        <v>0.65129999999999999</v>
      </c>
      <c r="T34" s="188">
        <v>0.65259999999999996</v>
      </c>
      <c r="U34" s="188">
        <v>0.65390000000000004</v>
      </c>
      <c r="V34" s="188">
        <v>0.65539999999999998</v>
      </c>
      <c r="W34" s="188">
        <v>0.65690000000000004</v>
      </c>
      <c r="X34" s="188">
        <v>0.65839999999999999</v>
      </c>
      <c r="Y34" s="188">
        <v>0.66010000000000002</v>
      </c>
      <c r="Z34" s="188">
        <v>0.66180000000000005</v>
      </c>
      <c r="AA34" s="188">
        <v>0.66359999999999997</v>
      </c>
      <c r="AB34" s="188">
        <v>0.66549999999999998</v>
      </c>
      <c r="AC34" s="188">
        <v>0.66739999999999999</v>
      </c>
      <c r="AD34" s="188">
        <v>0.66949999999999998</v>
      </c>
      <c r="AE34" s="188">
        <v>0.67159999999999997</v>
      </c>
      <c r="AF34" s="188">
        <v>0.67390000000000005</v>
      </c>
      <c r="AG34" s="188">
        <v>0.67589999999999995</v>
      </c>
      <c r="AH34" s="188">
        <v>0.67800000000000005</v>
      </c>
      <c r="AI34" s="188">
        <v>0.68020000000000003</v>
      </c>
      <c r="AJ34" s="188">
        <v>0.68259999999999998</v>
      </c>
      <c r="AK34" s="188">
        <v>0.68510000000000004</v>
      </c>
      <c r="AL34" s="188">
        <v>0.68769999999999998</v>
      </c>
      <c r="AM34" s="188">
        <v>0.6905</v>
      </c>
      <c r="AN34" s="188">
        <v>0.69340000000000002</v>
      </c>
      <c r="AO34" s="188">
        <v>0.69650000000000001</v>
      </c>
      <c r="AP34" s="188">
        <v>0.69979999999999998</v>
      </c>
      <c r="AQ34" s="188">
        <v>0.70320000000000005</v>
      </c>
      <c r="AR34" s="188">
        <v>0.70669999999999999</v>
      </c>
      <c r="AS34" s="188">
        <v>0.71050000000000002</v>
      </c>
      <c r="AT34" s="188">
        <v>0.71440000000000003</v>
      </c>
      <c r="AU34" s="188">
        <v>0.71840000000000004</v>
      </c>
      <c r="AV34" s="188">
        <v>0.72270000000000001</v>
      </c>
      <c r="AW34" s="188">
        <v>0.72709999999999997</v>
      </c>
      <c r="AX34" s="188">
        <v>0.73170000000000002</v>
      </c>
      <c r="AY34" s="188">
        <v>0.73650000000000004</v>
      </c>
      <c r="AZ34" s="188">
        <v>0.74150000000000005</v>
      </c>
      <c r="BA34" s="188">
        <v>0.74660000000000004</v>
      </c>
      <c r="BB34" s="188">
        <v>0.752</v>
      </c>
      <c r="BC34" s="188">
        <v>0.75749999999999995</v>
      </c>
      <c r="BD34" s="188">
        <v>0.76319999999999999</v>
      </c>
      <c r="BE34" s="188">
        <v>0.76900000000000002</v>
      </c>
      <c r="BF34" s="188">
        <v>0.77500000000000002</v>
      </c>
      <c r="BG34" s="188">
        <v>0.78120000000000001</v>
      </c>
      <c r="BH34" s="188">
        <v>0.78759999999999997</v>
      </c>
      <c r="BI34" s="188">
        <v>0.79410000000000003</v>
      </c>
      <c r="BJ34" s="188">
        <v>0.80079999999999996</v>
      </c>
      <c r="BK34" s="188">
        <v>0.80759999999999998</v>
      </c>
      <c r="BL34" s="188">
        <v>0.8145</v>
      </c>
      <c r="BM34" s="188">
        <v>0.82150000000000001</v>
      </c>
      <c r="BN34" s="188">
        <v>0.82869999999999999</v>
      </c>
      <c r="BO34" s="188">
        <v>0.83589999999999998</v>
      </c>
      <c r="BP34" s="188">
        <v>0.84319999999999995</v>
      </c>
      <c r="BQ34" s="188">
        <v>0.85050000000000003</v>
      </c>
      <c r="BR34" s="188">
        <v>0.8579</v>
      </c>
      <c r="BS34" s="188">
        <v>0.86539999999999995</v>
      </c>
      <c r="BT34" s="188">
        <v>0.87280000000000002</v>
      </c>
      <c r="BU34" s="188">
        <v>0.88019999999999998</v>
      </c>
      <c r="BV34" s="188">
        <v>0.88759999999999994</v>
      </c>
      <c r="BW34" s="188">
        <v>0.89490000000000003</v>
      </c>
      <c r="BX34" s="188">
        <v>0.9022</v>
      </c>
      <c r="BY34" s="188">
        <v>0.90939999999999999</v>
      </c>
      <c r="BZ34" s="188">
        <v>0.91649999999999998</v>
      </c>
      <c r="CA34" s="188">
        <v>0.9234</v>
      </c>
      <c r="CB34" s="188">
        <v>0.93020000000000003</v>
      </c>
      <c r="CC34" s="188">
        <v>0.93679999999999997</v>
      </c>
      <c r="CD34" s="188">
        <v>0.94320000000000004</v>
      </c>
      <c r="CE34" s="188">
        <v>0.94940000000000002</v>
      </c>
      <c r="CF34" s="188">
        <v>0.95540000000000003</v>
      </c>
      <c r="CG34" s="188">
        <v>0.96120000000000005</v>
      </c>
      <c r="CH34" s="188">
        <v>0.9667</v>
      </c>
      <c r="CI34" s="188">
        <v>0.97209999999999996</v>
      </c>
      <c r="CJ34" s="188">
        <v>0.97719999999999996</v>
      </c>
      <c r="CK34" s="188">
        <v>0.98209999999999997</v>
      </c>
      <c r="CL34" s="188">
        <v>0.98680000000000001</v>
      </c>
      <c r="CM34" s="253">
        <v>0.99109999999999998</v>
      </c>
      <c r="CN34" s="188">
        <f>ROUND([1]!NPVF2("MP","SLA","N",0.05,"M",$P34,$P34,0,0,120,0,"UP84","UP84","P","","")/[1]!NPVF2("MP","JSC","N",0.05,"M",$P34,$P34,CN$31,1,0,0,"UP84","UP84","P","",""),4)</f>
        <v>0.99529999999999996</v>
      </c>
      <c r="CO34" s="188">
        <f>ROUND([1]!NPVF2("MP","SLA","N",0.05,"M",$P34,$P34,0,0,120,0,"UP84","UP84","P","","")/[1]!NPVF2("MP","JSC","N",0.05,"M",$P34,$P34,CO$31,1,0,0,"UP84","UP84","P","",""),4)</f>
        <v>0.99909999999999999</v>
      </c>
      <c r="CP34" s="188">
        <f>ROUND([1]!NPVF2("MP","SLA","N",0.05,"M",$P34,$P34,0,0,120,0,"UP84","UP84","P","","")/[1]!NPVF2("MP","JSC","N",0.05,"M",$P34,$P34,CP$31,1,0,0,"UP84","UP84","P","",""),4)</f>
        <v>1.0027999999999999</v>
      </c>
      <c r="CQ34" s="188">
        <f>ROUND([1]!NPVF2("MP","SLA","N",0.05,"M",$P34,$P34,0,0,120,0,"UP84","UP84","P","","")/[1]!NPVF2("MP","JSC","N",0.05,"M",$P34,$P34,CQ$31,1,0,0,"UP84","UP84","P","",""),4)</f>
        <v>1.0062</v>
      </c>
      <c r="CR34" s="188">
        <f>ROUND([1]!NPVF2("MP","SLA","N",0.05,"M",$P34,$P34,0,0,120,0,"UP84","UP84","P","","")/[1]!NPVF2("MP","JSC","N",0.05,"M",$P34,$P34,CR$31,1,0,0,"UP84","UP84","P","",""),4)</f>
        <v>1.0093000000000001</v>
      </c>
      <c r="CS34" s="188">
        <f>ROUND([1]!NPVF2("MP","SLA","N",0.05,"M",$P34,$P34,0,0,120,0,"UP84","UP84","P","","")/[1]!NPVF2("MP","JSC","N",0.05,"M",$P34,$P34,CS$31,1,0,0,"UP84","UP84","P","",""),4)</f>
        <v>1.0122</v>
      </c>
      <c r="CT34" s="188">
        <f>ROUND([1]!NPVF2("MP","SLA","N",0.05,"M",$P34,$P34,0,0,120,0,"UP84","UP84","P","","")/[1]!NPVF2("MP","JSC","N",0.05,"M",$P34,$P34,CT$31,1,0,0,"UP84","UP84","P","",""),4)</f>
        <v>1.0148999999999999</v>
      </c>
      <c r="CU34" s="188">
        <f>ROUND([1]!NPVF2("MP","SLA","N",0.05,"M",$P34,$P34,0,0,120,0,"UP84","UP84","P","","")/[1]!NPVF2("MP","JSC","N",0.05,"M",$P34,$P34,CU$31,1,0,0,"UP84","UP84","P","",""),4)</f>
        <v>1.0174000000000001</v>
      </c>
      <c r="CV34" s="188">
        <f>ROUND([1]!NPVF2("MP","SLA","N",0.05,"M",$P34,$P34,0,0,120,0,"UP84","UP84","P","","")/[1]!NPVF2("MP","JSC","N",0.05,"M",$P34,$P34,CV$31,1,0,0,"UP84","UP84","P","",""),4)</f>
        <v>1.0197000000000001</v>
      </c>
      <c r="CW34" s="122">
        <f>ROUND([1]!NPVF2("MP","SLA","N",0.05,"M",$P34,$P34,0,0,120,0,"UP84","UP84","P","","")/[1]!NPVF2("MP","JSC","N",0.05,"M",$P34,$P34,CW$31,1,0,0,"UP84","UP84","P","",""),4)</f>
        <v>1.0218</v>
      </c>
      <c r="CX34" s="62"/>
      <c r="CY34" s="150"/>
      <c r="DL34" t="s">
        <v>404</v>
      </c>
      <c r="DM34">
        <v>0</v>
      </c>
      <c r="DN34" t="s">
        <v>422</v>
      </c>
      <c r="DO34" s="46">
        <v>0</v>
      </c>
      <c r="DP34" s="46">
        <v>0</v>
      </c>
      <c r="DQ34" s="46">
        <f t="shared" si="6"/>
        <v>0</v>
      </c>
      <c r="DW34" s="93">
        <v>1938</v>
      </c>
      <c r="DX34" s="16">
        <v>37536</v>
      </c>
      <c r="DY34" s="47">
        <v>38316</v>
      </c>
      <c r="DZ34" s="47">
        <v>39036</v>
      </c>
      <c r="EA34" s="47">
        <v>39972</v>
      </c>
      <c r="EB34" s="47">
        <v>40152</v>
      </c>
      <c r="EC34" s="47">
        <v>40536</v>
      </c>
      <c r="ED34" s="47">
        <v>41148</v>
      </c>
      <c r="EE34" s="47">
        <v>41748</v>
      </c>
      <c r="EF34" s="47">
        <v>42468</v>
      </c>
      <c r="EG34" s="47">
        <v>42984</v>
      </c>
      <c r="EH34" s="47">
        <v>43464</v>
      </c>
      <c r="EI34" s="47">
        <v>43848</v>
      </c>
      <c r="EJ34" s="47">
        <v>43968</v>
      </c>
      <c r="EK34" s="208">
        <v>43992</v>
      </c>
      <c r="EN34" s="43">
        <v>1938</v>
      </c>
      <c r="EO34" s="106">
        <v>25332</v>
      </c>
      <c r="EP34" s="127">
        <v>27216</v>
      </c>
      <c r="EQ34" s="149">
        <v>28356</v>
      </c>
      <c r="ER34" s="127">
        <v>29280</v>
      </c>
      <c r="ES34" s="127">
        <v>30444</v>
      </c>
      <c r="ET34" s="127">
        <v>31272</v>
      </c>
      <c r="EU34" s="127">
        <v>31788</v>
      </c>
      <c r="EV34" s="41">
        <v>35280</v>
      </c>
      <c r="EW34" s="127">
        <v>36696</v>
      </c>
      <c r="EX34" s="202">
        <v>37536</v>
      </c>
      <c r="EY34" s="47">
        <v>38316</v>
      </c>
      <c r="EZ34" s="47">
        <v>39036</v>
      </c>
      <c r="FA34" s="47">
        <v>39972</v>
      </c>
      <c r="FB34" s="47">
        <v>40152</v>
      </c>
      <c r="FC34" s="47">
        <v>40536</v>
      </c>
      <c r="FD34" s="47">
        <v>41148</v>
      </c>
      <c r="FE34" s="47">
        <v>41748</v>
      </c>
      <c r="FF34" s="47">
        <v>42468</v>
      </c>
      <c r="FG34" s="47">
        <v>42984</v>
      </c>
      <c r="FH34" s="47">
        <v>43464</v>
      </c>
      <c r="FI34" s="47">
        <v>43848</v>
      </c>
      <c r="FJ34" s="47">
        <v>43968</v>
      </c>
      <c r="FK34" s="208">
        <v>43992</v>
      </c>
    </row>
    <row r="35" spans="1:167" ht="15.75">
      <c r="A35" s="164">
        <v>35</v>
      </c>
      <c r="B35" s="122">
        <v>0.15</v>
      </c>
      <c r="C35" s="62"/>
      <c r="D35" s="209">
        <f t="shared" si="0"/>
        <v>30</v>
      </c>
      <c r="E35" s="126">
        <f>[1]!PBGCLRF(65+D35/12)</f>
        <v>1.2749999999999999</v>
      </c>
      <c r="F35" s="62"/>
      <c r="G35" s="62"/>
      <c r="H35" s="62"/>
      <c r="I35" s="62"/>
      <c r="J35" s="19">
        <v>31</v>
      </c>
      <c r="K35" s="122">
        <f t="shared" si="1"/>
        <v>0.82777777777777839</v>
      </c>
      <c r="L35" s="62"/>
      <c r="M35" s="297">
        <v>31</v>
      </c>
      <c r="N35" s="122">
        <f>[1]!LRFAEQ(0.065,"M",65,M35,0,"GM71","GM71","MP","Y","N","",65)</f>
        <v>1.3539294287940857</v>
      </c>
      <c r="O35" s="62"/>
      <c r="P35" s="88">
        <v>58</v>
      </c>
      <c r="Q35" s="48">
        <v>0.63719999999999999</v>
      </c>
      <c r="R35" s="188">
        <v>0.63839999999999997</v>
      </c>
      <c r="S35" s="188">
        <v>0.63959999999999995</v>
      </c>
      <c r="T35" s="188">
        <v>0.64090000000000003</v>
      </c>
      <c r="U35" s="188">
        <v>0.64229999999999998</v>
      </c>
      <c r="V35" s="188">
        <v>0.64370000000000005</v>
      </c>
      <c r="W35" s="188">
        <v>0.6452</v>
      </c>
      <c r="X35" s="188">
        <v>0.64680000000000004</v>
      </c>
      <c r="Y35" s="188">
        <v>0.64839999999999998</v>
      </c>
      <c r="Z35" s="188">
        <v>0.65010000000000001</v>
      </c>
      <c r="AA35" s="188">
        <v>0.65190000000000003</v>
      </c>
      <c r="AB35" s="188">
        <v>0.65369999999999995</v>
      </c>
      <c r="AC35" s="188">
        <v>0.65569999999999995</v>
      </c>
      <c r="AD35" s="188">
        <v>0.65769999999999995</v>
      </c>
      <c r="AE35" s="188">
        <v>0.65980000000000005</v>
      </c>
      <c r="AF35" s="188">
        <v>0.66200000000000003</v>
      </c>
      <c r="AG35" s="188">
        <v>0.66400000000000003</v>
      </c>
      <c r="AH35" s="188">
        <v>0.66610000000000003</v>
      </c>
      <c r="AI35" s="188">
        <v>0.66830000000000001</v>
      </c>
      <c r="AJ35" s="188">
        <v>0.67059999999999997</v>
      </c>
      <c r="AK35" s="188">
        <v>0.67310000000000003</v>
      </c>
      <c r="AL35" s="188">
        <v>0.67569999999999997</v>
      </c>
      <c r="AM35" s="188">
        <v>0.67849999999999999</v>
      </c>
      <c r="AN35" s="188">
        <v>0.68140000000000001</v>
      </c>
      <c r="AO35" s="188">
        <v>0.68440000000000001</v>
      </c>
      <c r="AP35" s="188">
        <v>0.68769999999999998</v>
      </c>
      <c r="AQ35" s="188">
        <v>0.69099999999999995</v>
      </c>
      <c r="AR35" s="188">
        <v>0.6946</v>
      </c>
      <c r="AS35" s="188">
        <v>0.69830000000000003</v>
      </c>
      <c r="AT35" s="188">
        <v>0.70220000000000005</v>
      </c>
      <c r="AU35" s="188">
        <v>0.70630000000000004</v>
      </c>
      <c r="AV35" s="188">
        <v>0.71050000000000002</v>
      </c>
      <c r="AW35" s="188">
        <v>0.71489999999999998</v>
      </c>
      <c r="AX35" s="188">
        <v>0.71960000000000002</v>
      </c>
      <c r="AY35" s="188">
        <v>0.72440000000000004</v>
      </c>
      <c r="AZ35" s="188">
        <v>0.72940000000000005</v>
      </c>
      <c r="BA35" s="188">
        <v>0.73450000000000004</v>
      </c>
      <c r="BB35" s="188">
        <v>0.7399</v>
      </c>
      <c r="BC35" s="188">
        <v>0.74550000000000005</v>
      </c>
      <c r="BD35" s="188">
        <v>0.75119999999999998</v>
      </c>
      <c r="BE35" s="188">
        <v>0.7571</v>
      </c>
      <c r="BF35" s="188">
        <v>0.76329999999999998</v>
      </c>
      <c r="BG35" s="188">
        <v>0.76949999999999996</v>
      </c>
      <c r="BH35" s="188">
        <v>0.77600000000000002</v>
      </c>
      <c r="BI35" s="188">
        <v>0.78269999999999995</v>
      </c>
      <c r="BJ35" s="188">
        <v>0.78949999999999998</v>
      </c>
      <c r="BK35" s="188">
        <v>0.7964</v>
      </c>
      <c r="BL35" s="188">
        <v>0.80349999999999999</v>
      </c>
      <c r="BM35" s="188">
        <v>0.81069999999999998</v>
      </c>
      <c r="BN35" s="188">
        <v>0.81810000000000005</v>
      </c>
      <c r="BO35" s="188">
        <v>0.82550000000000001</v>
      </c>
      <c r="BP35" s="188">
        <v>0.83309999999999995</v>
      </c>
      <c r="BQ35" s="188">
        <v>0.8407</v>
      </c>
      <c r="BR35" s="188">
        <v>0.84840000000000004</v>
      </c>
      <c r="BS35" s="188">
        <v>0.85609999999999997</v>
      </c>
      <c r="BT35" s="188">
        <v>0.8639</v>
      </c>
      <c r="BU35" s="188">
        <v>0.87170000000000003</v>
      </c>
      <c r="BV35" s="188">
        <v>0.87939999999999996</v>
      </c>
      <c r="BW35" s="188">
        <v>0.8871</v>
      </c>
      <c r="BX35" s="188">
        <v>0.89480000000000004</v>
      </c>
      <c r="BY35" s="188">
        <v>0.90239999999999998</v>
      </c>
      <c r="BZ35" s="188">
        <v>0.90990000000000004</v>
      </c>
      <c r="CA35" s="188">
        <v>0.9173</v>
      </c>
      <c r="CB35" s="188">
        <v>0.92449999999999999</v>
      </c>
      <c r="CC35" s="188">
        <v>0.93159999999999998</v>
      </c>
      <c r="CD35" s="188">
        <v>0.9385</v>
      </c>
      <c r="CE35" s="188">
        <v>0.94520000000000004</v>
      </c>
      <c r="CF35" s="188">
        <v>0.9516</v>
      </c>
      <c r="CG35" s="188">
        <v>0.95789999999999997</v>
      </c>
      <c r="CH35" s="188">
        <v>0.96389999999999998</v>
      </c>
      <c r="CI35" s="188">
        <v>0.96970000000000001</v>
      </c>
      <c r="CJ35" s="188">
        <v>0.97529999999999994</v>
      </c>
      <c r="CK35" s="188">
        <v>0.98060000000000003</v>
      </c>
      <c r="CL35" s="188">
        <v>0.98570000000000002</v>
      </c>
      <c r="CM35" s="253">
        <v>0.99050000000000005</v>
      </c>
      <c r="CN35" s="188">
        <f>ROUND([1]!NPVF2("MP","SLA","N",0.05,"M",$P35,$P35,0,0,120,0,"UP84","UP84","P","","")/[1]!NPVF2("MP","JSC","N",0.05,"M",$P35,$P35,CN$31,1,0,0,"UP84","UP84","P","",""),4)</f>
        <v>0.995</v>
      </c>
      <c r="CO35" s="188">
        <f>ROUND([1]!NPVF2("MP","SLA","N",0.05,"M",$P35,$P35,0,0,120,0,"UP84","UP84","P","","")/[1]!NPVF2("MP","JSC","N",0.05,"M",$P35,$P35,CO$31,1,0,0,"UP84","UP84","P","",""),4)</f>
        <v>0.99929999999999997</v>
      </c>
      <c r="CP35" s="188">
        <f>ROUND([1]!NPVF2("MP","SLA","N",0.05,"M",$P35,$P35,0,0,120,0,"UP84","UP84","P","","")/[1]!NPVF2("MP","JSC","N",0.05,"M",$P35,$P35,CP$31,1,0,0,"UP84","UP84","P","",""),4)</f>
        <v>1.0033000000000001</v>
      </c>
      <c r="CQ35" s="188">
        <f>ROUND([1]!NPVF2("MP","SLA","N",0.05,"M",$P35,$P35,0,0,120,0,"UP84","UP84","P","","")/[1]!NPVF2("MP","JSC","N",0.05,"M",$P35,$P35,CQ$31,1,0,0,"UP84","UP84","P","",""),4)</f>
        <v>1.0069999999999999</v>
      </c>
      <c r="CR35" s="188">
        <f>ROUND([1]!NPVF2("MP","SLA","N",0.05,"M",$P35,$P35,0,0,120,0,"UP84","UP84","P","","")/[1]!NPVF2("MP","JSC","N",0.05,"M",$P35,$P35,CR$31,1,0,0,"UP84","UP84","P","",""),4)</f>
        <v>1.0105</v>
      </c>
      <c r="CS35" s="188">
        <f>ROUND([1]!NPVF2("MP","SLA","N",0.05,"M",$P35,$P35,0,0,120,0,"UP84","UP84","P","","")/[1]!NPVF2("MP","JSC","N",0.05,"M",$P35,$P35,CS$31,1,0,0,"UP84","UP84","P","",""),4)</f>
        <v>1.0137</v>
      </c>
      <c r="CT35" s="188">
        <f>ROUND([1]!NPVF2("MP","SLA","N",0.05,"M",$P35,$P35,0,0,120,0,"UP84","UP84","P","","")/[1]!NPVF2("MP","JSC","N",0.05,"M",$P35,$P35,CT$31,1,0,0,"UP84","UP84","P","",""),4)</f>
        <v>1.0166999999999999</v>
      </c>
      <c r="CU35" s="188">
        <f>ROUND([1]!NPVF2("MP","SLA","N",0.05,"M",$P35,$P35,0,0,120,0,"UP84","UP84","P","","")/[1]!NPVF2("MP","JSC","N",0.05,"M",$P35,$P35,CU$31,1,0,0,"UP84","UP84","P","",""),4)</f>
        <v>1.0194000000000001</v>
      </c>
      <c r="CV35" s="188">
        <f>ROUND([1]!NPVF2("MP","SLA","N",0.05,"M",$P35,$P35,0,0,120,0,"UP84","UP84","P","","")/[1]!NPVF2("MP","JSC","N",0.05,"M",$P35,$P35,CV$31,1,0,0,"UP84","UP84","P","",""),4)</f>
        <v>1.022</v>
      </c>
      <c r="CW35" s="122">
        <f>ROUND([1]!NPVF2("MP","SLA","N",0.05,"M",$P35,$P35,0,0,120,0,"UP84","UP84","P","","")/[1]!NPVF2("MP","JSC","N",0.05,"M",$P35,$P35,CW$31,1,0,0,"UP84","UP84","P","",""),4)</f>
        <v>1.0243</v>
      </c>
      <c r="CX35" s="62"/>
      <c r="CY35" s="150"/>
      <c r="DL35" t="s">
        <v>125</v>
      </c>
      <c r="DM35">
        <v>0</v>
      </c>
      <c r="DN35" t="s">
        <v>422</v>
      </c>
      <c r="DO35" s="46">
        <v>0</v>
      </c>
      <c r="DP35" s="46">
        <v>0</v>
      </c>
      <c r="DQ35" s="46">
        <f t="shared" si="6"/>
        <v>0</v>
      </c>
      <c r="DR35" s="46"/>
      <c r="DW35" s="93">
        <v>1939</v>
      </c>
      <c r="DX35" s="16">
        <v>38832</v>
      </c>
      <c r="DY35" s="47">
        <v>39672</v>
      </c>
      <c r="DZ35" s="47">
        <v>40452</v>
      </c>
      <c r="EA35" s="47">
        <v>41484</v>
      </c>
      <c r="EB35" s="47">
        <v>41676</v>
      </c>
      <c r="EC35" s="47">
        <v>42108</v>
      </c>
      <c r="ED35" s="47">
        <v>42792</v>
      </c>
      <c r="EE35" s="47">
        <v>43488</v>
      </c>
      <c r="EF35" s="47">
        <v>44328</v>
      </c>
      <c r="EG35" s="47">
        <v>44940</v>
      </c>
      <c r="EH35" s="47">
        <v>45540</v>
      </c>
      <c r="EI35" s="47">
        <v>46056</v>
      </c>
      <c r="EJ35" s="47">
        <v>46236</v>
      </c>
      <c r="EK35" s="208">
        <v>46284</v>
      </c>
      <c r="EN35" s="43">
        <v>1939</v>
      </c>
      <c r="EO35" s="106">
        <v>26028</v>
      </c>
      <c r="EP35" s="127">
        <v>28008</v>
      </c>
      <c r="EQ35" s="149">
        <v>29208</v>
      </c>
      <c r="ER35" s="127">
        <v>30192</v>
      </c>
      <c r="ES35" s="127">
        <v>31428</v>
      </c>
      <c r="ET35" s="127">
        <v>32292</v>
      </c>
      <c r="EU35" s="127">
        <v>32844</v>
      </c>
      <c r="EV35" s="41">
        <v>36432</v>
      </c>
      <c r="EW35" s="127">
        <v>37932</v>
      </c>
      <c r="EX35" s="202">
        <v>38832</v>
      </c>
      <c r="EY35" s="47">
        <v>39672</v>
      </c>
      <c r="EZ35" s="47">
        <v>40452</v>
      </c>
      <c r="FA35" s="47">
        <v>41484</v>
      </c>
      <c r="FB35" s="47">
        <v>41676</v>
      </c>
      <c r="FC35" s="47">
        <v>42108</v>
      </c>
      <c r="FD35" s="47">
        <v>42792</v>
      </c>
      <c r="FE35" s="47">
        <v>43488</v>
      </c>
      <c r="FF35" s="47">
        <v>44328</v>
      </c>
      <c r="FG35" s="47">
        <v>44940</v>
      </c>
      <c r="FH35" s="47">
        <v>45540</v>
      </c>
      <c r="FI35" s="47">
        <v>46056</v>
      </c>
      <c r="FJ35" s="47">
        <v>46236</v>
      </c>
      <c r="FK35" s="208">
        <v>46284</v>
      </c>
    </row>
    <row r="36" spans="1:167" ht="15.75">
      <c r="A36" s="19">
        <v>34</v>
      </c>
      <c r="B36" s="122">
        <v>0.14499999999999999</v>
      </c>
      <c r="C36" s="62"/>
      <c r="D36" s="209">
        <f t="shared" si="0"/>
        <v>31</v>
      </c>
      <c r="E36" s="126">
        <f>[1]!PBGCLRF(65+D36/12)</f>
        <v>1.2858000000000001</v>
      </c>
      <c r="F36" s="62"/>
      <c r="G36" s="62"/>
      <c r="H36" s="62"/>
      <c r="I36" s="62"/>
      <c r="J36" s="19">
        <v>32</v>
      </c>
      <c r="K36" s="122">
        <f t="shared" si="1"/>
        <v>0.82222222222222285</v>
      </c>
      <c r="L36" s="62"/>
      <c r="M36" s="297">
        <v>32</v>
      </c>
      <c r="N36" s="122">
        <f>[1]!LRFAEQ(0.065,"M",65,M36,0,"GM71","GM71","MP","Y","N","",65)</f>
        <v>1.3674051117842398</v>
      </c>
      <c r="O36" s="62"/>
      <c r="P36" s="88">
        <v>59</v>
      </c>
      <c r="Q36" s="48">
        <v>0.62560000000000004</v>
      </c>
      <c r="R36" s="188">
        <v>0.62680000000000002</v>
      </c>
      <c r="S36" s="188">
        <v>0.628</v>
      </c>
      <c r="T36" s="188">
        <v>0.62929999999999997</v>
      </c>
      <c r="U36" s="188">
        <v>0.63060000000000005</v>
      </c>
      <c r="V36" s="188">
        <v>0.63200000000000001</v>
      </c>
      <c r="W36" s="188">
        <v>0.63349999999999995</v>
      </c>
      <c r="X36" s="188">
        <v>0.63500000000000001</v>
      </c>
      <c r="Y36" s="188">
        <v>0.63670000000000004</v>
      </c>
      <c r="Z36" s="188">
        <v>0.63829999999999998</v>
      </c>
      <c r="AA36" s="188">
        <v>0.6401</v>
      </c>
      <c r="AB36" s="188">
        <v>0.64190000000000003</v>
      </c>
      <c r="AC36" s="188">
        <v>0.64390000000000003</v>
      </c>
      <c r="AD36" s="188">
        <v>0.64590000000000003</v>
      </c>
      <c r="AE36" s="188">
        <v>0.64800000000000002</v>
      </c>
      <c r="AF36" s="188">
        <v>0.6502</v>
      </c>
      <c r="AG36" s="188">
        <v>0.65210000000000001</v>
      </c>
      <c r="AH36" s="188">
        <v>0.6542</v>
      </c>
      <c r="AI36" s="188">
        <v>0.65639999999999998</v>
      </c>
      <c r="AJ36" s="188">
        <v>0.65869999999999995</v>
      </c>
      <c r="AK36" s="188">
        <v>0.66110000000000002</v>
      </c>
      <c r="AL36" s="188">
        <v>0.66369999999999996</v>
      </c>
      <c r="AM36" s="188">
        <v>0.66639999999999999</v>
      </c>
      <c r="AN36" s="188">
        <v>0.66930000000000001</v>
      </c>
      <c r="AO36" s="188">
        <v>0.67230000000000001</v>
      </c>
      <c r="AP36" s="188">
        <v>0.67549999999999999</v>
      </c>
      <c r="AQ36" s="188">
        <v>0.67889999999999995</v>
      </c>
      <c r="AR36" s="188">
        <v>0.68240000000000001</v>
      </c>
      <c r="AS36" s="188">
        <v>0.68610000000000004</v>
      </c>
      <c r="AT36" s="188">
        <v>0.69</v>
      </c>
      <c r="AU36" s="188">
        <v>0.69399999999999995</v>
      </c>
      <c r="AV36" s="188">
        <v>0.69830000000000003</v>
      </c>
      <c r="AW36" s="188">
        <v>0.70269999999999999</v>
      </c>
      <c r="AX36" s="188">
        <v>0.70730000000000004</v>
      </c>
      <c r="AY36" s="188">
        <v>0.71209999999999996</v>
      </c>
      <c r="AZ36" s="188">
        <v>0.71709999999999996</v>
      </c>
      <c r="BA36" s="188">
        <v>0.72230000000000005</v>
      </c>
      <c r="BB36" s="188">
        <v>0.72770000000000001</v>
      </c>
      <c r="BC36" s="188">
        <v>0.73329999999999995</v>
      </c>
      <c r="BD36" s="188">
        <v>0.73909999999999998</v>
      </c>
      <c r="BE36" s="188">
        <v>0.74509999999999998</v>
      </c>
      <c r="BF36" s="188">
        <v>0.75129999999999997</v>
      </c>
      <c r="BG36" s="188">
        <v>0.75770000000000004</v>
      </c>
      <c r="BH36" s="188">
        <v>0.76419999999999999</v>
      </c>
      <c r="BI36" s="188">
        <v>0.77100000000000002</v>
      </c>
      <c r="BJ36" s="188">
        <v>0.77790000000000004</v>
      </c>
      <c r="BK36" s="188">
        <v>0.78500000000000003</v>
      </c>
      <c r="BL36" s="188">
        <v>0.7923</v>
      </c>
      <c r="BM36" s="188">
        <v>0.79969999999999997</v>
      </c>
      <c r="BN36" s="188">
        <v>0.80720000000000003</v>
      </c>
      <c r="BO36" s="188">
        <v>0.81489999999999996</v>
      </c>
      <c r="BP36" s="188">
        <v>0.82269999999999999</v>
      </c>
      <c r="BQ36" s="188">
        <v>0.8306</v>
      </c>
      <c r="BR36" s="188">
        <v>0.83850000000000002</v>
      </c>
      <c r="BS36" s="188">
        <v>0.84660000000000002</v>
      </c>
      <c r="BT36" s="188">
        <v>0.85470000000000002</v>
      </c>
      <c r="BU36" s="188">
        <v>0.86280000000000001</v>
      </c>
      <c r="BV36" s="188">
        <v>0.87090000000000001</v>
      </c>
      <c r="BW36" s="188">
        <v>0.879</v>
      </c>
      <c r="BX36" s="188">
        <v>0.8871</v>
      </c>
      <c r="BY36" s="188">
        <v>0.89510000000000001</v>
      </c>
      <c r="BZ36" s="188">
        <v>0.90310000000000001</v>
      </c>
      <c r="CA36" s="188">
        <v>0.91090000000000004</v>
      </c>
      <c r="CB36" s="188">
        <v>0.91859999999999997</v>
      </c>
      <c r="CC36" s="188">
        <v>0.92620000000000002</v>
      </c>
      <c r="CD36" s="188">
        <v>0.9335</v>
      </c>
      <c r="CE36" s="188">
        <v>0.94069999999999998</v>
      </c>
      <c r="CF36" s="188">
        <v>0.9476</v>
      </c>
      <c r="CG36" s="188">
        <v>0.95440000000000003</v>
      </c>
      <c r="CH36" s="188">
        <v>0.96089999999999998</v>
      </c>
      <c r="CI36" s="188">
        <v>0.96719999999999995</v>
      </c>
      <c r="CJ36" s="188">
        <v>0.97319999999999995</v>
      </c>
      <c r="CK36" s="188">
        <v>0.97899999999999998</v>
      </c>
      <c r="CL36" s="188">
        <v>0.98460000000000003</v>
      </c>
      <c r="CM36" s="253">
        <v>0.98980000000000001</v>
      </c>
      <c r="CN36" s="188">
        <f>ROUND([1]!NPVF2("MP","SLA","N",0.05,"M",$P36,$P36,0,0,120,0,"UP84","UP84","P","","")/[1]!NPVF2("MP","JSC","N",0.05,"M",$P36,$P36,CN$31,1,0,0,"UP84","UP84","P","",""),4)</f>
        <v>0.99480000000000002</v>
      </c>
      <c r="CO36" s="188">
        <f>ROUND([1]!NPVF2("MP","SLA","N",0.05,"M",$P36,$P36,0,0,120,0,"UP84","UP84","P","","")/[1]!NPVF2("MP","JSC","N",0.05,"M",$P36,$P36,CO$31,1,0,0,"UP84","UP84","P","",""),4)</f>
        <v>0.99950000000000006</v>
      </c>
      <c r="CP36" s="188">
        <f>ROUND([1]!NPVF2("MP","SLA","N",0.05,"M",$P36,$P36,0,0,120,0,"UP84","UP84","P","","")/[1]!NPVF2("MP","JSC","N",0.05,"M",$P36,$P36,CP$31,1,0,0,"UP84","UP84","P","",""),4)</f>
        <v>1.0038</v>
      </c>
      <c r="CQ36" s="188">
        <f>ROUND([1]!NPVF2("MP","SLA","N",0.05,"M",$P36,$P36,0,0,120,0,"UP84","UP84","P","","")/[1]!NPVF2("MP","JSC","N",0.05,"M",$P36,$P36,CQ$31,1,0,0,"UP84","UP84","P","",""),4)</f>
        <v>1.008</v>
      </c>
      <c r="CR36" s="188">
        <f>ROUND([1]!NPVF2("MP","SLA","N",0.05,"M",$P36,$P36,0,0,120,0,"UP84","UP84","P","","")/[1]!NPVF2("MP","JSC","N",0.05,"M",$P36,$P36,CR$31,1,0,0,"UP84","UP84","P","",""),4)</f>
        <v>1.0118</v>
      </c>
      <c r="CS36" s="188">
        <f>ROUND([1]!NPVF2("MP","SLA","N",0.05,"M",$P36,$P36,0,0,120,0,"UP84","UP84","P","","")/[1]!NPVF2("MP","JSC","N",0.05,"M",$P36,$P36,CS$31,1,0,0,"UP84","UP84","P","",""),4)</f>
        <v>1.0154000000000001</v>
      </c>
      <c r="CT36" s="188">
        <f>ROUND([1]!NPVF2("MP","SLA","N",0.05,"M",$P36,$P36,0,0,120,0,"UP84","UP84","P","","")/[1]!NPVF2("MP","JSC","N",0.05,"M",$P36,$P36,CT$31,1,0,0,"UP84","UP84","P","",""),4)</f>
        <v>1.0186999999999999</v>
      </c>
      <c r="CU36" s="188">
        <f>ROUND([1]!NPVF2("MP","SLA","N",0.05,"M",$P36,$P36,0,0,120,0,"UP84","UP84","P","","")/[1]!NPVF2("MP","JSC","N",0.05,"M",$P36,$P36,CU$31,1,0,0,"UP84","UP84","P","",""),4)</f>
        <v>1.0217000000000001</v>
      </c>
      <c r="CV36" s="188">
        <f>ROUND([1]!NPVF2("MP","SLA","N",0.05,"M",$P36,$P36,0,0,120,0,"UP84","UP84","P","","")/[1]!NPVF2("MP","JSC","N",0.05,"M",$P36,$P36,CV$31,1,0,0,"UP84","UP84","P","",""),4)</f>
        <v>1.0245</v>
      </c>
      <c r="CW36" s="122">
        <f>ROUND([1]!NPVF2("MP","SLA","N",0.05,"M",$P36,$P36,0,0,120,0,"UP84","UP84","P","","")/[1]!NPVF2("MP","JSC","N",0.05,"M",$P36,$P36,CW$31,1,0,0,"UP84","UP84","P","",""),4)</f>
        <v>1.0271999999999999</v>
      </c>
      <c r="CX36" s="62"/>
      <c r="CY36" s="150"/>
      <c r="DO36" s="46">
        <f>SUM(DO30:DO35)</f>
        <v>0</v>
      </c>
      <c r="DQ36" s="46">
        <f>SUM(DQ30:DQ35)</f>
        <v>0</v>
      </c>
      <c r="DW36" s="93">
        <v>1940</v>
      </c>
      <c r="DX36" s="16">
        <v>40140</v>
      </c>
      <c r="DY36" s="47">
        <v>41040</v>
      </c>
      <c r="DZ36" s="47">
        <v>41880</v>
      </c>
      <c r="EA36" s="47">
        <v>42996</v>
      </c>
      <c r="EB36" s="47">
        <v>43200</v>
      </c>
      <c r="EC36" s="47">
        <v>43668</v>
      </c>
      <c r="ED36" s="47">
        <v>44448</v>
      </c>
      <c r="EE36" s="47">
        <v>45216</v>
      </c>
      <c r="EF36" s="47">
        <v>46176</v>
      </c>
      <c r="EG36" s="47">
        <v>46896</v>
      </c>
      <c r="EH36" s="47">
        <v>47616</v>
      </c>
      <c r="EI36" s="47">
        <v>48252</v>
      </c>
      <c r="EJ36" s="47">
        <v>48492</v>
      </c>
      <c r="EK36" s="141">
        <v>48576</v>
      </c>
      <c r="EN36" s="43">
        <v>1940</v>
      </c>
      <c r="EO36" s="106">
        <v>26736</v>
      </c>
      <c r="EP36" s="127">
        <v>28812</v>
      </c>
      <c r="EQ36" s="149">
        <v>30072</v>
      </c>
      <c r="ER36" s="127">
        <v>31092</v>
      </c>
      <c r="ES36" s="127">
        <v>32400</v>
      </c>
      <c r="ET36" s="127">
        <v>33324</v>
      </c>
      <c r="EU36" s="127">
        <v>33912</v>
      </c>
      <c r="EV36" s="41">
        <v>37572</v>
      </c>
      <c r="EW36" s="127">
        <v>39180</v>
      </c>
      <c r="EX36" s="202">
        <v>40140</v>
      </c>
      <c r="EY36" s="47">
        <v>41040</v>
      </c>
      <c r="EZ36" s="47">
        <v>41880</v>
      </c>
      <c r="FA36" s="47">
        <v>42996</v>
      </c>
      <c r="FB36" s="47">
        <v>43200</v>
      </c>
      <c r="FC36" s="47">
        <v>43668</v>
      </c>
      <c r="FD36" s="47">
        <v>44448</v>
      </c>
      <c r="FE36" s="47">
        <v>45216</v>
      </c>
      <c r="FF36" s="47">
        <v>46176</v>
      </c>
      <c r="FG36" s="47">
        <v>46896</v>
      </c>
      <c r="FH36" s="47">
        <v>47616</v>
      </c>
      <c r="FI36" s="47">
        <v>48252</v>
      </c>
      <c r="FJ36" s="47">
        <v>48492</v>
      </c>
      <c r="FK36" s="141">
        <v>48576</v>
      </c>
    </row>
    <row r="37" spans="1:167" ht="15.75">
      <c r="A37" s="164">
        <v>33</v>
      </c>
      <c r="B37" s="122">
        <v>0.14000000000000001</v>
      </c>
      <c r="C37" s="62"/>
      <c r="D37" s="209">
        <f t="shared" si="0"/>
        <v>32</v>
      </c>
      <c r="E37" s="126">
        <f>[1]!PBGCLRF(65+D37/12)</f>
        <v>1.2967</v>
      </c>
      <c r="F37" s="62"/>
      <c r="G37" s="62"/>
      <c r="H37" s="62"/>
      <c r="I37" s="62"/>
      <c r="J37" s="19">
        <v>33</v>
      </c>
      <c r="K37" s="122">
        <f t="shared" si="1"/>
        <v>0.81666666666666732</v>
      </c>
      <c r="L37" s="62"/>
      <c r="M37" s="297">
        <v>33</v>
      </c>
      <c r="N37" s="122">
        <f>[1]!LRFAEQ(0.065,"M",65,M37,0,"GM71","GM71","MP","Y","N","",65)</f>
        <v>1.3808807947743944</v>
      </c>
      <c r="O37" s="62"/>
      <c r="P37" s="88">
        <v>60</v>
      </c>
      <c r="Q37" s="48">
        <v>0.61399999999999999</v>
      </c>
      <c r="R37" s="188">
        <v>0.61519999999999997</v>
      </c>
      <c r="S37" s="188">
        <v>0.61639999999999995</v>
      </c>
      <c r="T37" s="188">
        <v>0.61770000000000003</v>
      </c>
      <c r="U37" s="188">
        <v>0.61899999999999999</v>
      </c>
      <c r="V37" s="188">
        <v>0.62039999999999995</v>
      </c>
      <c r="W37" s="188">
        <v>0.62180000000000002</v>
      </c>
      <c r="X37" s="188">
        <v>0.62329999999999997</v>
      </c>
      <c r="Y37" s="188">
        <v>0.62490000000000001</v>
      </c>
      <c r="Z37" s="188">
        <v>0.62660000000000005</v>
      </c>
      <c r="AA37" s="188">
        <v>0.62829999999999997</v>
      </c>
      <c r="AB37" s="188">
        <v>0.63009999999999999</v>
      </c>
      <c r="AC37" s="188">
        <v>0.63200000000000001</v>
      </c>
      <c r="AD37" s="188">
        <v>0.63400000000000001</v>
      </c>
      <c r="AE37" s="188">
        <v>0.6361</v>
      </c>
      <c r="AF37" s="188">
        <v>0.63829999999999998</v>
      </c>
      <c r="AG37" s="188">
        <v>0.64019999999999999</v>
      </c>
      <c r="AH37" s="188">
        <v>0.64219999999999999</v>
      </c>
      <c r="AI37" s="188">
        <v>0.64439999999999997</v>
      </c>
      <c r="AJ37" s="188">
        <v>0.64670000000000005</v>
      </c>
      <c r="AK37" s="188">
        <v>0.64910000000000001</v>
      </c>
      <c r="AL37" s="188">
        <v>0.65159999999999996</v>
      </c>
      <c r="AM37" s="188">
        <v>0.65429999999999999</v>
      </c>
      <c r="AN37" s="188">
        <v>0.65720000000000001</v>
      </c>
      <c r="AO37" s="188">
        <v>0.66020000000000001</v>
      </c>
      <c r="AP37" s="188">
        <v>0.6633</v>
      </c>
      <c r="AQ37" s="188">
        <v>0.66669999999999996</v>
      </c>
      <c r="AR37" s="188">
        <v>0.67020000000000002</v>
      </c>
      <c r="AS37" s="188">
        <v>0.67379999999999995</v>
      </c>
      <c r="AT37" s="188">
        <v>0.67769999999999997</v>
      </c>
      <c r="AU37" s="188">
        <v>0.68169999999999997</v>
      </c>
      <c r="AV37" s="188">
        <v>0.68600000000000005</v>
      </c>
      <c r="AW37" s="188">
        <v>0.69040000000000001</v>
      </c>
      <c r="AX37" s="188">
        <v>0.69499999999999995</v>
      </c>
      <c r="AY37" s="188">
        <v>0.69979999999999998</v>
      </c>
      <c r="AZ37" s="188">
        <v>0.70479999999999998</v>
      </c>
      <c r="BA37" s="188">
        <v>0.71</v>
      </c>
      <c r="BB37" s="188">
        <v>0.71550000000000002</v>
      </c>
      <c r="BC37" s="188">
        <v>0.72109999999999996</v>
      </c>
      <c r="BD37" s="188">
        <v>0.72689999999999999</v>
      </c>
      <c r="BE37" s="188">
        <v>0.7329</v>
      </c>
      <c r="BF37" s="188">
        <v>0.73919999999999997</v>
      </c>
      <c r="BG37" s="188">
        <v>0.74560000000000004</v>
      </c>
      <c r="BH37" s="188">
        <v>0.75229999999999997</v>
      </c>
      <c r="BI37" s="188">
        <v>0.7591</v>
      </c>
      <c r="BJ37" s="188">
        <v>0.76619999999999999</v>
      </c>
      <c r="BK37" s="188">
        <v>0.77339999999999998</v>
      </c>
      <c r="BL37" s="188">
        <v>0.78080000000000005</v>
      </c>
      <c r="BM37" s="188">
        <v>0.78839999999999999</v>
      </c>
      <c r="BN37" s="188">
        <v>0.79610000000000003</v>
      </c>
      <c r="BO37" s="188">
        <v>0.80400000000000005</v>
      </c>
      <c r="BP37" s="188">
        <v>0.81200000000000006</v>
      </c>
      <c r="BQ37" s="188">
        <v>0.82010000000000005</v>
      </c>
      <c r="BR37" s="188">
        <v>0.82840000000000003</v>
      </c>
      <c r="BS37" s="188">
        <v>0.8367</v>
      </c>
      <c r="BT37" s="188">
        <v>0.84509999999999996</v>
      </c>
      <c r="BU37" s="188">
        <v>0.85360000000000003</v>
      </c>
      <c r="BV37" s="188">
        <v>0.86209999999999998</v>
      </c>
      <c r="BW37" s="188">
        <v>0.87060000000000004</v>
      </c>
      <c r="BX37" s="188">
        <v>0.87909999999999999</v>
      </c>
      <c r="BY37" s="188">
        <v>0.88749999999999996</v>
      </c>
      <c r="BZ37" s="188">
        <v>0.89590000000000003</v>
      </c>
      <c r="CA37" s="188">
        <v>0.9042</v>
      </c>
      <c r="CB37" s="188">
        <v>0.91239999999999999</v>
      </c>
      <c r="CC37" s="188">
        <v>0.92049999999999998</v>
      </c>
      <c r="CD37" s="188">
        <v>0.92830000000000001</v>
      </c>
      <c r="CE37" s="188">
        <v>0.93600000000000005</v>
      </c>
      <c r="CF37" s="188">
        <v>0.94340000000000002</v>
      </c>
      <c r="CG37" s="188">
        <v>0.95069999999999999</v>
      </c>
      <c r="CH37" s="188">
        <v>0.9577</v>
      </c>
      <c r="CI37" s="188">
        <v>0.96450000000000002</v>
      </c>
      <c r="CJ37" s="188">
        <v>0.97109999999999996</v>
      </c>
      <c r="CK37" s="188">
        <v>0.97740000000000005</v>
      </c>
      <c r="CL37" s="188">
        <v>0.98340000000000005</v>
      </c>
      <c r="CM37" s="253">
        <v>0.98919999999999997</v>
      </c>
      <c r="CN37" s="188">
        <f>ROUND([1]!NPVF2("MP","SLA","N",0.05,"M",$P37,$P37,0,0,120,0,"UP84","UP84","P","","")/[1]!NPVF2("MP","JSC","N",0.05,"M",$P37,$P37,CN$31,1,0,0,"UP84","UP84","P","",""),4)</f>
        <v>0.99460000000000004</v>
      </c>
      <c r="CO37" s="188">
        <f>ROUND([1]!NPVF2("MP","SLA","N",0.05,"M",$P37,$P37,0,0,120,0,"UP84","UP84","P","","")/[1]!NPVF2("MP","JSC","N",0.05,"M",$P37,$P37,CO$31,1,0,0,"UP84","UP84","P","",""),4)</f>
        <v>0.99970000000000003</v>
      </c>
      <c r="CP37" s="188">
        <f>ROUND([1]!NPVF2("MP","SLA","N",0.05,"M",$P37,$P37,0,0,120,0,"UP84","UP84","P","","")/[1]!NPVF2("MP","JSC","N",0.05,"M",$P37,$P37,CP$31,1,0,0,"UP84","UP84","P","",""),4)</f>
        <v>1.0044999999999999</v>
      </c>
      <c r="CQ37" s="188">
        <f>ROUND([1]!NPVF2("MP","SLA","N",0.05,"M",$P37,$P37,0,0,120,0,"UP84","UP84","P","","")/[1]!NPVF2("MP","JSC","N",0.05,"M",$P37,$P37,CQ$31,1,0,0,"UP84","UP84","P","",""),4)</f>
        <v>1.0091000000000001</v>
      </c>
      <c r="CR37" s="188">
        <f>ROUND([1]!NPVF2("MP","SLA","N",0.05,"M",$P37,$P37,0,0,120,0,"UP84","UP84","P","","")/[1]!NPVF2("MP","JSC","N",0.05,"M",$P37,$P37,CR$31,1,0,0,"UP84","UP84","P","",""),4)</f>
        <v>1.0133000000000001</v>
      </c>
      <c r="CS37" s="188">
        <f>ROUND([1]!NPVF2("MP","SLA","N",0.05,"M",$P37,$P37,0,0,120,0,"UP84","UP84","P","","")/[1]!NPVF2("MP","JSC","N",0.05,"M",$P37,$P37,CS$31,1,0,0,"UP84","UP84","P","",""),4)</f>
        <v>1.0172000000000001</v>
      </c>
      <c r="CT37" s="188">
        <f>ROUND([1]!NPVF2("MP","SLA","N",0.05,"M",$P37,$P37,0,0,120,0,"UP84","UP84","P","","")/[1]!NPVF2("MP","JSC","N",0.05,"M",$P37,$P37,CT$31,1,0,0,"UP84","UP84","P","",""),4)</f>
        <v>1.0208999999999999</v>
      </c>
      <c r="CU37" s="188">
        <f>ROUND([1]!NPVF2("MP","SLA","N",0.05,"M",$P37,$P37,0,0,120,0,"UP84","UP84","P","","")/[1]!NPVF2("MP","JSC","N",0.05,"M",$P37,$P37,CU$31,1,0,0,"UP84","UP84","P","",""),4)</f>
        <v>1.0243</v>
      </c>
      <c r="CV37" s="188">
        <f>ROUND([1]!NPVF2("MP","SLA","N",0.05,"M",$P37,$P37,0,0,120,0,"UP84","UP84","P","","")/[1]!NPVF2("MP","JSC","N",0.05,"M",$P37,$P37,CV$31,1,0,0,"UP84","UP84","P","",""),4)</f>
        <v>1.0274000000000001</v>
      </c>
      <c r="CW37" s="122">
        <f>ROUND([1]!NPVF2("MP","SLA","N",0.05,"M",$P37,$P37,0,0,120,0,"UP84","UP84","P","","")/[1]!NPVF2("MP","JSC","N",0.05,"M",$P37,$P37,CW$31,1,0,0,"UP84","UP84","P","",""),4)</f>
        <v>1.0303</v>
      </c>
      <c r="CX37" s="62"/>
      <c r="CY37" s="150"/>
      <c r="DW37" s="93">
        <v>1941</v>
      </c>
      <c r="DX37" s="16">
        <v>41412</v>
      </c>
      <c r="DY37" s="47">
        <v>42372</v>
      </c>
      <c r="DZ37" s="47">
        <v>43272</v>
      </c>
      <c r="EA37" s="47">
        <v>44472</v>
      </c>
      <c r="EB37" s="47">
        <v>44688</v>
      </c>
      <c r="EC37" s="47">
        <v>45204</v>
      </c>
      <c r="ED37" s="47">
        <v>46056</v>
      </c>
      <c r="EE37" s="47">
        <v>46908</v>
      </c>
      <c r="EF37" s="47">
        <v>47988</v>
      </c>
      <c r="EG37" s="47">
        <v>48816</v>
      </c>
      <c r="EH37" s="47">
        <v>49656</v>
      </c>
      <c r="EI37" s="47">
        <v>50424</v>
      </c>
      <c r="EJ37" s="47">
        <v>50724</v>
      </c>
      <c r="EK37" s="141">
        <v>50832</v>
      </c>
      <c r="EN37" s="43">
        <v>1941</v>
      </c>
      <c r="EO37" s="106">
        <v>27432</v>
      </c>
      <c r="EP37" s="127">
        <v>29604</v>
      </c>
      <c r="EQ37" s="149">
        <v>30924</v>
      </c>
      <c r="ER37" s="127">
        <v>32004</v>
      </c>
      <c r="ES37" s="127">
        <v>33372</v>
      </c>
      <c r="ET37" s="127">
        <v>34356</v>
      </c>
      <c r="EU37" s="127">
        <v>34968</v>
      </c>
      <c r="EV37" s="41">
        <v>38688</v>
      </c>
      <c r="EW37" s="127">
        <v>40392</v>
      </c>
      <c r="EX37" s="202">
        <v>41412</v>
      </c>
      <c r="EY37" s="47">
        <v>42372</v>
      </c>
      <c r="EZ37" s="47">
        <v>43272</v>
      </c>
      <c r="FA37" s="47">
        <v>44472</v>
      </c>
      <c r="FB37" s="47">
        <v>44688</v>
      </c>
      <c r="FC37" s="47">
        <v>45204</v>
      </c>
      <c r="FD37" s="47">
        <v>46056</v>
      </c>
      <c r="FE37" s="47">
        <v>46908</v>
      </c>
      <c r="FF37" s="47">
        <v>47988</v>
      </c>
      <c r="FG37" s="47">
        <v>48816</v>
      </c>
      <c r="FH37" s="47">
        <v>49656</v>
      </c>
      <c r="FI37" s="47">
        <v>50424</v>
      </c>
      <c r="FJ37" s="47">
        <v>50724</v>
      </c>
      <c r="FK37" s="141">
        <v>50832</v>
      </c>
    </row>
    <row r="38" spans="1:167" ht="15.75">
      <c r="A38" s="19">
        <v>32</v>
      </c>
      <c r="B38" s="122">
        <v>0.13500000000000001</v>
      </c>
      <c r="C38" s="62"/>
      <c r="D38" s="209">
        <f t="shared" si="0"/>
        <v>33</v>
      </c>
      <c r="E38" s="126">
        <f>[1]!PBGCLRF(65+D38/12)</f>
        <v>1.3075000000000001</v>
      </c>
      <c r="F38" s="62"/>
      <c r="G38" s="62"/>
      <c r="H38" s="62"/>
      <c r="I38" s="62"/>
      <c r="J38" s="19">
        <v>34</v>
      </c>
      <c r="K38" s="122">
        <f t="shared" si="1"/>
        <v>0.81111111111111178</v>
      </c>
      <c r="L38" s="62"/>
      <c r="M38" s="297">
        <v>34</v>
      </c>
      <c r="N38" s="122">
        <f>[1]!LRFAEQ(0.065,"M",65,M38,0,"GM71","GM71","MP","Y","N","",65)</f>
        <v>1.3943564777645487</v>
      </c>
      <c r="O38" s="62"/>
      <c r="P38" s="88">
        <v>61</v>
      </c>
      <c r="Q38" s="48">
        <v>0.60250000000000004</v>
      </c>
      <c r="R38" s="188">
        <v>0.60360000000000003</v>
      </c>
      <c r="S38" s="188">
        <v>0.6048</v>
      </c>
      <c r="T38" s="188">
        <v>0.60599999999999998</v>
      </c>
      <c r="U38" s="188">
        <v>0.60740000000000005</v>
      </c>
      <c r="V38" s="188">
        <v>0.60870000000000002</v>
      </c>
      <c r="W38" s="188">
        <v>0.61019999999999996</v>
      </c>
      <c r="X38" s="188">
        <v>0.61170000000000002</v>
      </c>
      <c r="Y38" s="188">
        <v>0.61319999999999997</v>
      </c>
      <c r="Z38" s="188">
        <v>0.6149</v>
      </c>
      <c r="AA38" s="188">
        <v>0.61660000000000004</v>
      </c>
      <c r="AB38" s="188">
        <v>0.61839999999999995</v>
      </c>
      <c r="AC38" s="188">
        <v>0.62029999999999996</v>
      </c>
      <c r="AD38" s="188">
        <v>0.62219999999999998</v>
      </c>
      <c r="AE38" s="188">
        <v>0.62429999999999997</v>
      </c>
      <c r="AF38" s="188">
        <v>0.62639999999999996</v>
      </c>
      <c r="AG38" s="188">
        <v>0.62829999999999997</v>
      </c>
      <c r="AH38" s="188">
        <v>0.63029999999999997</v>
      </c>
      <c r="AI38" s="188">
        <v>0.63239999999999996</v>
      </c>
      <c r="AJ38" s="188">
        <v>0.63470000000000004</v>
      </c>
      <c r="AK38" s="188">
        <v>0.6371</v>
      </c>
      <c r="AL38" s="188">
        <v>0.63959999999999995</v>
      </c>
      <c r="AM38" s="188">
        <v>0.64219999999999999</v>
      </c>
      <c r="AN38" s="188">
        <v>0.64510000000000001</v>
      </c>
      <c r="AO38" s="188">
        <v>0.64800000000000002</v>
      </c>
      <c r="AP38" s="188">
        <v>0.6512</v>
      </c>
      <c r="AQ38" s="188">
        <v>0.65449999999999997</v>
      </c>
      <c r="AR38" s="188">
        <v>0.65790000000000004</v>
      </c>
      <c r="AS38" s="188">
        <v>0.66159999999999997</v>
      </c>
      <c r="AT38" s="188">
        <v>0.66539999999999999</v>
      </c>
      <c r="AU38" s="188">
        <v>0.6694</v>
      </c>
      <c r="AV38" s="188">
        <v>0.67359999999999998</v>
      </c>
      <c r="AW38" s="188">
        <v>0.67800000000000005</v>
      </c>
      <c r="AX38" s="188">
        <v>0.68269999999999997</v>
      </c>
      <c r="AY38" s="188">
        <v>0.6875</v>
      </c>
      <c r="AZ38" s="188">
        <v>0.6925</v>
      </c>
      <c r="BA38" s="188">
        <v>0.69769999999999999</v>
      </c>
      <c r="BB38" s="188">
        <v>0.70309999999999995</v>
      </c>
      <c r="BC38" s="188">
        <v>0.70879999999999999</v>
      </c>
      <c r="BD38" s="188">
        <v>0.71460000000000001</v>
      </c>
      <c r="BE38" s="188">
        <v>0.72070000000000001</v>
      </c>
      <c r="BF38" s="188">
        <v>0.72699999999999998</v>
      </c>
      <c r="BG38" s="188">
        <v>0.73350000000000004</v>
      </c>
      <c r="BH38" s="188">
        <v>0.74019999999999997</v>
      </c>
      <c r="BI38" s="188">
        <v>0.74709999999999999</v>
      </c>
      <c r="BJ38" s="188">
        <v>0.75429999999999997</v>
      </c>
      <c r="BK38" s="188">
        <v>0.76160000000000005</v>
      </c>
      <c r="BL38" s="188">
        <v>0.76919999999999999</v>
      </c>
      <c r="BM38" s="188">
        <v>0.77690000000000003</v>
      </c>
      <c r="BN38" s="188">
        <v>0.78480000000000005</v>
      </c>
      <c r="BO38" s="188">
        <v>0.79290000000000005</v>
      </c>
      <c r="BP38" s="188">
        <v>0.80110000000000003</v>
      </c>
      <c r="BQ38" s="188">
        <v>0.8095</v>
      </c>
      <c r="BR38" s="188">
        <v>0.81799999999999995</v>
      </c>
      <c r="BS38" s="188">
        <v>0.8266</v>
      </c>
      <c r="BT38" s="188">
        <v>0.83530000000000004</v>
      </c>
      <c r="BU38" s="188">
        <v>0.84409999999999996</v>
      </c>
      <c r="BV38" s="188">
        <v>0.85299999999999998</v>
      </c>
      <c r="BW38" s="188">
        <v>0.86180000000000001</v>
      </c>
      <c r="BX38" s="188">
        <v>0.87070000000000003</v>
      </c>
      <c r="BY38" s="188">
        <v>0.87960000000000005</v>
      </c>
      <c r="BZ38" s="188">
        <v>0.88849999999999996</v>
      </c>
      <c r="CA38" s="188">
        <v>0.89729999999999999</v>
      </c>
      <c r="CB38" s="188">
        <v>0.90590000000000004</v>
      </c>
      <c r="CC38" s="188">
        <v>0.91449999999999998</v>
      </c>
      <c r="CD38" s="188">
        <v>0.92279999999999995</v>
      </c>
      <c r="CE38" s="188">
        <v>0.93100000000000005</v>
      </c>
      <c r="CF38" s="188">
        <v>0.93899999999999995</v>
      </c>
      <c r="CG38" s="188">
        <v>0.94679999999999997</v>
      </c>
      <c r="CH38" s="188">
        <v>0.95440000000000003</v>
      </c>
      <c r="CI38" s="188">
        <v>0.9617</v>
      </c>
      <c r="CJ38" s="188">
        <v>0.96889999999999998</v>
      </c>
      <c r="CK38" s="188">
        <v>0.97570000000000001</v>
      </c>
      <c r="CL38" s="188">
        <v>0.98229999999999995</v>
      </c>
      <c r="CM38" s="253">
        <v>0.98850000000000005</v>
      </c>
      <c r="CN38" s="188">
        <f>ROUND([1]!NPVF2("MP","SLA","N",0.05,"M",$P38,$P38,0,0,120,0,"UP84","UP84","P","","")/[1]!NPVF2("MP","JSC","N",0.05,"M",$P38,$P38,CN$31,1,0,0,"UP84","UP84","P","",""),4)</f>
        <v>0.99450000000000005</v>
      </c>
      <c r="CO38" s="188">
        <f>ROUND([1]!NPVF2("MP","SLA","N",0.05,"M",$P38,$P38,0,0,120,0,"UP84","UP84","P","","")/[1]!NPVF2("MP","JSC","N",0.05,"M",$P38,$P38,CO$31,1,0,0,"UP84","UP84","P","",""),4)</f>
        <v>1.0001</v>
      </c>
      <c r="CP38" s="188">
        <f>ROUND([1]!NPVF2("MP","SLA","N",0.05,"M",$P38,$P38,0,0,120,0,"UP84","UP84","P","","")/[1]!NPVF2("MP","JSC","N",0.05,"M",$P38,$P38,CP$31,1,0,0,"UP84","UP84","P","",""),4)</f>
        <v>1.0054000000000001</v>
      </c>
      <c r="CQ38" s="188">
        <f>ROUND([1]!NPVF2("MP","SLA","N",0.05,"M",$P38,$P38,0,0,120,0,"UP84","UP84","P","","")/[1]!NPVF2("MP","JSC","N",0.05,"M",$P38,$P38,CQ$31,1,0,0,"UP84","UP84","P","",""),4)</f>
        <v>1.0103</v>
      </c>
      <c r="CR38" s="188">
        <f>ROUND([1]!NPVF2("MP","SLA","N",0.05,"M",$P38,$P38,0,0,120,0,"UP84","UP84","P","","")/[1]!NPVF2("MP","JSC","N",0.05,"M",$P38,$P38,CR$31,1,0,0,"UP84","UP84","P","",""),4)</f>
        <v>1.0149999999999999</v>
      </c>
      <c r="CS38" s="188">
        <f>ROUND([1]!NPVF2("MP","SLA","N",0.05,"M",$P38,$P38,0,0,120,0,"UP84","UP84","P","","")/[1]!NPVF2("MP","JSC","N",0.05,"M",$P38,$P38,CS$31,1,0,0,"UP84","UP84","P","",""),4)</f>
        <v>1.0194000000000001</v>
      </c>
      <c r="CT38" s="188">
        <f>ROUND([1]!NPVF2("MP","SLA","N",0.05,"M",$P38,$P38,0,0,120,0,"UP84","UP84","P","","")/[1]!NPVF2("MP","JSC","N",0.05,"M",$P38,$P38,CT$31,1,0,0,"UP84","UP84","P","",""),4)</f>
        <v>1.0234000000000001</v>
      </c>
      <c r="CU38" s="188">
        <f>ROUND([1]!NPVF2("MP","SLA","N",0.05,"M",$P38,$P38,0,0,120,0,"UP84","UP84","P","","")/[1]!NPVF2("MP","JSC","N",0.05,"M",$P38,$P38,CU$31,1,0,0,"UP84","UP84","P","",""),4)</f>
        <v>1.0271999999999999</v>
      </c>
      <c r="CV38" s="188">
        <f>ROUND([1]!NPVF2("MP","SLA","N",0.05,"M",$P38,$P38,0,0,120,0,"UP84","UP84","P","","")/[1]!NPVF2("MP","JSC","N",0.05,"M",$P38,$P38,CV$31,1,0,0,"UP84","UP84","P","",""),4)</f>
        <v>1.0306</v>
      </c>
      <c r="CW38" s="122">
        <f>ROUND([1]!NPVF2("MP","SLA","N",0.05,"M",$P38,$P38,0,0,120,0,"UP84","UP84","P","","")/[1]!NPVF2("MP","JSC","N",0.05,"M",$P38,$P38,CW$31,1,0,0,"UP84","UP84","P","",""),4)</f>
        <v>1.0339</v>
      </c>
      <c r="CX38" s="62"/>
      <c r="CY38" s="79">
        <v>36616</v>
      </c>
      <c r="DK38" t="s">
        <v>504</v>
      </c>
      <c r="DL38" t="s">
        <v>179</v>
      </c>
      <c r="DM38" s="76">
        <f>DCOUNT(Retirees,"PVPBL_ANN_RATES",All_Criteria)</f>
        <v>0</v>
      </c>
      <c r="DN38" s="274">
        <f>DSUM(Retirees,"LS_TERM",All_Criteria)</f>
        <v>0</v>
      </c>
      <c r="DO38" s="46">
        <f>DO6+DO30</f>
        <v>0</v>
      </c>
      <c r="DP38" s="46">
        <f>DP6+DP30</f>
        <v>0</v>
      </c>
      <c r="DQ38" s="46">
        <f t="shared" ref="DQ38:DQ43" si="7">DO38 + DP38</f>
        <v>0</v>
      </c>
      <c r="DR38" s="46"/>
      <c r="DS38" s="46"/>
      <c r="DW38" s="93">
        <v>1942</v>
      </c>
      <c r="DX38" s="16">
        <v>42624</v>
      </c>
      <c r="DY38" s="47">
        <v>43644</v>
      </c>
      <c r="DZ38" s="47">
        <v>44604</v>
      </c>
      <c r="EA38" s="47">
        <v>45888</v>
      </c>
      <c r="EB38" s="47">
        <v>46128</v>
      </c>
      <c r="EC38" s="47">
        <v>46692</v>
      </c>
      <c r="ED38" s="47">
        <v>47616</v>
      </c>
      <c r="EE38" s="47">
        <v>48552</v>
      </c>
      <c r="EF38" s="47">
        <v>49752</v>
      </c>
      <c r="EG38" s="47">
        <v>50688</v>
      </c>
      <c r="EH38" s="47">
        <v>51648</v>
      </c>
      <c r="EI38" s="47">
        <v>52548</v>
      </c>
      <c r="EJ38" s="47">
        <v>52908</v>
      </c>
      <c r="EK38" s="141">
        <v>53028</v>
      </c>
      <c r="EN38" s="43">
        <v>1942</v>
      </c>
      <c r="EO38" s="106">
        <v>28140</v>
      </c>
      <c r="EP38" s="127">
        <v>30408</v>
      </c>
      <c r="EQ38" s="149">
        <v>31788</v>
      </c>
      <c r="ER38" s="127">
        <v>32916</v>
      </c>
      <c r="ES38" s="127">
        <v>34356</v>
      </c>
      <c r="ET38" s="127">
        <v>35388</v>
      </c>
      <c r="EU38" s="127">
        <v>36036</v>
      </c>
      <c r="EV38" s="41">
        <v>39756</v>
      </c>
      <c r="EW38" s="127">
        <v>41544</v>
      </c>
      <c r="EX38" s="202">
        <v>42624</v>
      </c>
      <c r="EY38" s="47">
        <v>43644</v>
      </c>
      <c r="EZ38" s="47">
        <v>44604</v>
      </c>
      <c r="FA38" s="47">
        <v>45888</v>
      </c>
      <c r="FB38" s="47">
        <v>46128</v>
      </c>
      <c r="FC38" s="47">
        <v>46692</v>
      </c>
      <c r="FD38" s="47">
        <v>47616</v>
      </c>
      <c r="FE38" s="47">
        <v>48552</v>
      </c>
      <c r="FF38" s="47">
        <v>49752</v>
      </c>
      <c r="FG38" s="47">
        <v>50688</v>
      </c>
      <c r="FH38" s="47">
        <v>51648</v>
      </c>
      <c r="FI38" s="47">
        <v>52548</v>
      </c>
      <c r="FJ38" s="47">
        <v>52908</v>
      </c>
      <c r="FK38" s="141">
        <v>53028</v>
      </c>
    </row>
    <row r="39" spans="1:167" ht="16.5" thickBot="1">
      <c r="A39" s="237">
        <v>31</v>
      </c>
      <c r="B39" s="221">
        <v>0.13</v>
      </c>
      <c r="C39" s="62"/>
      <c r="D39" s="209">
        <f t="shared" si="0"/>
        <v>34</v>
      </c>
      <c r="E39" s="126">
        <f>[1]!PBGCLRF(65+D39/12)</f>
        <v>1.3183</v>
      </c>
      <c r="F39" s="62"/>
      <c r="G39" s="62"/>
      <c r="H39" s="62"/>
      <c r="I39" s="62"/>
      <c r="J39" s="19">
        <v>35</v>
      </c>
      <c r="K39" s="122">
        <f t="shared" si="1"/>
        <v>0.80555555555555625</v>
      </c>
      <c r="L39" s="62"/>
      <c r="M39" s="297">
        <v>35</v>
      </c>
      <c r="N39" s="122">
        <f>[1]!LRFAEQ(0.065,"M",65,M39,0,"GM71","GM71","MP","Y","N","",65)</f>
        <v>1.4078321607547031</v>
      </c>
      <c r="O39" s="62"/>
      <c r="P39" s="88">
        <v>62</v>
      </c>
      <c r="Q39" s="48">
        <v>0.59089999999999998</v>
      </c>
      <c r="R39" s="188">
        <v>0.59209999999999996</v>
      </c>
      <c r="S39" s="188">
        <v>0.59330000000000005</v>
      </c>
      <c r="T39" s="188">
        <v>0.59450000000000003</v>
      </c>
      <c r="U39" s="188">
        <v>0.5958</v>
      </c>
      <c r="V39" s="188">
        <v>0.59709999999999996</v>
      </c>
      <c r="W39" s="188">
        <v>0.59860000000000002</v>
      </c>
      <c r="X39" s="188">
        <v>0.6</v>
      </c>
      <c r="Y39" s="188">
        <v>0.60160000000000002</v>
      </c>
      <c r="Z39" s="188">
        <v>0.60319999999999996</v>
      </c>
      <c r="AA39" s="188">
        <v>0.60489999999999999</v>
      </c>
      <c r="AB39" s="188">
        <v>0.60670000000000002</v>
      </c>
      <c r="AC39" s="188">
        <v>0.60850000000000004</v>
      </c>
      <c r="AD39" s="188">
        <v>0.61050000000000004</v>
      </c>
      <c r="AE39" s="188">
        <v>0.61250000000000004</v>
      </c>
      <c r="AF39" s="188">
        <v>0.61460000000000004</v>
      </c>
      <c r="AG39" s="188">
        <v>0.61650000000000005</v>
      </c>
      <c r="AH39" s="188">
        <v>0.61850000000000005</v>
      </c>
      <c r="AI39" s="188">
        <v>0.62050000000000005</v>
      </c>
      <c r="AJ39" s="188">
        <v>0.62280000000000002</v>
      </c>
      <c r="AK39" s="188">
        <v>0.62509999999999999</v>
      </c>
      <c r="AL39" s="188">
        <v>0.62760000000000005</v>
      </c>
      <c r="AM39" s="188">
        <v>0.63019999999999998</v>
      </c>
      <c r="AN39" s="188">
        <v>0.63300000000000001</v>
      </c>
      <c r="AO39" s="188">
        <v>0.63590000000000002</v>
      </c>
      <c r="AP39" s="188">
        <v>0.63900000000000001</v>
      </c>
      <c r="AQ39" s="188">
        <v>0.64229999999999998</v>
      </c>
      <c r="AR39" s="188">
        <v>0.64570000000000005</v>
      </c>
      <c r="AS39" s="188">
        <v>0.64939999999999998</v>
      </c>
      <c r="AT39" s="188">
        <v>0.6532</v>
      </c>
      <c r="AU39" s="188">
        <v>0.65720000000000001</v>
      </c>
      <c r="AV39" s="188">
        <v>0.6613</v>
      </c>
      <c r="AW39" s="188">
        <v>0.66569999999999996</v>
      </c>
      <c r="AX39" s="188">
        <v>0.67030000000000001</v>
      </c>
      <c r="AY39" s="188">
        <v>0.67510000000000003</v>
      </c>
      <c r="AZ39" s="188">
        <v>0.68010000000000004</v>
      </c>
      <c r="BA39" s="188">
        <v>0.68530000000000002</v>
      </c>
      <c r="BB39" s="188">
        <v>0.69069999999999998</v>
      </c>
      <c r="BC39" s="188">
        <v>0.69640000000000002</v>
      </c>
      <c r="BD39" s="188">
        <v>0.70230000000000004</v>
      </c>
      <c r="BE39" s="188">
        <v>0.70840000000000003</v>
      </c>
      <c r="BF39" s="188">
        <v>0.7147</v>
      </c>
      <c r="BG39" s="188">
        <v>0.72119999999999995</v>
      </c>
      <c r="BH39" s="188">
        <v>0.72799999999999998</v>
      </c>
      <c r="BI39" s="188">
        <v>0.73499999999999999</v>
      </c>
      <c r="BJ39" s="188">
        <v>0.74229999999999996</v>
      </c>
      <c r="BK39" s="188">
        <v>0.74970000000000003</v>
      </c>
      <c r="BL39" s="188">
        <v>0.75739999999999996</v>
      </c>
      <c r="BM39" s="188">
        <v>0.76519999999999999</v>
      </c>
      <c r="BN39" s="188">
        <v>0.77329999999999999</v>
      </c>
      <c r="BO39" s="188">
        <v>0.78159999999999996</v>
      </c>
      <c r="BP39" s="188">
        <v>0.79</v>
      </c>
      <c r="BQ39" s="188">
        <v>0.79859999999999998</v>
      </c>
      <c r="BR39" s="188">
        <v>0.80730000000000002</v>
      </c>
      <c r="BS39" s="188">
        <v>0.81620000000000004</v>
      </c>
      <c r="BT39" s="188">
        <v>0.82520000000000004</v>
      </c>
      <c r="BU39" s="188">
        <v>0.83430000000000004</v>
      </c>
      <c r="BV39" s="188">
        <v>0.84360000000000002</v>
      </c>
      <c r="BW39" s="188">
        <v>0.8528</v>
      </c>
      <c r="BX39" s="188">
        <v>0.86209999999999998</v>
      </c>
      <c r="BY39" s="188">
        <v>0.87139999999999995</v>
      </c>
      <c r="BZ39" s="188">
        <v>0.88070000000000004</v>
      </c>
      <c r="CA39" s="188">
        <v>0.89</v>
      </c>
      <c r="CB39" s="188">
        <v>0.8992</v>
      </c>
      <c r="CC39" s="188">
        <v>0.90820000000000001</v>
      </c>
      <c r="CD39" s="188">
        <v>0.91710000000000003</v>
      </c>
      <c r="CE39" s="188">
        <v>0.92579999999999996</v>
      </c>
      <c r="CF39" s="188">
        <v>0.93440000000000001</v>
      </c>
      <c r="CG39" s="188">
        <v>0.94269999999999998</v>
      </c>
      <c r="CH39" s="188">
        <v>0.95089999999999997</v>
      </c>
      <c r="CI39" s="188">
        <v>0.95879999999999999</v>
      </c>
      <c r="CJ39" s="188">
        <v>0.96650000000000003</v>
      </c>
      <c r="CK39" s="188">
        <v>0.97389999999999999</v>
      </c>
      <c r="CL39" s="188">
        <v>0.98099999999999998</v>
      </c>
      <c r="CM39" s="253">
        <v>0.9879</v>
      </c>
      <c r="CN39" s="188">
        <f>ROUND([1]!NPVF2("MP","SLA","N",0.05,"M",$P39,$P39,0,0,120,0,"UP84","UP84","P","","")/[1]!NPVF2("MP","JSC","N",0.05,"M",$P39,$P39,CN$31,1,0,0,"UP84","UP84","P","",""),4)</f>
        <v>0.99429999999999996</v>
      </c>
      <c r="CO39" s="188">
        <f>ROUND([1]!NPVF2("MP","SLA","N",0.05,"M",$P39,$P39,0,0,120,0,"UP84","UP84","P","","")/[1]!NPVF2("MP","JSC","N",0.05,"M",$P39,$P39,CO$31,1,0,0,"UP84","UP84","P","",""),4)</f>
        <v>1.0004999999999999</v>
      </c>
      <c r="CP39" s="188">
        <f>ROUND([1]!NPVF2("MP","SLA","N",0.05,"M",$P39,$P39,0,0,120,0,"UP84","UP84","P","","")/[1]!NPVF2("MP","JSC","N",0.05,"M",$P39,$P39,CP$31,1,0,0,"UP84","UP84","P","",""),4)</f>
        <v>1.0063</v>
      </c>
      <c r="CQ39" s="188">
        <f>ROUND([1]!NPVF2("MP","SLA","N",0.05,"M",$P39,$P39,0,0,120,0,"UP84","UP84","P","","")/[1]!NPVF2("MP","JSC","N",0.05,"M",$P39,$P39,CQ$31,1,0,0,"UP84","UP84","P","",""),4)</f>
        <v>1.0118</v>
      </c>
      <c r="CR39" s="188">
        <f>ROUND([1]!NPVF2("MP","SLA","N",0.05,"M",$P39,$P39,0,0,120,0,"UP84","UP84","P","","")/[1]!NPVF2("MP","JSC","N",0.05,"M",$P39,$P39,CR$31,1,0,0,"UP84","UP84","P","",""),4)</f>
        <v>1.0168999999999999</v>
      </c>
      <c r="CS39" s="188">
        <f>ROUND([1]!NPVF2("MP","SLA","N",0.05,"M",$P39,$P39,0,0,120,0,"UP84","UP84","P","","")/[1]!NPVF2("MP","JSC","N",0.05,"M",$P39,$P39,CS$31,1,0,0,"UP84","UP84","P","",""),4)</f>
        <v>1.0217000000000001</v>
      </c>
      <c r="CT39" s="188">
        <f>ROUND([1]!NPVF2("MP","SLA","N",0.05,"M",$P39,$P39,0,0,120,0,"UP84","UP84","P","","")/[1]!NPVF2("MP","JSC","N",0.05,"M",$P39,$P39,CT$31,1,0,0,"UP84","UP84","P","",""),4)</f>
        <v>1.0262</v>
      </c>
      <c r="CU39" s="188">
        <f>ROUND([1]!NPVF2("MP","SLA","N",0.05,"M",$P39,$P39,0,0,120,0,"UP84","UP84","P","","")/[1]!NPVF2("MP","JSC","N",0.05,"M",$P39,$P39,CU$31,1,0,0,"UP84","UP84","P","",""),4)</f>
        <v>1.0303</v>
      </c>
      <c r="CV39" s="188">
        <f>ROUND([1]!NPVF2("MP","SLA","N",0.05,"M",$P39,$P39,0,0,120,0,"UP84","UP84","P","","")/[1]!NPVF2("MP","JSC","N",0.05,"M",$P39,$P39,CV$31,1,0,0,"UP84","UP84","P","",""),4)</f>
        <v>1.0342</v>
      </c>
      <c r="CW39" s="122">
        <f>ROUND([1]!NPVF2("MP","SLA","N",0.05,"M",$P39,$P39,0,0,120,0,"UP84","UP84","P","","")/[1]!NPVF2("MP","JSC","N",0.05,"M",$P39,$P39,CW$31,1,0,0,"UP84","UP84","P","",""),4)</f>
        <v>1.0378000000000001</v>
      </c>
      <c r="CX39" s="62"/>
      <c r="CY39" s="342"/>
      <c r="CZ39" s="340"/>
      <c r="DE39" s="76"/>
      <c r="DG39" s="79"/>
      <c r="DL39" t="s">
        <v>142</v>
      </c>
      <c r="DM39" s="76">
        <f>DCOUNT(Beneficiaries_in_Pay,"PVPBL_ANN_RATES",Beneficiary_Criteria)</f>
        <v>0</v>
      </c>
      <c r="DN39" s="274">
        <f>DSUM(Beneficiaries_in_Pay,"LS_TERM",All_Criteria)</f>
        <v>0</v>
      </c>
      <c r="DO39" s="46">
        <f>DO7+DO31</f>
        <v>0</v>
      </c>
      <c r="DP39" s="46">
        <f>DP7+DP31</f>
        <v>0</v>
      </c>
      <c r="DQ39" s="46">
        <f>DO39 + DP39</f>
        <v>0</v>
      </c>
      <c r="DR39" s="46"/>
      <c r="DS39" s="46"/>
      <c r="DW39" s="93">
        <v>1943</v>
      </c>
      <c r="DX39" s="16">
        <v>43776</v>
      </c>
      <c r="DY39" s="47">
        <v>44856</v>
      </c>
      <c r="DZ39" s="47">
        <v>45876</v>
      </c>
      <c r="EA39" s="47">
        <v>47244</v>
      </c>
      <c r="EB39" s="47">
        <v>47508</v>
      </c>
      <c r="EC39" s="47">
        <v>48108</v>
      </c>
      <c r="ED39" s="47">
        <v>49104</v>
      </c>
      <c r="EE39" s="47">
        <v>50136</v>
      </c>
      <c r="EF39" s="47">
        <v>51456</v>
      </c>
      <c r="EG39" s="47">
        <v>52488</v>
      </c>
      <c r="EH39" s="47">
        <v>53568</v>
      </c>
      <c r="EI39" s="47">
        <v>54588</v>
      </c>
      <c r="EJ39" s="47">
        <v>55008</v>
      </c>
      <c r="EK39" s="141">
        <v>55164</v>
      </c>
      <c r="EN39" s="43">
        <v>1943</v>
      </c>
      <c r="EO39" s="106">
        <v>28812</v>
      </c>
      <c r="EP39" s="127">
        <v>31164</v>
      </c>
      <c r="EQ39" s="149">
        <v>35400</v>
      </c>
      <c r="ER39" s="127">
        <v>33792</v>
      </c>
      <c r="ES39" s="127">
        <v>35292</v>
      </c>
      <c r="ET39" s="127">
        <v>36372</v>
      </c>
      <c r="EU39" s="127">
        <v>37068</v>
      </c>
      <c r="EV39" s="41">
        <v>40752</v>
      </c>
      <c r="EW39" s="127">
        <v>42636</v>
      </c>
      <c r="EX39" s="202">
        <v>43776</v>
      </c>
      <c r="EY39" s="47">
        <v>44856</v>
      </c>
      <c r="EZ39" s="47">
        <v>45876</v>
      </c>
      <c r="FA39" s="47">
        <v>47244</v>
      </c>
      <c r="FB39" s="47">
        <v>47508</v>
      </c>
      <c r="FC39" s="47">
        <v>48108</v>
      </c>
      <c r="FD39" s="47">
        <v>49104</v>
      </c>
      <c r="FE39" s="47">
        <v>50136</v>
      </c>
      <c r="FF39" s="47">
        <v>51456</v>
      </c>
      <c r="FG39" s="47">
        <v>52488</v>
      </c>
      <c r="FH39" s="47">
        <v>53568</v>
      </c>
      <c r="FI39" s="47">
        <v>54588</v>
      </c>
      <c r="FJ39" s="47">
        <v>55008</v>
      </c>
      <c r="FK39" s="141">
        <v>55164</v>
      </c>
    </row>
    <row r="40" spans="1:167" ht="15.75">
      <c r="B40" s="62"/>
      <c r="C40" s="62"/>
      <c r="D40" s="209">
        <f t="shared" si="0"/>
        <v>35</v>
      </c>
      <c r="E40" s="126">
        <f>[1]!PBGCLRF(65+D40/12)</f>
        <v>1.3291999999999999</v>
      </c>
      <c r="F40" s="62"/>
      <c r="G40" s="62"/>
      <c r="H40" s="62"/>
      <c r="I40" s="62"/>
      <c r="J40" s="19">
        <v>36</v>
      </c>
      <c r="K40" s="122">
        <f t="shared" si="1"/>
        <v>0.80000000000000071</v>
      </c>
      <c r="L40" s="62"/>
      <c r="M40" s="297">
        <v>36</v>
      </c>
      <c r="N40" s="122">
        <f>[1]!LRFAEQ(0.065,"M",65,M40,0,"GM71","GM71","MP","Y","N","",65)</f>
        <v>1.4213078437448574</v>
      </c>
      <c r="O40" s="62"/>
      <c r="P40" s="88">
        <v>63</v>
      </c>
      <c r="Q40" s="48">
        <v>0.57950000000000002</v>
      </c>
      <c r="R40" s="188">
        <v>0.58069999999999999</v>
      </c>
      <c r="S40" s="188">
        <v>0.58179999999999998</v>
      </c>
      <c r="T40" s="188">
        <v>0.58299999999999996</v>
      </c>
      <c r="U40" s="188">
        <v>0.58430000000000004</v>
      </c>
      <c r="V40" s="188">
        <v>0.58560000000000001</v>
      </c>
      <c r="W40" s="188">
        <v>0.58699999999999997</v>
      </c>
      <c r="X40" s="188">
        <v>0.58850000000000002</v>
      </c>
      <c r="Y40" s="188">
        <v>0.59</v>
      </c>
      <c r="Z40" s="188">
        <v>0.59160000000000001</v>
      </c>
      <c r="AA40" s="188">
        <v>0.59330000000000005</v>
      </c>
      <c r="AB40" s="188">
        <v>0.59509999999999996</v>
      </c>
      <c r="AC40" s="188">
        <v>0.59689999999999999</v>
      </c>
      <c r="AD40" s="188">
        <v>0.5988</v>
      </c>
      <c r="AE40" s="188">
        <v>0.6008</v>
      </c>
      <c r="AF40" s="188">
        <v>0.60289999999999999</v>
      </c>
      <c r="AG40" s="188">
        <v>0.6048</v>
      </c>
      <c r="AH40" s="188">
        <v>0.60670000000000002</v>
      </c>
      <c r="AI40" s="188">
        <v>0.60870000000000002</v>
      </c>
      <c r="AJ40" s="188">
        <v>0.6109</v>
      </c>
      <c r="AK40" s="188">
        <v>0.61319999999999997</v>
      </c>
      <c r="AL40" s="188">
        <v>0.61570000000000003</v>
      </c>
      <c r="AM40" s="188">
        <v>0.61829999999999996</v>
      </c>
      <c r="AN40" s="188">
        <v>0.621</v>
      </c>
      <c r="AO40" s="188">
        <v>0.62390000000000001</v>
      </c>
      <c r="AP40" s="188">
        <v>0.627</v>
      </c>
      <c r="AQ40" s="188">
        <v>0.63019999999999998</v>
      </c>
      <c r="AR40" s="188">
        <v>0.63360000000000005</v>
      </c>
      <c r="AS40" s="188">
        <v>0.63719999999999999</v>
      </c>
      <c r="AT40" s="188">
        <v>0.64100000000000001</v>
      </c>
      <c r="AU40" s="188">
        <v>0.64490000000000003</v>
      </c>
      <c r="AV40" s="188">
        <v>0.64910000000000001</v>
      </c>
      <c r="AW40" s="188">
        <v>0.65339999999999998</v>
      </c>
      <c r="AX40" s="188">
        <v>0.65800000000000003</v>
      </c>
      <c r="AY40" s="188">
        <v>0.66279999999999994</v>
      </c>
      <c r="AZ40" s="188">
        <v>0.66779999999999995</v>
      </c>
      <c r="BA40" s="188">
        <v>0.67300000000000004</v>
      </c>
      <c r="BB40" s="188">
        <v>0.6784</v>
      </c>
      <c r="BC40" s="188">
        <v>0.68400000000000005</v>
      </c>
      <c r="BD40" s="188">
        <v>0.68989999999999996</v>
      </c>
      <c r="BE40" s="188">
        <v>0.69599999999999995</v>
      </c>
      <c r="BF40" s="188">
        <v>0.70240000000000002</v>
      </c>
      <c r="BG40" s="188">
        <v>0.70899999999999996</v>
      </c>
      <c r="BH40" s="188">
        <v>0.71579999999999999</v>
      </c>
      <c r="BI40" s="188">
        <v>0.72289999999999999</v>
      </c>
      <c r="BJ40" s="188">
        <v>0.73019999999999996</v>
      </c>
      <c r="BK40" s="188">
        <v>0.73770000000000002</v>
      </c>
      <c r="BL40" s="188">
        <v>0.74550000000000005</v>
      </c>
      <c r="BM40" s="188">
        <v>0.75349999999999995</v>
      </c>
      <c r="BN40" s="188">
        <v>0.76170000000000004</v>
      </c>
      <c r="BO40" s="188">
        <v>0.77010000000000001</v>
      </c>
      <c r="BP40" s="188">
        <v>0.77869999999999995</v>
      </c>
      <c r="BQ40" s="188">
        <v>0.78749999999999998</v>
      </c>
      <c r="BR40" s="188">
        <v>0.79649999999999999</v>
      </c>
      <c r="BS40" s="188">
        <v>0.80559999999999998</v>
      </c>
      <c r="BT40" s="188">
        <v>0.81489999999999996</v>
      </c>
      <c r="BU40" s="188">
        <v>0.82440000000000002</v>
      </c>
      <c r="BV40" s="188">
        <v>0.83389999999999997</v>
      </c>
      <c r="BW40" s="188">
        <v>0.84360000000000002</v>
      </c>
      <c r="BX40" s="188">
        <v>0.85329999999999995</v>
      </c>
      <c r="BY40" s="188">
        <v>0.86299999999999999</v>
      </c>
      <c r="BZ40" s="188">
        <v>0.87270000000000003</v>
      </c>
      <c r="CA40" s="188">
        <v>0.88249999999999995</v>
      </c>
      <c r="CB40" s="188">
        <v>0.8921</v>
      </c>
      <c r="CC40" s="188">
        <v>0.90169999999999995</v>
      </c>
      <c r="CD40" s="188">
        <v>0.91110000000000002</v>
      </c>
      <c r="CE40" s="188">
        <v>0.9204</v>
      </c>
      <c r="CF40" s="188">
        <v>0.92949999999999999</v>
      </c>
      <c r="CG40" s="188">
        <v>0.9385</v>
      </c>
      <c r="CH40" s="188">
        <v>0.94720000000000004</v>
      </c>
      <c r="CI40" s="188">
        <v>0.95569999999999999</v>
      </c>
      <c r="CJ40" s="188">
        <v>0.96399999999999997</v>
      </c>
      <c r="CK40" s="188">
        <v>0.97209999999999996</v>
      </c>
      <c r="CL40" s="188">
        <v>0.9798</v>
      </c>
      <c r="CM40" s="253">
        <v>0.98719999999999997</v>
      </c>
      <c r="CN40" s="188">
        <f>ROUND([1]!NPVF2("MP","SLA","N",0.05,"M",$P40,$P40,0,0,120,0,"UP84","UP84","P","","")/[1]!NPVF2("MP","JSC","N",0.05,"M",$P40,$P40,CN$31,1,0,0,"UP84","UP84","P","",""),4)</f>
        <v>0.99429999999999996</v>
      </c>
      <c r="CO40" s="188">
        <f>ROUND([1]!NPVF2("MP","SLA","N",0.05,"M",$P40,$P40,0,0,120,0,"UP84","UP84","P","","")/[1]!NPVF2("MP","JSC","N",0.05,"M",$P40,$P40,CO$31,1,0,0,"UP84","UP84","P","",""),4)</f>
        <v>1.0009999999999999</v>
      </c>
      <c r="CP40" s="188">
        <f>ROUND([1]!NPVF2("MP","SLA","N",0.05,"M",$P40,$P40,0,0,120,0,"UP84","UP84","P","","")/[1]!NPVF2("MP","JSC","N",0.05,"M",$P40,$P40,CP$31,1,0,0,"UP84","UP84","P","",""),4)</f>
        <v>1.0073000000000001</v>
      </c>
      <c r="CQ40" s="188">
        <f>ROUND([1]!NPVF2("MP","SLA","N",0.05,"M",$P40,$P40,0,0,120,0,"UP84","UP84","P","","")/[1]!NPVF2("MP","JSC","N",0.05,"M",$P40,$P40,CQ$31,1,0,0,"UP84","UP84","P","",""),4)</f>
        <v>1.0133000000000001</v>
      </c>
      <c r="CR40" s="188">
        <f>ROUND([1]!NPVF2("MP","SLA","N",0.05,"M",$P40,$P40,0,0,120,0,"UP84","UP84","P","","")/[1]!NPVF2("MP","JSC","N",0.05,"M",$P40,$P40,CR$31,1,0,0,"UP84","UP84","P","",""),4)</f>
        <v>1.0189999999999999</v>
      </c>
      <c r="CS40" s="188">
        <f>ROUND([1]!NPVF2("MP","SLA","N",0.05,"M",$P40,$P40,0,0,120,0,"UP84","UP84","P","","")/[1]!NPVF2("MP","JSC","N",0.05,"M",$P40,$P40,CS$31,1,0,0,"UP84","UP84","P","",""),4)</f>
        <v>1.0243</v>
      </c>
      <c r="CT40" s="188">
        <f>ROUND([1]!NPVF2("MP","SLA","N",0.05,"M",$P40,$P40,0,0,120,0,"UP84","UP84","P","","")/[1]!NPVF2("MP","JSC","N",0.05,"M",$P40,$P40,CT$31,1,0,0,"UP84","UP84","P","",""),4)</f>
        <v>1.0291999999999999</v>
      </c>
      <c r="CU40" s="188">
        <f>ROUND([1]!NPVF2("MP","SLA","N",0.05,"M",$P40,$P40,0,0,120,0,"UP84","UP84","P","","")/[1]!NPVF2("MP","JSC","N",0.05,"M",$P40,$P40,CU$31,1,0,0,"UP84","UP84","P","",""),4)</f>
        <v>1.0338000000000001</v>
      </c>
      <c r="CV40" s="188">
        <f>ROUND([1]!NPVF2("MP","SLA","N",0.05,"M",$P40,$P40,0,0,120,0,"UP84","UP84","P","","")/[1]!NPVF2("MP","JSC","N",0.05,"M",$P40,$P40,CV$31,1,0,0,"UP84","UP84","P","",""),4)</f>
        <v>1.0381</v>
      </c>
      <c r="CW40" s="122">
        <f>ROUND([1]!NPVF2("MP","SLA","N",0.05,"M",$P40,$P40,0,0,120,0,"UP84","UP84","P","","")/[1]!NPVF2("MP","JSC","N",0.05,"M",$P40,$P40,CW$31,1,0,0,"UP84","UP84","P","",""),4)</f>
        <v>1.0421</v>
      </c>
      <c r="CX40" s="62"/>
      <c r="CY40" s="79">
        <v>27881</v>
      </c>
      <c r="DG40" s="79"/>
      <c r="DL40" t="s">
        <v>136</v>
      </c>
      <c r="DM40">
        <f>DCOUNT(Active_Vesteds,"PVPBL_ANN_RATES",All_Criteria)</f>
        <v>0</v>
      </c>
      <c r="DN40" s="274">
        <f>DSUM(Active_Vesteds,"LS_TERM",All_Criteria)</f>
        <v>0</v>
      </c>
      <c r="DO40" s="46">
        <f t="shared" ref="DO40:DP41" si="8">DO8+DO32</f>
        <v>0</v>
      </c>
      <c r="DP40" s="46">
        <f t="shared" si="8"/>
        <v>0</v>
      </c>
      <c r="DQ40" s="46">
        <f t="shared" si="7"/>
        <v>0</v>
      </c>
      <c r="DW40" s="93">
        <v>1944</v>
      </c>
      <c r="DX40" s="16">
        <v>44892</v>
      </c>
      <c r="DY40" s="47">
        <v>46032</v>
      </c>
      <c r="DZ40" s="47">
        <v>47112</v>
      </c>
      <c r="EA40" s="47">
        <v>48576</v>
      </c>
      <c r="EB40" s="47">
        <v>48852</v>
      </c>
      <c r="EC40" s="47">
        <v>49488</v>
      </c>
      <c r="ED40" s="47">
        <v>50568</v>
      </c>
      <c r="EE40" s="47">
        <v>51684</v>
      </c>
      <c r="EF40" s="47">
        <v>53124</v>
      </c>
      <c r="EG40" s="47">
        <v>54252</v>
      </c>
      <c r="EH40" s="47">
        <v>55452</v>
      </c>
      <c r="EI40" s="47">
        <v>56616</v>
      </c>
      <c r="EJ40" s="47">
        <v>57096</v>
      </c>
      <c r="EK40" s="141">
        <v>57276</v>
      </c>
      <c r="EN40" s="43">
        <v>1944</v>
      </c>
      <c r="EO40" s="106">
        <v>29424</v>
      </c>
      <c r="EP40" s="127">
        <v>31872</v>
      </c>
      <c r="EQ40" s="149">
        <v>33372</v>
      </c>
      <c r="ER40" s="127">
        <v>34608</v>
      </c>
      <c r="ES40" s="127">
        <v>36192</v>
      </c>
      <c r="ET40" s="127">
        <v>37320</v>
      </c>
      <c r="EU40" s="127">
        <v>38040</v>
      </c>
      <c r="EV40" s="41">
        <v>41712</v>
      </c>
      <c r="EW40" s="127">
        <v>43692</v>
      </c>
      <c r="EX40" s="202">
        <v>44892</v>
      </c>
      <c r="EY40" s="47">
        <v>46032</v>
      </c>
      <c r="EZ40" s="47">
        <v>47112</v>
      </c>
      <c r="FA40" s="47">
        <v>48576</v>
      </c>
      <c r="FB40" s="47">
        <v>48852</v>
      </c>
      <c r="FC40" s="47">
        <v>49488</v>
      </c>
      <c r="FD40" s="47">
        <v>50568</v>
      </c>
      <c r="FE40" s="47">
        <v>51684</v>
      </c>
      <c r="FF40" s="47">
        <v>53124</v>
      </c>
      <c r="FG40" s="47">
        <v>54252</v>
      </c>
      <c r="FH40" s="47">
        <v>55452</v>
      </c>
      <c r="FI40" s="47">
        <v>56616</v>
      </c>
      <c r="FJ40" s="47">
        <v>57096</v>
      </c>
      <c r="FK40" s="141">
        <v>57276</v>
      </c>
    </row>
    <row r="41" spans="1:167" ht="15.75">
      <c r="B41" s="62"/>
      <c r="C41" s="62"/>
      <c r="D41" s="209">
        <f t="shared" si="0"/>
        <v>36</v>
      </c>
      <c r="E41" s="126">
        <f>[1]!PBGCLRF(65+D41/12)</f>
        <v>1.34</v>
      </c>
      <c r="F41" s="62"/>
      <c r="G41" s="62"/>
      <c r="H41" s="62"/>
      <c r="I41" s="62"/>
      <c r="J41" s="19">
        <v>37</v>
      </c>
      <c r="K41" s="122">
        <f t="shared" si="1"/>
        <v>0.79444444444444517</v>
      </c>
      <c r="L41" s="62"/>
      <c r="M41" s="297">
        <v>37</v>
      </c>
      <c r="N41" s="122">
        <f>[1]!LRFAEQ(0.065,"M",65,M41,0,"GM71","GM71","MP","Y","N","",65)</f>
        <v>1.4370355065434106</v>
      </c>
      <c r="O41" s="62"/>
      <c r="P41" s="88">
        <v>64</v>
      </c>
      <c r="Q41" s="48">
        <v>0.56830000000000003</v>
      </c>
      <c r="R41" s="188">
        <v>0.56940000000000002</v>
      </c>
      <c r="S41" s="188">
        <v>0.57050000000000001</v>
      </c>
      <c r="T41" s="188">
        <v>0.57169999999999999</v>
      </c>
      <c r="U41" s="188">
        <v>0.57299999999999995</v>
      </c>
      <c r="V41" s="188">
        <v>0.57430000000000003</v>
      </c>
      <c r="W41" s="188">
        <v>0.57569999999999999</v>
      </c>
      <c r="X41" s="188">
        <v>0.57709999999999995</v>
      </c>
      <c r="Y41" s="188">
        <v>0.5786</v>
      </c>
      <c r="Z41" s="188">
        <v>0.58020000000000005</v>
      </c>
      <c r="AA41" s="188">
        <v>0.58189999999999997</v>
      </c>
      <c r="AB41" s="188">
        <v>0.58360000000000001</v>
      </c>
      <c r="AC41" s="188">
        <v>0.58540000000000003</v>
      </c>
      <c r="AD41" s="188">
        <v>0.58730000000000004</v>
      </c>
      <c r="AE41" s="188">
        <v>0.58930000000000005</v>
      </c>
      <c r="AF41" s="188">
        <v>0.59140000000000004</v>
      </c>
      <c r="AG41" s="188">
        <v>0.59309999999999996</v>
      </c>
      <c r="AH41" s="188">
        <v>0.59499999999999997</v>
      </c>
      <c r="AI41" s="188">
        <v>0.59709999999999996</v>
      </c>
      <c r="AJ41" s="188">
        <v>0.59919999999999995</v>
      </c>
      <c r="AK41" s="188">
        <v>0.60150000000000003</v>
      </c>
      <c r="AL41" s="188">
        <v>0.60389999999999999</v>
      </c>
      <c r="AM41" s="188">
        <v>0.60640000000000005</v>
      </c>
      <c r="AN41" s="188">
        <v>0.60909999999999997</v>
      </c>
      <c r="AO41" s="188">
        <v>0.61199999999999999</v>
      </c>
      <c r="AP41" s="188">
        <v>0.61499999999999999</v>
      </c>
      <c r="AQ41" s="188">
        <v>0.61819999999999997</v>
      </c>
      <c r="AR41" s="188">
        <v>0.62160000000000004</v>
      </c>
      <c r="AS41" s="188">
        <v>0.62509999999999999</v>
      </c>
      <c r="AT41" s="188">
        <v>0.62890000000000001</v>
      </c>
      <c r="AU41" s="188">
        <v>0.63280000000000003</v>
      </c>
      <c r="AV41" s="188">
        <v>0.63690000000000002</v>
      </c>
      <c r="AW41" s="188">
        <v>0.64119999999999999</v>
      </c>
      <c r="AX41" s="188">
        <v>0.64580000000000004</v>
      </c>
      <c r="AY41" s="188">
        <v>0.65049999999999997</v>
      </c>
      <c r="AZ41" s="188">
        <v>0.65549999999999997</v>
      </c>
      <c r="BA41" s="188">
        <v>0.66069999999999995</v>
      </c>
      <c r="BB41" s="188">
        <v>0.66610000000000003</v>
      </c>
      <c r="BC41" s="188">
        <v>0.67169999999999996</v>
      </c>
      <c r="BD41" s="188">
        <v>0.67759999999999998</v>
      </c>
      <c r="BE41" s="188">
        <v>0.68369999999999997</v>
      </c>
      <c r="BF41" s="188">
        <v>0.69010000000000005</v>
      </c>
      <c r="BG41" s="188">
        <v>0.69669999999999999</v>
      </c>
      <c r="BH41" s="188">
        <v>0.7036</v>
      </c>
      <c r="BI41" s="188">
        <v>0.7107</v>
      </c>
      <c r="BJ41" s="188">
        <v>0.71809999999999996</v>
      </c>
      <c r="BK41" s="188">
        <v>0.72570000000000001</v>
      </c>
      <c r="BL41" s="188">
        <v>0.73350000000000004</v>
      </c>
      <c r="BM41" s="188">
        <v>0.74160000000000004</v>
      </c>
      <c r="BN41" s="188">
        <v>0.75</v>
      </c>
      <c r="BO41" s="188">
        <v>0.75849999999999995</v>
      </c>
      <c r="BP41" s="188">
        <v>0.76729999999999998</v>
      </c>
      <c r="BQ41" s="188">
        <v>0.77629999999999999</v>
      </c>
      <c r="BR41" s="188">
        <v>0.78549999999999998</v>
      </c>
      <c r="BS41" s="188">
        <v>0.79490000000000005</v>
      </c>
      <c r="BT41" s="188">
        <v>0.80449999999999999</v>
      </c>
      <c r="BU41" s="188">
        <v>0.81420000000000003</v>
      </c>
      <c r="BV41" s="188">
        <v>0.82410000000000005</v>
      </c>
      <c r="BW41" s="188">
        <v>0.83409999999999995</v>
      </c>
      <c r="BX41" s="188">
        <v>0.84419999999999995</v>
      </c>
      <c r="BY41" s="188">
        <v>0.85429999999999995</v>
      </c>
      <c r="BZ41" s="188">
        <v>0.86450000000000005</v>
      </c>
      <c r="CA41" s="188">
        <v>0.87470000000000003</v>
      </c>
      <c r="CB41" s="188">
        <v>0.88490000000000002</v>
      </c>
      <c r="CC41" s="188">
        <v>0.89500000000000002</v>
      </c>
      <c r="CD41" s="188">
        <v>0.90500000000000003</v>
      </c>
      <c r="CE41" s="188">
        <v>0.91479999999999995</v>
      </c>
      <c r="CF41" s="188">
        <v>0.92449999999999999</v>
      </c>
      <c r="CG41" s="188">
        <v>0.93400000000000005</v>
      </c>
      <c r="CH41" s="188">
        <v>0.94340000000000002</v>
      </c>
      <c r="CI41" s="188">
        <v>0.95250000000000001</v>
      </c>
      <c r="CJ41" s="188">
        <v>0.96150000000000002</v>
      </c>
      <c r="CK41" s="188">
        <v>0.97009999999999996</v>
      </c>
      <c r="CL41" s="188">
        <v>0.97850000000000004</v>
      </c>
      <c r="CM41" s="253">
        <v>0.98650000000000004</v>
      </c>
      <c r="CN41" s="188">
        <f>ROUND([1]!NPVF2("MP","SLA","N",0.05,"M",$P41,$P41,0,0,120,0,"UP84","UP84","P","","")/[1]!NPVF2("MP","JSC","N",0.05,"M",$P41,$P41,CN$31,1,0,0,"UP84","UP84","P","",""),4)</f>
        <v>0.99419999999999997</v>
      </c>
      <c r="CO41" s="188">
        <f>ROUND([1]!NPVF2("MP","SLA","N",0.05,"M",$P41,$P41,0,0,120,0,"UP84","UP84","P","","")/[1]!NPVF2("MP","JSC","N",0.05,"M",$P41,$P41,CO$31,1,0,0,"UP84","UP84","P","",""),4)</f>
        <v>1.0016</v>
      </c>
      <c r="CP41" s="188">
        <f>ROUND([1]!NPVF2("MP","SLA","N",0.05,"M",$P41,$P41,0,0,120,0,"UP84","UP84","P","","")/[1]!NPVF2("MP","JSC","N",0.05,"M",$P41,$P41,CP$31,1,0,0,"UP84","UP84","P","",""),4)</f>
        <v>1.0085</v>
      </c>
      <c r="CQ41" s="188">
        <f>ROUND([1]!NPVF2("MP","SLA","N",0.05,"M",$P41,$P41,0,0,120,0,"UP84","UP84","P","","")/[1]!NPVF2("MP","JSC","N",0.05,"M",$P41,$P41,CQ$31,1,0,0,"UP84","UP84","P","",""),4)</f>
        <v>1.0150999999999999</v>
      </c>
      <c r="CR41" s="188">
        <f>ROUND([1]!NPVF2("MP","SLA","N",0.05,"M",$P41,$P41,0,0,120,0,"UP84","UP84","P","","")/[1]!NPVF2("MP","JSC","N",0.05,"M",$P41,$P41,CR$31,1,0,0,"UP84","UP84","P","",""),4)</f>
        <v>1.0213000000000001</v>
      </c>
      <c r="CS41" s="188">
        <f>ROUND([1]!NPVF2("MP","SLA","N",0.05,"M",$P41,$P41,0,0,120,0,"UP84","UP84","P","","")/[1]!NPVF2("MP","JSC","N",0.05,"M",$P41,$P41,CS$31,1,0,0,"UP84","UP84","P","",""),4)</f>
        <v>1.0270999999999999</v>
      </c>
      <c r="CT41" s="188">
        <f>ROUND([1]!NPVF2("MP","SLA","N",0.05,"M",$P41,$P41,0,0,120,0,"UP84","UP84","P","","")/[1]!NPVF2("MP","JSC","N",0.05,"M",$P41,$P41,CT$31,1,0,0,"UP84","UP84","P","",""),4)</f>
        <v>1.0326</v>
      </c>
      <c r="CU41" s="188">
        <f>ROUND([1]!NPVF2("MP","SLA","N",0.05,"M",$P41,$P41,0,0,120,0,"UP84","UP84","P","","")/[1]!NPVF2("MP","JSC","N",0.05,"M",$P41,$P41,CU$31,1,0,0,"UP84","UP84","P","",""),4)</f>
        <v>1.0377000000000001</v>
      </c>
      <c r="CV41" s="188">
        <f>ROUND([1]!NPVF2("MP","SLA","N",0.05,"M",$P41,$P41,0,0,120,0,"UP84","UP84","P","","")/[1]!NPVF2("MP","JSC","N",0.05,"M",$P41,$P41,CV$31,1,0,0,"UP84","UP84","P","",""),4)</f>
        <v>1.0424</v>
      </c>
      <c r="CW41" s="122">
        <f>ROUND([1]!NPVF2("MP","SLA","N",0.05,"M",$P41,$P41,0,0,120,0,"UP84","UP84","P","","")/[1]!NPVF2("MP","JSC","N",0.05,"M",$P41,$P41,CW$31,1,0,0,"UP84","UP84","P","",""),4)</f>
        <v>1.0468</v>
      </c>
      <c r="CX41" s="62"/>
      <c r="CY41" s="150"/>
      <c r="DL41" t="s">
        <v>352</v>
      </c>
      <c r="DM41">
        <f>DCOUNT(Separated_Vesteds,"PVPBL_ANN_RATES",All_Criteria)</f>
        <v>0</v>
      </c>
      <c r="DN41" s="274">
        <f>DSUM(Separated_Vesteds,"LS_TERM",All_Criteria)</f>
        <v>0</v>
      </c>
      <c r="DO41" s="46">
        <f t="shared" si="8"/>
        <v>0</v>
      </c>
      <c r="DP41" s="46">
        <f t="shared" si="8"/>
        <v>0</v>
      </c>
      <c r="DQ41" s="46">
        <f t="shared" si="7"/>
        <v>0</v>
      </c>
      <c r="DW41" s="93">
        <v>1945</v>
      </c>
      <c r="DX41" s="16">
        <v>45984</v>
      </c>
      <c r="DY41" s="47">
        <v>47184</v>
      </c>
      <c r="DZ41" s="47">
        <v>48324</v>
      </c>
      <c r="EA41" s="47">
        <v>49872</v>
      </c>
      <c r="EB41" s="47">
        <v>50160</v>
      </c>
      <c r="EC41" s="47">
        <v>50844</v>
      </c>
      <c r="ED41" s="47">
        <v>52008</v>
      </c>
      <c r="EE41" s="47">
        <v>53208</v>
      </c>
      <c r="EF41" s="47">
        <v>54768</v>
      </c>
      <c r="EG41" s="47">
        <v>55992</v>
      </c>
      <c r="EH41" s="47">
        <v>57312</v>
      </c>
      <c r="EI41" s="47">
        <v>58608</v>
      </c>
      <c r="EJ41" s="47">
        <v>59418</v>
      </c>
      <c r="EK41" s="141">
        <v>59352</v>
      </c>
      <c r="EN41" s="43">
        <v>1945</v>
      </c>
      <c r="EO41" s="106">
        <v>29976</v>
      </c>
      <c r="EP41" s="127">
        <v>32520</v>
      </c>
      <c r="EQ41" s="149">
        <v>34060</v>
      </c>
      <c r="ER41" s="127">
        <v>35364</v>
      </c>
      <c r="ES41" s="127">
        <v>37008</v>
      </c>
      <c r="ET41" s="127">
        <v>38196</v>
      </c>
      <c r="EU41" s="127">
        <v>38952</v>
      </c>
      <c r="EV41" s="41">
        <v>42648</v>
      </c>
      <c r="EW41" s="127">
        <v>44724</v>
      </c>
      <c r="EX41" s="202">
        <v>45984</v>
      </c>
      <c r="EY41" s="47">
        <v>47184</v>
      </c>
      <c r="EZ41" s="47">
        <v>48324</v>
      </c>
      <c r="FA41" s="47">
        <v>49872</v>
      </c>
      <c r="FB41" s="47">
        <v>50160</v>
      </c>
      <c r="FC41" s="47">
        <v>50844</v>
      </c>
      <c r="FD41" s="47">
        <v>52008</v>
      </c>
      <c r="FE41" s="47">
        <v>53208</v>
      </c>
      <c r="FF41" s="47">
        <v>54768</v>
      </c>
      <c r="FG41" s="47">
        <v>55992</v>
      </c>
      <c r="FH41" s="47">
        <v>57312</v>
      </c>
      <c r="FI41" s="47">
        <v>58608</v>
      </c>
      <c r="FJ41" s="47">
        <v>59418</v>
      </c>
      <c r="FK41" s="141">
        <v>59352</v>
      </c>
    </row>
    <row r="42" spans="1:167" ht="15.75">
      <c r="B42" s="62"/>
      <c r="C42" s="62"/>
      <c r="D42" s="209">
        <f t="shared" si="0"/>
        <v>37</v>
      </c>
      <c r="E42" s="126">
        <f>[1]!PBGCLRF(65+D42/12)</f>
        <v>1.3525</v>
      </c>
      <c r="F42" s="62"/>
      <c r="G42" s="62"/>
      <c r="H42" s="62"/>
      <c r="I42" s="62"/>
      <c r="J42" s="19">
        <v>38</v>
      </c>
      <c r="K42" s="122">
        <f t="shared" si="1"/>
        <v>0.78888888888888964</v>
      </c>
      <c r="L42" s="62"/>
      <c r="M42" s="297">
        <v>38</v>
      </c>
      <c r="N42" s="122">
        <f>[1]!LRFAEQ(0.065,"M",65,M42,0,"GM71","GM71","MP","Y","N","",65)</f>
        <v>1.4527631693419636</v>
      </c>
      <c r="O42" s="62"/>
      <c r="P42" s="88">
        <v>65</v>
      </c>
      <c r="Q42" s="48">
        <v>0.55710000000000004</v>
      </c>
      <c r="R42" s="188">
        <v>0.55820000000000003</v>
      </c>
      <c r="S42" s="188">
        <v>0.55940000000000001</v>
      </c>
      <c r="T42" s="188">
        <v>0.5605</v>
      </c>
      <c r="U42" s="188">
        <v>0.56179999999999997</v>
      </c>
      <c r="V42" s="188">
        <v>0.56310000000000004</v>
      </c>
      <c r="W42" s="188">
        <v>0.56440000000000001</v>
      </c>
      <c r="X42" s="188">
        <v>0.56589999999999996</v>
      </c>
      <c r="Y42" s="188">
        <v>0.56740000000000002</v>
      </c>
      <c r="Z42" s="188">
        <v>0.56889999999999996</v>
      </c>
      <c r="AA42" s="188">
        <v>0.57050000000000001</v>
      </c>
      <c r="AB42" s="188">
        <v>0.57230000000000003</v>
      </c>
      <c r="AC42" s="188">
        <v>0.57399999999999995</v>
      </c>
      <c r="AD42" s="188">
        <v>0.57589999999999997</v>
      </c>
      <c r="AE42" s="188">
        <v>0.57789999999999997</v>
      </c>
      <c r="AF42" s="188">
        <v>0.57989999999999997</v>
      </c>
      <c r="AG42" s="188">
        <v>0.58169999999999999</v>
      </c>
      <c r="AH42" s="188">
        <v>0.58350000000000002</v>
      </c>
      <c r="AI42" s="188">
        <v>0.58550000000000002</v>
      </c>
      <c r="AJ42" s="188">
        <v>0.58760000000000001</v>
      </c>
      <c r="AK42" s="188">
        <v>0.58989999999999998</v>
      </c>
      <c r="AL42" s="188">
        <v>0.59219999999999995</v>
      </c>
      <c r="AM42" s="188">
        <v>0.59470000000000001</v>
      </c>
      <c r="AN42" s="188">
        <v>0.59740000000000004</v>
      </c>
      <c r="AO42" s="188">
        <v>0.60019999999999996</v>
      </c>
      <c r="AP42" s="188">
        <v>0.60319999999999996</v>
      </c>
      <c r="AQ42" s="188">
        <v>0.60640000000000005</v>
      </c>
      <c r="AR42" s="188">
        <v>0.60970000000000002</v>
      </c>
      <c r="AS42" s="188">
        <v>0.61319999999999997</v>
      </c>
      <c r="AT42" s="188">
        <v>0.6169</v>
      </c>
      <c r="AU42" s="188">
        <v>0.62080000000000002</v>
      </c>
      <c r="AV42" s="188">
        <v>0.62490000000000001</v>
      </c>
      <c r="AW42" s="188">
        <v>0.62919999999999998</v>
      </c>
      <c r="AX42" s="188">
        <v>0.63370000000000004</v>
      </c>
      <c r="AY42" s="188">
        <v>0.63839999999999997</v>
      </c>
      <c r="AZ42" s="188">
        <v>0.64339999999999997</v>
      </c>
      <c r="BA42" s="188">
        <v>0.64849999999999997</v>
      </c>
      <c r="BB42" s="188">
        <v>0.65390000000000004</v>
      </c>
      <c r="BC42" s="188">
        <v>0.65949999999999998</v>
      </c>
      <c r="BD42" s="188">
        <v>0.66539999999999999</v>
      </c>
      <c r="BE42" s="188">
        <v>0.67149999999999999</v>
      </c>
      <c r="BF42" s="188">
        <v>0.67789999999999995</v>
      </c>
      <c r="BG42" s="188">
        <v>0.6845</v>
      </c>
      <c r="BH42" s="188">
        <v>0.69140000000000001</v>
      </c>
      <c r="BI42" s="188">
        <v>0.6986</v>
      </c>
      <c r="BJ42" s="188">
        <v>0.70599999999999996</v>
      </c>
      <c r="BK42" s="188">
        <v>0.7137</v>
      </c>
      <c r="BL42" s="188">
        <v>0.72160000000000002</v>
      </c>
      <c r="BM42" s="188">
        <v>0.7298</v>
      </c>
      <c r="BN42" s="188">
        <v>0.73819999999999997</v>
      </c>
      <c r="BO42" s="188">
        <v>0.74690000000000001</v>
      </c>
      <c r="BP42" s="188">
        <v>0.75590000000000002</v>
      </c>
      <c r="BQ42" s="188">
        <v>0.76500000000000001</v>
      </c>
      <c r="BR42" s="188">
        <v>0.77439999999999998</v>
      </c>
      <c r="BS42" s="188">
        <v>0.78400000000000003</v>
      </c>
      <c r="BT42" s="188">
        <v>0.79390000000000005</v>
      </c>
      <c r="BU42" s="188">
        <v>0.80389999999999995</v>
      </c>
      <c r="BV42" s="188">
        <v>0.81410000000000005</v>
      </c>
      <c r="BW42" s="188">
        <v>0.82440000000000002</v>
      </c>
      <c r="BX42" s="188">
        <v>0.83489999999999998</v>
      </c>
      <c r="BY42" s="188">
        <v>0.84540000000000004</v>
      </c>
      <c r="BZ42" s="188">
        <v>0.85609999999999997</v>
      </c>
      <c r="CA42" s="188">
        <v>0.86670000000000003</v>
      </c>
      <c r="CB42" s="188">
        <v>0.87739999999999996</v>
      </c>
      <c r="CC42" s="188">
        <v>0.88800000000000001</v>
      </c>
      <c r="CD42" s="188">
        <v>0.89859999999999995</v>
      </c>
      <c r="CE42" s="188">
        <v>0.90900000000000003</v>
      </c>
      <c r="CF42" s="188">
        <v>0.91930000000000001</v>
      </c>
      <c r="CG42" s="188">
        <v>0.9294</v>
      </c>
      <c r="CH42" s="188">
        <v>0.93940000000000001</v>
      </c>
      <c r="CI42" s="188">
        <v>0.94920000000000004</v>
      </c>
      <c r="CJ42" s="188">
        <v>0.95879999999999999</v>
      </c>
      <c r="CK42" s="188">
        <v>0.96809999999999996</v>
      </c>
      <c r="CL42" s="188">
        <v>0.97719999999999996</v>
      </c>
      <c r="CM42" s="253">
        <v>0.9859</v>
      </c>
      <c r="CN42" s="188">
        <f>ROUND([1]!NPVF2("MP","SLA","N",0.05,"M",$P42,$P42,0,0,120,0,"UP84","UP84","P","","")/[1]!NPVF2("MP","JSC","N",0.05,"M",$P42,$P42,CN$31,1,0,0,"UP84","UP84","P","",""),4)</f>
        <v>0.99419999999999997</v>
      </c>
      <c r="CO42" s="188">
        <f>ROUND([1]!NPVF2("MP","SLA","N",0.05,"M",$P42,$P42,0,0,120,0,"UP84","UP84","P","","")/[1]!NPVF2("MP","JSC","N",0.05,"M",$P42,$P42,CO$31,1,0,0,"UP84","UP84","P","",""),4)</f>
        <v>1.0022</v>
      </c>
      <c r="CP42" s="188">
        <f>ROUND([1]!NPVF2("MP","SLA","N",0.05,"M",$P42,$P42,0,0,120,0,"UP84","UP84","P","","")/[1]!NPVF2("MP","JSC","N",0.05,"M",$P42,$P42,CP$31,1,0,0,"UP84","UP84","P","",""),4)</f>
        <v>1.0098</v>
      </c>
      <c r="CQ42" s="188">
        <f>ROUND([1]!NPVF2("MP","SLA","N",0.05,"M",$P42,$P42,0,0,120,0,"UP84","UP84","P","","")/[1]!NPVF2("MP","JSC","N",0.05,"M",$P42,$P42,CQ$31,1,0,0,"UP84","UP84","P","",""),4)</f>
        <v>1.0169999999999999</v>
      </c>
      <c r="CR42" s="188">
        <f>ROUND([1]!NPVF2("MP","SLA","N",0.05,"M",$P42,$P42,0,0,120,0,"UP84","UP84","P","","")/[1]!NPVF2("MP","JSC","N",0.05,"M",$P42,$P42,CR$31,1,0,0,"UP84","UP84","P","",""),4)</f>
        <v>1.0238</v>
      </c>
      <c r="CS42" s="188">
        <f>ROUND([1]!NPVF2("MP","SLA","N",0.05,"M",$P42,$P42,0,0,120,0,"UP84","UP84","P","","")/[1]!NPVF2("MP","JSC","N",0.05,"M",$P42,$P42,CS$31,1,0,0,"UP84","UP84","P","",""),4)</f>
        <v>1.0303</v>
      </c>
      <c r="CT42" s="188">
        <f>ROUND([1]!NPVF2("MP","SLA","N",0.05,"M",$P42,$P42,0,0,120,0,"UP84","UP84","P","","")/[1]!NPVF2("MP","JSC","N",0.05,"M",$P42,$P42,CT$31,1,0,0,"UP84","UP84","P","",""),4)</f>
        <v>1.0363</v>
      </c>
      <c r="CU42" s="188">
        <f>ROUND([1]!NPVF2("MP","SLA","N",0.05,"M",$P42,$P42,0,0,120,0,"UP84","UP84","P","","")/[1]!NPVF2("MP","JSC","N",0.05,"M",$P42,$P42,CU$31,1,0,0,"UP84","UP84","P","",""),4)</f>
        <v>1.0419</v>
      </c>
      <c r="CV42" s="188">
        <f>ROUND([1]!NPVF2("MP","SLA","N",0.05,"M",$P42,$P42,0,0,120,0,"UP84","UP84","P","","")/[1]!NPVF2("MP","JSC","N",0.05,"M",$P42,$P42,CV$31,1,0,0,"UP84","UP84","P","",""),4)</f>
        <v>1.0470999999999999</v>
      </c>
      <c r="CW42" s="122">
        <f>ROUND([1]!NPVF2("MP","SLA","N",0.05,"M",$P42,$P42,0,0,120,0,"UP84","UP84","P","","")/[1]!NPVF2("MP","JSC","N",0.05,"M",$P42,$P42,CW$31,1,0,0,"UP84","UP84","P","",""),4)</f>
        <v>1.052</v>
      </c>
      <c r="CX42" s="62"/>
      <c r="CY42" s="184" t="s">
        <v>91</v>
      </c>
      <c r="CZ42" s="184"/>
      <c r="DL42" t="s">
        <v>404</v>
      </c>
      <c r="DM42">
        <v>0</v>
      </c>
      <c r="DN42" t="s">
        <v>422</v>
      </c>
      <c r="DO42" s="46">
        <v>0</v>
      </c>
      <c r="DP42" s="26">
        <v>0</v>
      </c>
      <c r="DQ42" s="46">
        <f t="shared" si="7"/>
        <v>0</v>
      </c>
      <c r="DW42" s="93">
        <v>1946</v>
      </c>
      <c r="DX42" s="16">
        <v>47040</v>
      </c>
      <c r="DY42" s="47">
        <v>48300</v>
      </c>
      <c r="DZ42" s="47">
        <v>49500</v>
      </c>
      <c r="EA42" s="47">
        <v>51132</v>
      </c>
      <c r="EB42" s="47">
        <v>51432</v>
      </c>
      <c r="EC42" s="47">
        <v>52164</v>
      </c>
      <c r="ED42" s="47">
        <v>53400</v>
      </c>
      <c r="EE42" s="47">
        <v>54684</v>
      </c>
      <c r="EF42" s="47">
        <v>56364</v>
      </c>
      <c r="EG42" s="47">
        <v>57708</v>
      </c>
      <c r="EH42" s="47">
        <v>59148</v>
      </c>
      <c r="EI42" s="47">
        <v>60552</v>
      </c>
      <c r="EJ42" s="47">
        <v>61152</v>
      </c>
      <c r="EK42" s="141">
        <v>61392</v>
      </c>
      <c r="EN42" s="43">
        <v>1946</v>
      </c>
      <c r="EO42" s="106">
        <v>30492</v>
      </c>
      <c r="EP42" s="127">
        <v>33132</v>
      </c>
      <c r="EQ42" s="149">
        <v>34752</v>
      </c>
      <c r="ER42" s="127">
        <v>36096</v>
      </c>
      <c r="ES42" s="127">
        <v>37812</v>
      </c>
      <c r="ET42" s="127">
        <v>39048</v>
      </c>
      <c r="EU42" s="127">
        <v>39828</v>
      </c>
      <c r="EV42" s="41">
        <v>43548</v>
      </c>
      <c r="EW42" s="127">
        <v>45720</v>
      </c>
      <c r="EX42" s="202">
        <v>47040</v>
      </c>
      <c r="EY42" s="47">
        <v>48300</v>
      </c>
      <c r="EZ42" s="47">
        <v>49500</v>
      </c>
      <c r="FA42" s="47">
        <v>51132</v>
      </c>
      <c r="FB42" s="47">
        <v>51432</v>
      </c>
      <c r="FC42" s="47">
        <v>52164</v>
      </c>
      <c r="FD42" s="47">
        <v>53400</v>
      </c>
      <c r="FE42" s="47">
        <v>54684</v>
      </c>
      <c r="FF42" s="47">
        <v>56364</v>
      </c>
      <c r="FG42" s="47">
        <v>57708</v>
      </c>
      <c r="FH42" s="47">
        <v>59148</v>
      </c>
      <c r="FI42" s="47">
        <v>60552</v>
      </c>
      <c r="FJ42" s="47">
        <v>61152</v>
      </c>
      <c r="FK42" s="141">
        <v>61392</v>
      </c>
    </row>
    <row r="43" spans="1:167" ht="15.75">
      <c r="B43" s="62"/>
      <c r="C43" s="62"/>
      <c r="D43" s="209">
        <f t="shared" si="0"/>
        <v>38</v>
      </c>
      <c r="E43" s="126">
        <f>[1]!PBGCLRF(65+D43/12)</f>
        <v>1.365</v>
      </c>
      <c r="F43" s="62"/>
      <c r="G43" s="62"/>
      <c r="H43" s="62"/>
      <c r="I43" s="62"/>
      <c r="J43" s="19">
        <v>39</v>
      </c>
      <c r="K43" s="122">
        <f t="shared" si="1"/>
        <v>0.7833333333333341</v>
      </c>
      <c r="L43" s="62"/>
      <c r="M43" s="297">
        <v>39</v>
      </c>
      <c r="N43" s="122">
        <f>[1]!LRFAEQ(0.065,"M",65,M43,0,"GM71","GM71","MP","Y","N","",65)</f>
        <v>1.4684908321405166</v>
      </c>
      <c r="O43" s="62"/>
      <c r="P43" s="88">
        <v>66</v>
      </c>
      <c r="Q43" s="48">
        <v>0.54620000000000002</v>
      </c>
      <c r="R43" s="188">
        <v>0.54730000000000001</v>
      </c>
      <c r="S43" s="188">
        <v>0.5484</v>
      </c>
      <c r="T43" s="188">
        <v>0.54959999999999998</v>
      </c>
      <c r="U43" s="188">
        <v>0.55079999999999996</v>
      </c>
      <c r="V43" s="188">
        <v>0.55210000000000004</v>
      </c>
      <c r="W43" s="188">
        <v>0.5534</v>
      </c>
      <c r="X43" s="188">
        <v>0.55479999999999996</v>
      </c>
      <c r="Y43" s="188">
        <v>0.55630000000000002</v>
      </c>
      <c r="Z43" s="188">
        <v>0.55779999999999996</v>
      </c>
      <c r="AA43" s="188">
        <v>0.55940000000000001</v>
      </c>
      <c r="AB43" s="188">
        <v>0.56110000000000004</v>
      </c>
      <c r="AC43" s="188">
        <v>0.56289999999999996</v>
      </c>
      <c r="AD43" s="188">
        <v>0.56469999999999998</v>
      </c>
      <c r="AE43" s="188">
        <v>0.56669999999999998</v>
      </c>
      <c r="AF43" s="188">
        <v>0.56869999999999998</v>
      </c>
      <c r="AG43" s="188">
        <v>0.57040000000000002</v>
      </c>
      <c r="AH43" s="188">
        <v>0.57230000000000003</v>
      </c>
      <c r="AI43" s="188">
        <v>0.57420000000000004</v>
      </c>
      <c r="AJ43" s="188">
        <v>0.57630000000000003</v>
      </c>
      <c r="AK43" s="188">
        <v>0.57850000000000001</v>
      </c>
      <c r="AL43" s="188">
        <v>0.58079999999999998</v>
      </c>
      <c r="AM43" s="188">
        <v>0.58330000000000004</v>
      </c>
      <c r="AN43" s="188">
        <v>0.58589999999999998</v>
      </c>
      <c r="AO43" s="188">
        <v>0.5887</v>
      </c>
      <c r="AP43" s="188">
        <v>0.59160000000000001</v>
      </c>
      <c r="AQ43" s="188">
        <v>0.59470000000000001</v>
      </c>
      <c r="AR43" s="188">
        <v>0.59799999999999998</v>
      </c>
      <c r="AS43" s="188">
        <v>0.60150000000000003</v>
      </c>
      <c r="AT43" s="188">
        <v>0.60519999999999996</v>
      </c>
      <c r="AU43" s="188">
        <v>0.60899999999999999</v>
      </c>
      <c r="AV43" s="188">
        <v>0.61309999999999998</v>
      </c>
      <c r="AW43" s="188">
        <v>0.61729999999999996</v>
      </c>
      <c r="AX43" s="188">
        <v>0.62180000000000002</v>
      </c>
      <c r="AY43" s="188">
        <v>0.62649999999999995</v>
      </c>
      <c r="AZ43" s="188">
        <v>0.63139999999999996</v>
      </c>
      <c r="BA43" s="188">
        <v>0.63649999999999995</v>
      </c>
      <c r="BB43" s="188">
        <v>0.64190000000000003</v>
      </c>
      <c r="BC43" s="188">
        <v>0.64749999999999996</v>
      </c>
      <c r="BD43" s="188">
        <v>0.65329999999999999</v>
      </c>
      <c r="BE43" s="188">
        <v>0.65939999999999999</v>
      </c>
      <c r="BF43" s="188">
        <v>0.66579999999999995</v>
      </c>
      <c r="BG43" s="188">
        <v>0.67249999999999999</v>
      </c>
      <c r="BH43" s="188">
        <v>0.6794</v>
      </c>
      <c r="BI43" s="188">
        <v>0.6865</v>
      </c>
      <c r="BJ43" s="188">
        <v>0.69399999999999995</v>
      </c>
      <c r="BK43" s="188">
        <v>0.70169999999999999</v>
      </c>
      <c r="BL43" s="188">
        <v>0.7097</v>
      </c>
      <c r="BM43" s="188">
        <v>0.71799999999999997</v>
      </c>
      <c r="BN43" s="188">
        <v>0.72650000000000003</v>
      </c>
      <c r="BO43" s="188">
        <v>0.73529999999999995</v>
      </c>
      <c r="BP43" s="188">
        <v>0.74439999999999995</v>
      </c>
      <c r="BQ43" s="188">
        <v>0.75370000000000004</v>
      </c>
      <c r="BR43" s="188">
        <v>0.76329999999999998</v>
      </c>
      <c r="BS43" s="188">
        <v>0.77310000000000001</v>
      </c>
      <c r="BT43" s="188">
        <v>0.78320000000000001</v>
      </c>
      <c r="BU43" s="188">
        <v>0.79349999999999998</v>
      </c>
      <c r="BV43" s="188">
        <v>0.80400000000000005</v>
      </c>
      <c r="BW43" s="188">
        <v>0.81459999999999999</v>
      </c>
      <c r="BX43" s="188">
        <v>0.82550000000000001</v>
      </c>
      <c r="BY43" s="188">
        <v>0.83640000000000003</v>
      </c>
      <c r="BZ43" s="188">
        <v>0.84750000000000003</v>
      </c>
      <c r="CA43" s="188">
        <v>0.85860000000000003</v>
      </c>
      <c r="CB43" s="188">
        <v>0.86980000000000002</v>
      </c>
      <c r="CC43" s="188">
        <v>0.88090000000000002</v>
      </c>
      <c r="CD43" s="188">
        <v>0.89200000000000002</v>
      </c>
      <c r="CE43" s="188">
        <v>0.90300000000000002</v>
      </c>
      <c r="CF43" s="188">
        <v>0.91390000000000005</v>
      </c>
      <c r="CG43" s="188">
        <v>0.92459999999999998</v>
      </c>
      <c r="CH43" s="188">
        <v>0.93530000000000002</v>
      </c>
      <c r="CI43" s="188">
        <v>0.94579999999999997</v>
      </c>
      <c r="CJ43" s="188">
        <v>0.95599999999999996</v>
      </c>
      <c r="CK43" s="188">
        <v>0.96609999999999996</v>
      </c>
      <c r="CL43" s="188">
        <v>0.9758</v>
      </c>
      <c r="CM43" s="253">
        <v>0.98529999999999995</v>
      </c>
      <c r="CN43" s="188">
        <f>ROUND([1]!NPVF2("MP","SLA","N",0.05,"M",$P43,$P43,0,0,120,0,"UP84","UP84","P","","")/[1]!NPVF2("MP","JSC","N",0.05,"M",$P43,$P43,CN$31,1,0,0,"UP84","UP84","P","",""),4)</f>
        <v>0.99429999999999996</v>
      </c>
      <c r="CO43" s="188">
        <f>ROUND([1]!NPVF2("MP","SLA","N",0.05,"M",$P43,$P43,0,0,120,0,"UP84","UP84","P","","")/[1]!NPVF2("MP","JSC","N",0.05,"M",$P43,$P43,CO$31,1,0,0,"UP84","UP84","P","",""),4)</f>
        <v>1.0029999999999999</v>
      </c>
      <c r="CP43" s="188">
        <f>ROUND([1]!NPVF2("MP","SLA","N",0.05,"M",$P43,$P43,0,0,120,0,"UP84","UP84","P","","")/[1]!NPVF2("MP","JSC","N",0.05,"M",$P43,$P43,CP$31,1,0,0,"UP84","UP84","P","",""),4)</f>
        <v>1.0113000000000001</v>
      </c>
      <c r="CQ43" s="188">
        <f>ROUND([1]!NPVF2("MP","SLA","N",0.05,"M",$P43,$P43,0,0,120,0,"UP84","UP84","P","","")/[1]!NPVF2("MP","JSC","N",0.05,"M",$P43,$P43,CQ$31,1,0,0,"UP84","UP84","P","",""),4)</f>
        <v>1.0190999999999999</v>
      </c>
      <c r="CR43" s="188">
        <f>ROUND([1]!NPVF2("MP","SLA","N",0.05,"M",$P43,$P43,0,0,120,0,"UP84","UP84","P","","")/[1]!NPVF2("MP","JSC","N",0.05,"M",$P43,$P43,CR$31,1,0,0,"UP84","UP84","P","",""),4)</f>
        <v>1.0266</v>
      </c>
      <c r="CS43" s="188">
        <f>ROUND([1]!NPVF2("MP","SLA","N",0.05,"M",$P43,$P43,0,0,120,0,"UP84","UP84","P","","")/[1]!NPVF2("MP","JSC","N",0.05,"M",$P43,$P43,CS$31,1,0,0,"UP84","UP84","P","",""),4)</f>
        <v>1.0337000000000001</v>
      </c>
      <c r="CT43" s="188">
        <f>ROUND([1]!NPVF2("MP","SLA","N",0.05,"M",$P43,$P43,0,0,120,0,"UP84","UP84","P","","")/[1]!NPVF2("MP","JSC","N",0.05,"M",$P43,$P43,CT$31,1,0,0,"UP84","UP84","P","",""),4)</f>
        <v>1.0403</v>
      </c>
      <c r="CU43" s="188">
        <f>ROUND([1]!NPVF2("MP","SLA","N",0.05,"M",$P43,$P43,0,0,120,0,"UP84","UP84","P","","")/[1]!NPVF2("MP","JSC","N",0.05,"M",$P43,$P43,CU$31,1,0,0,"UP84","UP84","P","",""),4)</f>
        <v>1.0465</v>
      </c>
      <c r="CV43" s="188">
        <f>ROUND([1]!NPVF2("MP","SLA","N",0.05,"M",$P43,$P43,0,0,120,0,"UP84","UP84","P","","")/[1]!NPVF2("MP","JSC","N",0.05,"M",$P43,$P43,CV$31,1,0,0,"UP84","UP84","P","",""),4)</f>
        <v>1.0523</v>
      </c>
      <c r="CW43" s="122">
        <f>ROUND([1]!NPVF2("MP","SLA","N",0.05,"M",$P43,$P43,0,0,120,0,"UP84","UP84","P","","")/[1]!NPVF2("MP","JSC","N",0.05,"M",$P43,$P43,CW$31,1,0,0,"UP84","UP84","P","",""),4)</f>
        <v>1.0577000000000001</v>
      </c>
      <c r="CX43" s="62"/>
      <c r="CY43" s="344"/>
      <c r="CZ43" s="344"/>
      <c r="DA43" s="344"/>
      <c r="DL43" t="s">
        <v>125</v>
      </c>
      <c r="DM43">
        <v>0</v>
      </c>
      <c r="DN43" t="s">
        <v>422</v>
      </c>
      <c r="DO43" s="46">
        <v>0</v>
      </c>
      <c r="DP43" s="26">
        <v>0</v>
      </c>
      <c r="DQ43" s="46">
        <f t="shared" si="7"/>
        <v>0</v>
      </c>
      <c r="DW43" s="93">
        <v>1947</v>
      </c>
      <c r="DX43" s="16">
        <v>48060</v>
      </c>
      <c r="DY43" s="47">
        <v>49380</v>
      </c>
      <c r="DZ43" s="47">
        <v>50640</v>
      </c>
      <c r="EA43" s="47">
        <v>52356</v>
      </c>
      <c r="EB43" s="47">
        <v>52680</v>
      </c>
      <c r="EC43" s="47">
        <v>53448</v>
      </c>
      <c r="ED43" s="47">
        <v>54768</v>
      </c>
      <c r="EE43" s="47">
        <v>56136</v>
      </c>
      <c r="EF43" s="47">
        <v>57936</v>
      </c>
      <c r="EG43" s="47">
        <v>59376</v>
      </c>
      <c r="EH43" s="47">
        <v>60936</v>
      </c>
      <c r="EI43" s="47">
        <v>62472</v>
      </c>
      <c r="EJ43" s="47">
        <v>63132</v>
      </c>
      <c r="EK43" s="141">
        <v>63396</v>
      </c>
      <c r="EN43" s="43">
        <v>1947</v>
      </c>
      <c r="EO43" s="106">
        <v>30984</v>
      </c>
      <c r="EP43" s="127">
        <v>33720</v>
      </c>
      <c r="EQ43" s="149">
        <v>35400</v>
      </c>
      <c r="ER43" s="127">
        <v>36792</v>
      </c>
      <c r="ES43" s="127">
        <v>38568</v>
      </c>
      <c r="ET43" s="127">
        <v>39852</v>
      </c>
      <c r="EU43" s="127">
        <v>40680</v>
      </c>
      <c r="EV43" s="41">
        <v>44412</v>
      </c>
      <c r="EW43" s="127">
        <v>46680</v>
      </c>
      <c r="EX43" s="202">
        <v>48060</v>
      </c>
      <c r="EY43" s="47">
        <v>49380</v>
      </c>
      <c r="EZ43" s="47">
        <v>50640</v>
      </c>
      <c r="FA43" s="47">
        <v>52356</v>
      </c>
      <c r="FB43" s="47">
        <v>52680</v>
      </c>
      <c r="FC43" s="47">
        <v>53448</v>
      </c>
      <c r="FD43" s="47">
        <v>54768</v>
      </c>
      <c r="FE43" s="47">
        <v>56136</v>
      </c>
      <c r="FF43" s="47">
        <v>57936</v>
      </c>
      <c r="FG43" s="47">
        <v>59376</v>
      </c>
      <c r="FH43" s="47">
        <v>60936</v>
      </c>
      <c r="FI43" s="47">
        <v>62472</v>
      </c>
      <c r="FJ43" s="47">
        <v>63132</v>
      </c>
      <c r="FK43" s="141">
        <v>63396</v>
      </c>
    </row>
    <row r="44" spans="1:167" ht="15.75">
      <c r="B44" s="62"/>
      <c r="C44" s="62"/>
      <c r="D44" s="209">
        <f t="shared" si="0"/>
        <v>39</v>
      </c>
      <c r="E44" s="126">
        <f>[1]!PBGCLRF(65+D44/12)</f>
        <v>1.3774999999999999</v>
      </c>
      <c r="F44" s="62"/>
      <c r="G44" s="62"/>
      <c r="H44" s="62"/>
      <c r="I44" s="62"/>
      <c r="J44" s="19">
        <v>40</v>
      </c>
      <c r="K44" s="122">
        <f t="shared" si="1"/>
        <v>0.77777777777777857</v>
      </c>
      <c r="L44" s="62"/>
      <c r="M44" s="297">
        <v>40</v>
      </c>
      <c r="N44" s="122">
        <f>[1]!LRFAEQ(0.065,"M",65,M44,0,"GM71","GM71","MP","Y","N","",65)</f>
        <v>1.4842184949390698</v>
      </c>
      <c r="O44" s="62"/>
      <c r="P44" s="88">
        <v>67</v>
      </c>
      <c r="Q44" s="48">
        <v>0.53549999999999998</v>
      </c>
      <c r="R44" s="188">
        <v>0.53659999999999997</v>
      </c>
      <c r="S44" s="188">
        <v>0.53769999999999996</v>
      </c>
      <c r="T44" s="188">
        <v>0.53879999999999995</v>
      </c>
      <c r="U44" s="188">
        <v>0.54010000000000002</v>
      </c>
      <c r="V44" s="188">
        <v>0.5413</v>
      </c>
      <c r="W44" s="188">
        <v>0.54259999999999997</v>
      </c>
      <c r="X44" s="188">
        <v>0.54400000000000004</v>
      </c>
      <c r="Y44" s="188">
        <v>0.54549999999999998</v>
      </c>
      <c r="Z44" s="188">
        <v>0.54700000000000004</v>
      </c>
      <c r="AA44" s="188">
        <v>0.54859999999999998</v>
      </c>
      <c r="AB44" s="188">
        <v>0.55020000000000002</v>
      </c>
      <c r="AC44" s="188">
        <v>0.55200000000000005</v>
      </c>
      <c r="AD44" s="188">
        <v>0.55379999999999996</v>
      </c>
      <c r="AE44" s="188">
        <v>0.55569999999999997</v>
      </c>
      <c r="AF44" s="188">
        <v>0.55769999999999997</v>
      </c>
      <c r="AG44" s="188">
        <v>0.55940000000000001</v>
      </c>
      <c r="AH44" s="188">
        <v>0.56120000000000003</v>
      </c>
      <c r="AI44" s="188">
        <v>0.56310000000000004</v>
      </c>
      <c r="AJ44" s="188">
        <v>0.56510000000000005</v>
      </c>
      <c r="AK44" s="188">
        <v>0.56730000000000003</v>
      </c>
      <c r="AL44" s="188">
        <v>0.5696</v>
      </c>
      <c r="AM44" s="188">
        <v>0.57199999999999995</v>
      </c>
      <c r="AN44" s="188">
        <v>0.5746</v>
      </c>
      <c r="AO44" s="188">
        <v>0.57740000000000002</v>
      </c>
      <c r="AP44" s="188">
        <v>0.58030000000000004</v>
      </c>
      <c r="AQ44" s="188">
        <v>0.58330000000000004</v>
      </c>
      <c r="AR44" s="188">
        <v>0.58660000000000001</v>
      </c>
      <c r="AS44" s="188">
        <v>0.59</v>
      </c>
      <c r="AT44" s="188">
        <v>0.59360000000000002</v>
      </c>
      <c r="AU44" s="188">
        <v>0.59740000000000004</v>
      </c>
      <c r="AV44" s="188">
        <v>0.60140000000000005</v>
      </c>
      <c r="AW44" s="188">
        <v>0.60570000000000002</v>
      </c>
      <c r="AX44" s="188">
        <v>0.61009999999999998</v>
      </c>
      <c r="AY44" s="188">
        <v>0.61470000000000002</v>
      </c>
      <c r="AZ44" s="188">
        <v>0.61960000000000004</v>
      </c>
      <c r="BA44" s="188">
        <v>0.62470000000000003</v>
      </c>
      <c r="BB44" s="188">
        <v>0.63</v>
      </c>
      <c r="BC44" s="188">
        <v>0.63560000000000005</v>
      </c>
      <c r="BD44" s="188">
        <v>0.64149999999999996</v>
      </c>
      <c r="BE44" s="188">
        <v>0.64759999999999995</v>
      </c>
      <c r="BF44" s="188">
        <v>0.65390000000000004</v>
      </c>
      <c r="BG44" s="188">
        <v>0.66059999999999997</v>
      </c>
      <c r="BH44" s="188">
        <v>0.66749999999999998</v>
      </c>
      <c r="BI44" s="188">
        <v>0.67469999999999997</v>
      </c>
      <c r="BJ44" s="188">
        <v>0.68210000000000004</v>
      </c>
      <c r="BK44" s="188">
        <v>0.68989999999999996</v>
      </c>
      <c r="BL44" s="188">
        <v>0.69789999999999996</v>
      </c>
      <c r="BM44" s="188">
        <v>0.70630000000000004</v>
      </c>
      <c r="BN44" s="188">
        <v>0.71489999999999998</v>
      </c>
      <c r="BO44" s="188">
        <v>0.7238</v>
      </c>
      <c r="BP44" s="188">
        <v>0.73299999999999998</v>
      </c>
      <c r="BQ44" s="188">
        <v>0.74250000000000005</v>
      </c>
      <c r="BR44" s="188">
        <v>0.75219999999999998</v>
      </c>
      <c r="BS44" s="188">
        <v>0.76219999999999999</v>
      </c>
      <c r="BT44" s="188">
        <v>0.77249999999999996</v>
      </c>
      <c r="BU44" s="188">
        <v>0.78310000000000002</v>
      </c>
      <c r="BV44" s="188">
        <v>0.79379999999999995</v>
      </c>
      <c r="BW44" s="188">
        <v>0.80479999999999996</v>
      </c>
      <c r="BX44" s="188">
        <v>0.81599999999999995</v>
      </c>
      <c r="BY44" s="188">
        <v>0.82730000000000004</v>
      </c>
      <c r="BZ44" s="188">
        <v>0.83879999999999999</v>
      </c>
      <c r="CA44" s="188">
        <v>0.85029999999999994</v>
      </c>
      <c r="CB44" s="188">
        <v>0.86199999999999999</v>
      </c>
      <c r="CC44" s="188">
        <v>0.87360000000000004</v>
      </c>
      <c r="CD44" s="188">
        <v>0.88529999999999998</v>
      </c>
      <c r="CE44" s="188">
        <v>0.89690000000000003</v>
      </c>
      <c r="CF44" s="188">
        <v>0.90839999999999999</v>
      </c>
      <c r="CG44" s="188">
        <v>0.91979999999999995</v>
      </c>
      <c r="CH44" s="188">
        <v>0.93110000000000004</v>
      </c>
      <c r="CI44" s="188">
        <v>0.94230000000000003</v>
      </c>
      <c r="CJ44" s="188">
        <v>0.95320000000000005</v>
      </c>
      <c r="CK44" s="188">
        <v>0.96399999999999997</v>
      </c>
      <c r="CL44" s="188">
        <v>0.97450000000000003</v>
      </c>
      <c r="CM44" s="253">
        <v>0.98470000000000002</v>
      </c>
      <c r="CN44" s="188">
        <f>ROUND([1]!NPVF2("MP","SLA","N",0.05,"M",$P44,$P44,0,0,120,0,"UP84","UP84","P","","")/[1]!NPVF2("MP","JSC","N",0.05,"M",$P44,$P44,CN$31,1,0,0,"UP84","UP84","P","",""),4)</f>
        <v>0.99450000000000005</v>
      </c>
      <c r="CO44" s="188">
        <f>ROUND([1]!NPVF2("MP","SLA","N",0.05,"M",$P44,$P44,0,0,120,0,"UP84","UP84","P","","")/[1]!NPVF2("MP","JSC","N",0.05,"M",$P44,$P44,CO$31,1,0,0,"UP84","UP84","P","",""),4)</f>
        <v>1.0039</v>
      </c>
      <c r="CP44" s="188">
        <f>ROUND([1]!NPVF2("MP","SLA","N",0.05,"M",$P44,$P44,0,0,120,0,"UP84","UP84","P","","")/[1]!NPVF2("MP","JSC","N",0.05,"M",$P44,$P44,CP$31,1,0,0,"UP84","UP84","P","",""),4)</f>
        <v>1.0128999999999999</v>
      </c>
      <c r="CQ44" s="188">
        <f>ROUND([1]!NPVF2("MP","SLA","N",0.05,"M",$P44,$P44,0,0,120,0,"UP84","UP84","P","","")/[1]!NPVF2("MP","JSC","N",0.05,"M",$P44,$P44,CQ$31,1,0,0,"UP84","UP84","P","",""),4)</f>
        <v>1.0215000000000001</v>
      </c>
      <c r="CR44" s="188">
        <f>ROUND([1]!NPVF2("MP","SLA","N",0.05,"M",$P44,$P44,0,0,120,0,"UP84","UP84","P","","")/[1]!NPVF2("MP","JSC","N",0.05,"M",$P44,$P44,CR$31,1,0,0,"UP84","UP84","P","",""),4)</f>
        <v>1.0296000000000001</v>
      </c>
      <c r="CS44" s="188">
        <f>ROUND([1]!NPVF2("MP","SLA","N",0.05,"M",$P44,$P44,0,0,120,0,"UP84","UP84","P","","")/[1]!NPVF2("MP","JSC","N",0.05,"M",$P44,$P44,CS$31,1,0,0,"UP84","UP84","P","",""),4)</f>
        <v>1.0374000000000001</v>
      </c>
      <c r="CT44" s="188">
        <f>ROUND([1]!NPVF2("MP","SLA","N",0.05,"M",$P44,$P44,0,0,120,0,"UP84","UP84","P","","")/[1]!NPVF2("MP","JSC","N",0.05,"M",$P44,$P44,CT$31,1,0,0,"UP84","UP84","P","",""),4)</f>
        <v>1.0446</v>
      </c>
      <c r="CU44" s="188">
        <f>ROUND([1]!NPVF2("MP","SLA","N",0.05,"M",$P44,$P44,0,0,120,0,"UP84","UP84","P","","")/[1]!NPVF2("MP","JSC","N",0.05,"M",$P44,$P44,CU$31,1,0,0,"UP84","UP84","P","",""),4)</f>
        <v>1.0515000000000001</v>
      </c>
      <c r="CV44" s="188">
        <f>ROUND([1]!NPVF2("MP","SLA","N",0.05,"M",$P44,$P44,0,0,120,0,"UP84","UP84","P","","")/[1]!NPVF2("MP","JSC","N",0.05,"M",$P44,$P44,CV$31,1,0,0,"UP84","UP84","P","",""),4)</f>
        <v>1.0579000000000001</v>
      </c>
      <c r="CW44" s="122">
        <f>ROUND([1]!NPVF2("MP","SLA","N",0.05,"M",$P44,$P44,0,0,120,0,"UP84","UP84","P","","")/[1]!NPVF2("MP","JSC","N",0.05,"M",$P44,$P44,CW$31,1,0,0,"UP84","UP84","P","",""),4)</f>
        <v>1.0639000000000001</v>
      </c>
      <c r="CX44" s="62"/>
      <c r="CY44" s="159">
        <v>7.4999999999999997E-2</v>
      </c>
      <c r="CZ44">
        <v>999</v>
      </c>
      <c r="DN44" s="46">
        <f>SUM(DN38:DN43)</f>
        <v>0</v>
      </c>
      <c r="DO44" s="46">
        <f>SUM(DO38:DO43)</f>
        <v>0</v>
      </c>
      <c r="DQ44" s="46">
        <f>SUM(DQ38:DQ43)</f>
        <v>0</v>
      </c>
      <c r="DR44" s="46">
        <f>DQ44-DN56</f>
        <v>0</v>
      </c>
      <c r="DW44" s="93">
        <v>1948</v>
      </c>
      <c r="DX44" s="16">
        <v>48936</v>
      </c>
      <c r="DY44" s="47">
        <v>50316</v>
      </c>
      <c r="DZ44" s="47">
        <v>51636</v>
      </c>
      <c r="EA44" s="47">
        <v>53436</v>
      </c>
      <c r="EB44" s="47">
        <v>53772</v>
      </c>
      <c r="EC44" s="47">
        <v>54588</v>
      </c>
      <c r="ED44" s="47">
        <v>55980</v>
      </c>
      <c r="EE44" s="47">
        <v>57432</v>
      </c>
      <c r="EF44" s="47">
        <v>59352</v>
      </c>
      <c r="EG44" s="47">
        <v>60900</v>
      </c>
      <c r="EH44" s="47">
        <v>62580</v>
      </c>
      <c r="EI44" s="47">
        <v>64248</v>
      </c>
      <c r="EJ44" s="47">
        <v>64968</v>
      </c>
      <c r="EK44" s="141">
        <v>65256</v>
      </c>
      <c r="EN44" s="43">
        <v>1948</v>
      </c>
      <c r="EO44" s="106">
        <v>31440</v>
      </c>
      <c r="EP44" s="127">
        <v>34272</v>
      </c>
      <c r="EQ44" s="149">
        <v>36012</v>
      </c>
      <c r="ER44" s="127">
        <v>37452</v>
      </c>
      <c r="ES44" s="127">
        <v>39300</v>
      </c>
      <c r="ET44" s="127">
        <v>40632</v>
      </c>
      <c r="EU44" s="127">
        <v>41496</v>
      </c>
      <c r="EV44" s="41">
        <v>45132</v>
      </c>
      <c r="EW44" s="127">
        <v>47496</v>
      </c>
      <c r="EX44" s="202">
        <v>48936</v>
      </c>
      <c r="EY44" s="47">
        <v>50316</v>
      </c>
      <c r="EZ44" s="47">
        <v>51636</v>
      </c>
      <c r="FA44" s="47">
        <v>53436</v>
      </c>
      <c r="FB44" s="47">
        <v>53772</v>
      </c>
      <c r="FC44" s="47">
        <v>54588</v>
      </c>
      <c r="FD44" s="47">
        <v>55980</v>
      </c>
      <c r="FE44" s="47">
        <v>57432</v>
      </c>
      <c r="FF44" s="47">
        <v>59352</v>
      </c>
      <c r="FG44" s="47">
        <v>60900</v>
      </c>
      <c r="FH44" s="47">
        <v>62580</v>
      </c>
      <c r="FI44" s="47">
        <v>64248</v>
      </c>
      <c r="FJ44" s="47">
        <v>64968</v>
      </c>
      <c r="FK44" s="141">
        <v>65256</v>
      </c>
    </row>
    <row r="45" spans="1:167" ht="15.75">
      <c r="B45" s="62"/>
      <c r="C45" s="62"/>
      <c r="D45" s="209">
        <f t="shared" si="0"/>
        <v>40</v>
      </c>
      <c r="E45" s="126">
        <f>[1]!PBGCLRF(65+D45/12)</f>
        <v>1.39</v>
      </c>
      <c r="F45" s="62"/>
      <c r="G45" s="62"/>
      <c r="H45" s="62"/>
      <c r="I45" s="62"/>
      <c r="J45" s="19">
        <v>41</v>
      </c>
      <c r="K45" s="122">
        <f t="shared" si="1"/>
        <v>0.77222222222222303</v>
      </c>
      <c r="L45" s="62"/>
      <c r="M45" s="297">
        <v>41</v>
      </c>
      <c r="N45" s="122">
        <f>[1]!LRFAEQ(0.065,"M",65,M45,0,"GM71","GM71","MP","Y","N","",65)</f>
        <v>1.499946157737623</v>
      </c>
      <c r="O45" s="62"/>
      <c r="P45" s="88">
        <v>68</v>
      </c>
      <c r="Q45" s="48">
        <v>0.52510000000000001</v>
      </c>
      <c r="R45" s="188">
        <v>0.5262</v>
      </c>
      <c r="S45" s="188">
        <v>0.5272</v>
      </c>
      <c r="T45" s="188">
        <v>0.52839999999999998</v>
      </c>
      <c r="U45" s="188">
        <v>0.52959999999999996</v>
      </c>
      <c r="V45" s="188">
        <v>0.53080000000000005</v>
      </c>
      <c r="W45" s="188">
        <v>0.53210000000000002</v>
      </c>
      <c r="X45" s="188">
        <v>0.53349999999999997</v>
      </c>
      <c r="Y45" s="188">
        <v>0.53490000000000004</v>
      </c>
      <c r="Z45" s="188">
        <v>0.53639999999999999</v>
      </c>
      <c r="AA45" s="188">
        <v>0.53800000000000003</v>
      </c>
      <c r="AB45" s="188">
        <v>0.53959999999999997</v>
      </c>
      <c r="AC45" s="188">
        <v>0.54139999999999999</v>
      </c>
      <c r="AD45" s="188">
        <v>0.54310000000000003</v>
      </c>
      <c r="AE45" s="188">
        <v>0.54500000000000004</v>
      </c>
      <c r="AF45" s="188">
        <v>0.54700000000000004</v>
      </c>
      <c r="AG45" s="188">
        <v>0.54869999999999997</v>
      </c>
      <c r="AH45" s="188">
        <v>0.5504</v>
      </c>
      <c r="AI45" s="188">
        <v>0.55230000000000001</v>
      </c>
      <c r="AJ45" s="188">
        <v>0.55430000000000001</v>
      </c>
      <c r="AK45" s="188">
        <v>0.55640000000000001</v>
      </c>
      <c r="AL45" s="188">
        <v>0.55869999999999997</v>
      </c>
      <c r="AM45" s="188">
        <v>0.56110000000000004</v>
      </c>
      <c r="AN45" s="188">
        <v>0.56359999999999999</v>
      </c>
      <c r="AO45" s="188">
        <v>0.56630000000000003</v>
      </c>
      <c r="AP45" s="188">
        <v>0.56920000000000004</v>
      </c>
      <c r="AQ45" s="188">
        <v>0.57220000000000004</v>
      </c>
      <c r="AR45" s="188">
        <v>0.57540000000000002</v>
      </c>
      <c r="AS45" s="188">
        <v>0.57879999999999998</v>
      </c>
      <c r="AT45" s="188">
        <v>0.58240000000000003</v>
      </c>
      <c r="AU45" s="188">
        <v>0.58609999999999995</v>
      </c>
      <c r="AV45" s="188">
        <v>0.59009999999999996</v>
      </c>
      <c r="AW45" s="188">
        <v>0.59430000000000005</v>
      </c>
      <c r="AX45" s="188">
        <v>0.59870000000000001</v>
      </c>
      <c r="AY45" s="188">
        <v>0.60329999999999995</v>
      </c>
      <c r="AZ45" s="188">
        <v>0.60809999999999997</v>
      </c>
      <c r="BA45" s="188">
        <v>0.61319999999999997</v>
      </c>
      <c r="BB45" s="188">
        <v>0.61850000000000005</v>
      </c>
      <c r="BC45" s="188">
        <v>0.624</v>
      </c>
      <c r="BD45" s="188">
        <v>0.62980000000000003</v>
      </c>
      <c r="BE45" s="188">
        <v>0.63590000000000002</v>
      </c>
      <c r="BF45" s="188">
        <v>0.64219999999999999</v>
      </c>
      <c r="BG45" s="188">
        <v>0.64890000000000003</v>
      </c>
      <c r="BH45" s="188">
        <v>0.65580000000000005</v>
      </c>
      <c r="BI45" s="188">
        <v>0.66300000000000003</v>
      </c>
      <c r="BJ45" s="188">
        <v>0.67049999999999998</v>
      </c>
      <c r="BK45" s="188">
        <v>0.67820000000000003</v>
      </c>
      <c r="BL45" s="188">
        <v>0.68630000000000002</v>
      </c>
      <c r="BM45" s="188">
        <v>0.69469999999999998</v>
      </c>
      <c r="BN45" s="188">
        <v>0.70340000000000003</v>
      </c>
      <c r="BO45" s="188">
        <v>0.71240000000000003</v>
      </c>
      <c r="BP45" s="188">
        <v>0.72170000000000001</v>
      </c>
      <c r="BQ45" s="188">
        <v>0.73129999999999995</v>
      </c>
      <c r="BR45" s="188">
        <v>0.74119999999999997</v>
      </c>
      <c r="BS45" s="188">
        <v>0.75139999999999996</v>
      </c>
      <c r="BT45" s="188">
        <v>0.76190000000000002</v>
      </c>
      <c r="BU45" s="188">
        <v>0.77259999999999995</v>
      </c>
      <c r="BV45" s="188">
        <v>0.78369999999999995</v>
      </c>
      <c r="BW45" s="188">
        <v>0.79490000000000005</v>
      </c>
      <c r="BX45" s="188">
        <v>0.80640000000000001</v>
      </c>
      <c r="BY45" s="188">
        <v>0.81810000000000005</v>
      </c>
      <c r="BZ45" s="188">
        <v>0.83</v>
      </c>
      <c r="CA45" s="188">
        <v>0.84199999999999997</v>
      </c>
      <c r="CB45" s="188">
        <v>0.85409999999999997</v>
      </c>
      <c r="CC45" s="188">
        <v>0.86629999999999996</v>
      </c>
      <c r="CD45" s="188">
        <v>0.87849999999999995</v>
      </c>
      <c r="CE45" s="188">
        <v>0.89070000000000005</v>
      </c>
      <c r="CF45" s="188">
        <v>0.90280000000000005</v>
      </c>
      <c r="CG45" s="188">
        <v>0.91479999999999995</v>
      </c>
      <c r="CH45" s="188">
        <v>0.92679999999999996</v>
      </c>
      <c r="CI45" s="188">
        <v>0.93869999999999998</v>
      </c>
      <c r="CJ45" s="188">
        <v>0.95040000000000002</v>
      </c>
      <c r="CK45" s="188">
        <v>0.96189999999999998</v>
      </c>
      <c r="CL45" s="188">
        <v>0.97319999999999995</v>
      </c>
      <c r="CM45" s="253">
        <v>0.98409999999999997</v>
      </c>
      <c r="CN45" s="188">
        <f>ROUND([1]!NPVF2("MP","SLA","N",0.05,"M",$P45,$P45,0,0,120,0,"UP84","UP84","P","","")/[1]!NPVF2("MP","JSC","N",0.05,"M",$P45,$P45,CN$31,1,0,0,"UP84","UP84","P","",""),4)</f>
        <v>0.99470000000000003</v>
      </c>
      <c r="CO45" s="188">
        <f>ROUND([1]!NPVF2("MP","SLA","N",0.05,"M",$P45,$P45,0,0,120,0,"UP84","UP84","P","","")/[1]!NPVF2("MP","JSC","N",0.05,"M",$P45,$P45,CO$31,1,0,0,"UP84","UP84","P","",""),4)</f>
        <v>1.0048999999999999</v>
      </c>
      <c r="CP45" s="188">
        <f>ROUND([1]!NPVF2("MP","SLA","N",0.05,"M",$P45,$P45,0,0,120,0,"UP84","UP84","P","","")/[1]!NPVF2("MP","JSC","N",0.05,"M",$P45,$P45,CP$31,1,0,0,"UP84","UP84","P","",""),4)</f>
        <v>1.0146999999999999</v>
      </c>
      <c r="CQ45" s="188">
        <f>ROUND([1]!NPVF2("MP","SLA","N",0.05,"M",$P45,$P45,0,0,120,0,"UP84","UP84","P","","")/[1]!NPVF2("MP","JSC","N",0.05,"M",$P45,$P45,CQ$31,1,0,0,"UP84","UP84","P","",""),4)</f>
        <v>1.0241</v>
      </c>
      <c r="CR45" s="188">
        <f>ROUND([1]!NPVF2("MP","SLA","N",0.05,"M",$P45,$P45,0,0,120,0,"UP84","UP84","P","","")/[1]!NPVF2("MP","JSC","N",0.05,"M",$P45,$P45,CR$31,1,0,0,"UP84","UP84","P","",""),4)</f>
        <v>1.0329999999999999</v>
      </c>
      <c r="CS45" s="188">
        <f>ROUND([1]!NPVF2("MP","SLA","N",0.05,"M",$P45,$P45,0,0,120,0,"UP84","UP84","P","","")/[1]!NPVF2("MP","JSC","N",0.05,"M",$P45,$P45,CS$31,1,0,0,"UP84","UP84","P","",""),4)</f>
        <v>1.0415000000000001</v>
      </c>
      <c r="CT45" s="188">
        <f>ROUND([1]!NPVF2("MP","SLA","N",0.05,"M",$P45,$P45,0,0,120,0,"UP84","UP84","P","","")/[1]!NPVF2("MP","JSC","N",0.05,"M",$P45,$P45,CT$31,1,0,0,"UP84","UP84","P","",""),4)</f>
        <v>1.0494000000000001</v>
      </c>
      <c r="CU45" s="188">
        <f>ROUND([1]!NPVF2("MP","SLA","N",0.05,"M",$P45,$P45,0,0,120,0,"UP84","UP84","P","","")/[1]!NPVF2("MP","JSC","N",0.05,"M",$P45,$P45,CU$31,1,0,0,"UP84","UP84","P","",""),4)</f>
        <v>1.0569999999999999</v>
      </c>
      <c r="CV45" s="188">
        <f>ROUND([1]!NPVF2("MP","SLA","N",0.05,"M",$P45,$P45,0,0,120,0,"UP84","UP84","P","","")/[1]!NPVF2("MP","JSC","N",0.05,"M",$P45,$P45,CV$31,1,0,0,"UP84","UP84","P","",""),4)</f>
        <v>1.0640000000000001</v>
      </c>
      <c r="CW45" s="122">
        <f>ROUND([1]!NPVF2("MP","SLA","N",0.05,"M",$P45,$P45,0,0,120,0,"UP84","UP84","P","","")/[1]!NPVF2("MP","JSC","N",0.05,"M",$P45,$P45,CW$31,1,0,0,"UP84","UP84","P","",""),4)</f>
        <v>1.0707</v>
      </c>
      <c r="CX45" s="62"/>
      <c r="DN45" s="29"/>
      <c r="DO45" s="29"/>
      <c r="DP45" s="29"/>
      <c r="DQ45" s="29"/>
      <c r="DR45" s="46"/>
      <c r="DS45" s="46"/>
      <c r="DW45" s="93">
        <v>1949</v>
      </c>
      <c r="DX45" s="16">
        <v>49716</v>
      </c>
      <c r="DY45" s="47">
        <v>51156</v>
      </c>
      <c r="DZ45" s="47">
        <v>52536</v>
      </c>
      <c r="EA45" s="47">
        <v>54420</v>
      </c>
      <c r="EB45" s="47">
        <v>54780</v>
      </c>
      <c r="EC45" s="47">
        <v>55644</v>
      </c>
      <c r="ED45" s="47">
        <v>57108</v>
      </c>
      <c r="EE45" s="47">
        <v>58644</v>
      </c>
      <c r="EF45" s="47">
        <v>60684</v>
      </c>
      <c r="EG45" s="47">
        <v>62340</v>
      </c>
      <c r="EH45" s="47">
        <v>64140</v>
      </c>
      <c r="EI45" s="47">
        <v>65940</v>
      </c>
      <c r="EJ45" s="47">
        <v>66720</v>
      </c>
      <c r="EK45" s="141">
        <v>67020</v>
      </c>
      <c r="EN45" s="43">
        <v>1949</v>
      </c>
      <c r="EO45" s="106">
        <v>31860</v>
      </c>
      <c r="EP45" s="127">
        <v>34788</v>
      </c>
      <c r="EQ45" s="149">
        <v>36588</v>
      </c>
      <c r="ER45" s="127">
        <v>38076</v>
      </c>
      <c r="ES45" s="127">
        <v>39996</v>
      </c>
      <c r="ET45" s="127">
        <v>41388</v>
      </c>
      <c r="EU45" s="127">
        <v>42276</v>
      </c>
      <c r="EV45" s="41">
        <v>45768</v>
      </c>
      <c r="EW45" s="127">
        <v>48216</v>
      </c>
      <c r="EX45" s="202">
        <v>49716</v>
      </c>
      <c r="EY45" s="47">
        <v>51156</v>
      </c>
      <c r="EZ45" s="47">
        <v>52536</v>
      </c>
      <c r="FA45" s="47">
        <v>54420</v>
      </c>
      <c r="FB45" s="47">
        <v>54780</v>
      </c>
      <c r="FC45" s="47">
        <v>55644</v>
      </c>
      <c r="FD45" s="47">
        <v>57108</v>
      </c>
      <c r="FE45" s="47">
        <v>58644</v>
      </c>
      <c r="FF45" s="47">
        <v>60684</v>
      </c>
      <c r="FG45" s="47">
        <v>62340</v>
      </c>
      <c r="FH45" s="47">
        <v>64140</v>
      </c>
      <c r="FI45" s="47">
        <v>65940</v>
      </c>
      <c r="FJ45" s="47">
        <v>66720</v>
      </c>
      <c r="FK45" s="141">
        <v>67020</v>
      </c>
    </row>
    <row r="46" spans="1:167" ht="15.75">
      <c r="B46" s="62"/>
      <c r="C46" s="62"/>
      <c r="D46" s="209">
        <f t="shared" si="0"/>
        <v>41</v>
      </c>
      <c r="E46" s="126">
        <f>[1]!PBGCLRF(65+D46/12)</f>
        <v>1.4025000000000001</v>
      </c>
      <c r="F46" s="62"/>
      <c r="G46" s="62"/>
      <c r="H46" s="62"/>
      <c r="I46" s="62"/>
      <c r="J46" s="19">
        <v>42</v>
      </c>
      <c r="K46" s="122">
        <f t="shared" si="1"/>
        <v>0.7666666666666675</v>
      </c>
      <c r="L46" s="62"/>
      <c r="M46" s="297">
        <v>42</v>
      </c>
      <c r="N46" s="122">
        <f>[1]!LRFAEQ(0.065,"M",65,M46,0,"GM71","GM71","MP","Y","N","",65)</f>
        <v>1.5156738205361759</v>
      </c>
      <c r="O46" s="62"/>
      <c r="P46" s="88">
        <v>69</v>
      </c>
      <c r="Q46" s="48">
        <v>0.51500000000000001</v>
      </c>
      <c r="R46" s="188">
        <v>0.51600000000000001</v>
      </c>
      <c r="S46" s="188">
        <v>0.5171</v>
      </c>
      <c r="T46" s="188">
        <v>0.51819999999999999</v>
      </c>
      <c r="U46" s="188">
        <v>0.51939999999999997</v>
      </c>
      <c r="V46" s="188">
        <v>0.52059999999999995</v>
      </c>
      <c r="W46" s="188">
        <v>0.52190000000000003</v>
      </c>
      <c r="X46" s="188">
        <v>0.5232</v>
      </c>
      <c r="Y46" s="188">
        <v>0.52459999999999996</v>
      </c>
      <c r="Z46" s="188">
        <v>0.52610000000000001</v>
      </c>
      <c r="AA46" s="188">
        <v>0.52769999999999995</v>
      </c>
      <c r="AB46" s="188">
        <v>0.52929999999999999</v>
      </c>
      <c r="AC46" s="188">
        <v>0.53100000000000003</v>
      </c>
      <c r="AD46" s="188">
        <v>0.53280000000000005</v>
      </c>
      <c r="AE46" s="188">
        <v>0.53459999999999996</v>
      </c>
      <c r="AF46" s="188">
        <v>0.53659999999999997</v>
      </c>
      <c r="AG46" s="188">
        <v>0.53820000000000001</v>
      </c>
      <c r="AH46" s="188">
        <v>0.53990000000000005</v>
      </c>
      <c r="AI46" s="188">
        <v>0.54179999999999995</v>
      </c>
      <c r="AJ46" s="188">
        <v>0.54369999999999996</v>
      </c>
      <c r="AK46" s="188">
        <v>0.54579999999999995</v>
      </c>
      <c r="AL46" s="188">
        <v>0.54800000000000004</v>
      </c>
      <c r="AM46" s="188">
        <v>0.5504</v>
      </c>
      <c r="AN46" s="188">
        <v>0.55289999999999995</v>
      </c>
      <c r="AO46" s="188">
        <v>0.55549999999999999</v>
      </c>
      <c r="AP46" s="188">
        <v>0.55840000000000001</v>
      </c>
      <c r="AQ46" s="188">
        <v>0.56130000000000002</v>
      </c>
      <c r="AR46" s="188">
        <v>0.5645</v>
      </c>
      <c r="AS46" s="188">
        <v>0.56789999999999996</v>
      </c>
      <c r="AT46" s="188">
        <v>0.57140000000000002</v>
      </c>
      <c r="AU46" s="188">
        <v>0.57509999999999994</v>
      </c>
      <c r="AV46" s="188">
        <v>0.57899999999999996</v>
      </c>
      <c r="AW46" s="188">
        <v>0.58309999999999995</v>
      </c>
      <c r="AX46" s="188">
        <v>0.58750000000000002</v>
      </c>
      <c r="AY46" s="188">
        <v>0.59209999999999996</v>
      </c>
      <c r="AZ46" s="188">
        <v>0.5968</v>
      </c>
      <c r="BA46" s="188">
        <v>0.60189999999999999</v>
      </c>
      <c r="BB46" s="188">
        <v>0.60709999999999997</v>
      </c>
      <c r="BC46" s="188">
        <v>0.61260000000000003</v>
      </c>
      <c r="BD46" s="188">
        <v>0.61839999999999995</v>
      </c>
      <c r="BE46" s="188">
        <v>0.62450000000000006</v>
      </c>
      <c r="BF46" s="188">
        <v>0.63080000000000003</v>
      </c>
      <c r="BG46" s="188">
        <v>0.63739999999999997</v>
      </c>
      <c r="BH46" s="188">
        <v>0.64429999999999998</v>
      </c>
      <c r="BI46" s="188">
        <v>0.65149999999999997</v>
      </c>
      <c r="BJ46" s="188">
        <v>0.65900000000000003</v>
      </c>
      <c r="BK46" s="188">
        <v>0.66679999999999995</v>
      </c>
      <c r="BL46" s="188">
        <v>0.67490000000000006</v>
      </c>
      <c r="BM46" s="188">
        <v>0.68330000000000002</v>
      </c>
      <c r="BN46" s="188">
        <v>0.69210000000000005</v>
      </c>
      <c r="BO46" s="188">
        <v>0.70120000000000005</v>
      </c>
      <c r="BP46" s="188">
        <v>0.71060000000000001</v>
      </c>
      <c r="BQ46" s="188">
        <v>0.72030000000000005</v>
      </c>
      <c r="BR46" s="188">
        <v>0.73029999999999995</v>
      </c>
      <c r="BS46" s="188">
        <v>0.74060000000000004</v>
      </c>
      <c r="BT46" s="188">
        <v>0.75129999999999997</v>
      </c>
      <c r="BU46" s="188">
        <v>0.76229999999999998</v>
      </c>
      <c r="BV46" s="188">
        <v>0.77349999999999997</v>
      </c>
      <c r="BW46" s="188">
        <v>0.78510000000000002</v>
      </c>
      <c r="BX46" s="188">
        <v>0.79690000000000005</v>
      </c>
      <c r="BY46" s="188">
        <v>0.80900000000000005</v>
      </c>
      <c r="BZ46" s="188">
        <v>0.82120000000000004</v>
      </c>
      <c r="CA46" s="188">
        <v>0.8337</v>
      </c>
      <c r="CB46" s="188">
        <v>0.84619999999999995</v>
      </c>
      <c r="CC46" s="188">
        <v>0.8589</v>
      </c>
      <c r="CD46" s="188">
        <v>0.87170000000000003</v>
      </c>
      <c r="CE46" s="188">
        <v>0.88439999999999996</v>
      </c>
      <c r="CF46" s="188">
        <v>0.89710000000000001</v>
      </c>
      <c r="CG46" s="188">
        <v>0.90980000000000005</v>
      </c>
      <c r="CH46" s="188">
        <v>0.92249999999999999</v>
      </c>
      <c r="CI46" s="188">
        <v>0.93510000000000004</v>
      </c>
      <c r="CJ46" s="188">
        <v>0.9476</v>
      </c>
      <c r="CK46" s="188">
        <v>0.95989999999999998</v>
      </c>
      <c r="CL46" s="188">
        <v>0.97199999999999998</v>
      </c>
      <c r="CM46" s="253">
        <v>0.98370000000000002</v>
      </c>
      <c r="CN46" s="188">
        <f>ROUND([1]!NPVF2("MP","SLA","N",0.05,"M",$P46,$P46,0,0,120,0,"UP84","UP84","P","","")/[1]!NPVF2("MP","JSC","N",0.05,"M",$P46,$P46,CN$31,1,0,0,"UP84","UP84","P","",""),4)</f>
        <v>0.99519999999999997</v>
      </c>
      <c r="CO46" s="188">
        <f>ROUND([1]!NPVF2("MP","SLA","N",0.05,"M",$P46,$P46,0,0,120,0,"UP84","UP84","P","","")/[1]!NPVF2("MP","JSC","N",0.05,"M",$P46,$P46,CO$31,1,0,0,"UP84","UP84","P","",""),4)</f>
        <v>1.0062</v>
      </c>
      <c r="CP46" s="188">
        <f>ROUND([1]!NPVF2("MP","SLA","N",0.05,"M",$P46,$P46,0,0,120,0,"UP84","UP84","P","","")/[1]!NPVF2("MP","JSC","N",0.05,"M",$P46,$P46,CP$31,1,0,0,"UP84","UP84","P","",""),4)</f>
        <v>1.0167999999999999</v>
      </c>
      <c r="CQ46" s="188">
        <f>ROUND([1]!NPVF2("MP","SLA","N",0.05,"M",$P46,$P46,0,0,120,0,"UP84","UP84","P","","")/[1]!NPVF2("MP","JSC","N",0.05,"M",$P46,$P46,CQ$31,1,0,0,"UP84","UP84","P","",""),4)</f>
        <v>1.0269999999999999</v>
      </c>
      <c r="CR46" s="188">
        <f>ROUND([1]!NPVF2("MP","SLA","N",0.05,"M",$P46,$P46,0,0,120,0,"UP84","UP84","P","","")/[1]!NPVF2("MP","JSC","N",0.05,"M",$P46,$P46,CR$31,1,0,0,"UP84","UP84","P","",""),4)</f>
        <v>1.0367</v>
      </c>
      <c r="CS46" s="188">
        <f>ROUND([1]!NPVF2("MP","SLA","N",0.05,"M",$P46,$P46,0,0,120,0,"UP84","UP84","P","","")/[1]!NPVF2("MP","JSC","N",0.05,"M",$P46,$P46,CS$31,1,0,0,"UP84","UP84","P","",""),4)</f>
        <v>1.046</v>
      </c>
      <c r="CT46" s="188">
        <f>ROUND([1]!NPVF2("MP","SLA","N",0.05,"M",$P46,$P46,0,0,120,0,"UP84","UP84","P","","")/[1]!NPVF2("MP","JSC","N",0.05,"M",$P46,$P46,CT$31,1,0,0,"UP84","UP84","P","",""),4)</f>
        <v>1.0548</v>
      </c>
      <c r="CU46" s="188">
        <f>ROUND([1]!NPVF2("MP","SLA","N",0.05,"M",$P46,$P46,0,0,120,0,"UP84","UP84","P","","")/[1]!NPVF2("MP","JSC","N",0.05,"M",$P46,$P46,CU$31,1,0,0,"UP84","UP84","P","",""),4)</f>
        <v>1.0629999999999999</v>
      </c>
      <c r="CV46" s="188">
        <f>ROUND([1]!NPVF2("MP","SLA","N",0.05,"M",$P46,$P46,0,0,120,0,"UP84","UP84","P","","")/[1]!NPVF2("MP","JSC","N",0.05,"M",$P46,$P46,CV$31,1,0,0,"UP84","UP84","P","",""),4)</f>
        <v>1.0708</v>
      </c>
      <c r="CW46" s="122">
        <f>ROUND([1]!NPVF2("MP","SLA","N",0.05,"M",$P46,$P46,0,0,120,0,"UP84","UP84","P","","")/[1]!NPVF2("MP","JSC","N",0.05,"M",$P46,$P46,CW$31,1,0,0,"UP84","UP84","P","",""),4)</f>
        <v>1.0782</v>
      </c>
      <c r="CX46" s="62"/>
      <c r="CY46" s="344"/>
      <c r="CZ46" s="344"/>
      <c r="DA46" s="344"/>
      <c r="DG46" s="79"/>
      <c r="DK46" t="s">
        <v>553</v>
      </c>
      <c r="DL46" t="s">
        <v>73</v>
      </c>
      <c r="DN46" s="29">
        <f>SUM(DQ6:DQ11)</f>
        <v>0</v>
      </c>
      <c r="DP46" s="66" t="s">
        <v>26</v>
      </c>
      <c r="DQ46" s="66" t="s">
        <v>26</v>
      </c>
      <c r="DR46" s="66" t="s">
        <v>280</v>
      </c>
      <c r="DS46" s="66" t="s">
        <v>280</v>
      </c>
      <c r="DW46" s="93">
        <v>1950</v>
      </c>
      <c r="DX46" s="16">
        <v>50400</v>
      </c>
      <c r="DY46" s="47">
        <v>51900</v>
      </c>
      <c r="DZ46" s="47">
        <v>53340</v>
      </c>
      <c r="EA46" s="47">
        <v>55308</v>
      </c>
      <c r="EB46" s="47">
        <v>55680</v>
      </c>
      <c r="EC46" s="47">
        <v>56580</v>
      </c>
      <c r="ED46" s="47">
        <v>58128</v>
      </c>
      <c r="EE46" s="47">
        <v>59760</v>
      </c>
      <c r="EF46" s="47">
        <v>61920</v>
      </c>
      <c r="EG46" s="47">
        <v>63660</v>
      </c>
      <c r="EH46" s="47">
        <v>65580</v>
      </c>
      <c r="EI46" s="47">
        <v>67512</v>
      </c>
      <c r="EJ46" s="47">
        <v>68352</v>
      </c>
      <c r="EK46" s="141">
        <v>68688</v>
      </c>
      <c r="EN46" s="43">
        <v>1950</v>
      </c>
      <c r="EO46" s="106">
        <v>32316</v>
      </c>
      <c r="EP46" s="127">
        <v>35148</v>
      </c>
      <c r="EQ46" s="149">
        <v>37008</v>
      </c>
      <c r="ER46" s="127">
        <v>38556</v>
      </c>
      <c r="ES46" s="127">
        <v>40536</v>
      </c>
      <c r="ET46" s="127">
        <v>41976</v>
      </c>
      <c r="EU46" s="127">
        <v>42900</v>
      </c>
      <c r="EV46" s="41">
        <v>46284</v>
      </c>
      <c r="EW46" s="127">
        <v>48840</v>
      </c>
      <c r="EX46" s="202">
        <v>50400</v>
      </c>
      <c r="EY46" s="47">
        <v>51900</v>
      </c>
      <c r="EZ46" s="47">
        <v>53340</v>
      </c>
      <c r="FA46" s="47">
        <v>55308</v>
      </c>
      <c r="FB46" s="47">
        <v>55680</v>
      </c>
      <c r="FC46" s="47">
        <v>56580</v>
      </c>
      <c r="FD46" s="47">
        <v>58128</v>
      </c>
      <c r="FE46" s="47">
        <v>59760</v>
      </c>
      <c r="FF46" s="47">
        <v>61920</v>
      </c>
      <c r="FG46" s="47">
        <v>63660</v>
      </c>
      <c r="FH46" s="47">
        <v>65580</v>
      </c>
      <c r="FI46" s="47">
        <v>67512</v>
      </c>
      <c r="FJ46" s="47">
        <v>68352</v>
      </c>
      <c r="FK46" s="141">
        <v>68688</v>
      </c>
    </row>
    <row r="47" spans="1:167" ht="15.75">
      <c r="B47" s="62"/>
      <c r="C47" s="62"/>
      <c r="D47" s="209">
        <f t="shared" si="0"/>
        <v>42</v>
      </c>
      <c r="E47" s="126">
        <f>[1]!PBGCLRF(65+D47/12)</f>
        <v>1.415</v>
      </c>
      <c r="F47" s="62"/>
      <c r="G47" s="62"/>
      <c r="H47" s="62"/>
      <c r="I47" s="62"/>
      <c r="J47" s="19">
        <v>43</v>
      </c>
      <c r="K47" s="122">
        <f t="shared" si="1"/>
        <v>0.76111111111111196</v>
      </c>
      <c r="L47" s="62"/>
      <c r="M47" s="297">
        <v>43</v>
      </c>
      <c r="N47" s="122">
        <f>[1]!LRFAEQ(0.065,"M",65,M47,0,"GM71","GM71","MP","Y","N","",65)</f>
        <v>1.5314014833347294</v>
      </c>
      <c r="O47" s="62"/>
      <c r="P47" s="88">
        <v>70</v>
      </c>
      <c r="Q47" s="48">
        <v>0.50519999999999998</v>
      </c>
      <c r="R47" s="188">
        <v>0.50619999999999998</v>
      </c>
      <c r="S47" s="188">
        <v>0.50719999999999998</v>
      </c>
      <c r="T47" s="188">
        <v>0.50829999999999997</v>
      </c>
      <c r="U47" s="188">
        <v>0.50949999999999995</v>
      </c>
      <c r="V47" s="188">
        <v>0.51070000000000004</v>
      </c>
      <c r="W47" s="188">
        <v>0.51190000000000002</v>
      </c>
      <c r="X47" s="188">
        <v>0.51329999999999998</v>
      </c>
      <c r="Y47" s="188">
        <v>0.51470000000000005</v>
      </c>
      <c r="Z47" s="188">
        <v>0.5161</v>
      </c>
      <c r="AA47" s="188">
        <v>0.51770000000000005</v>
      </c>
      <c r="AB47" s="188">
        <v>0.51929999999999998</v>
      </c>
      <c r="AC47" s="188">
        <v>0.52090000000000003</v>
      </c>
      <c r="AD47" s="188">
        <v>0.52270000000000005</v>
      </c>
      <c r="AE47" s="188">
        <v>0.52449999999999997</v>
      </c>
      <c r="AF47" s="188">
        <v>0.52639999999999998</v>
      </c>
      <c r="AG47" s="188">
        <v>0.52800000000000002</v>
      </c>
      <c r="AH47" s="188">
        <v>0.52969999999999995</v>
      </c>
      <c r="AI47" s="188">
        <v>0.53149999999999997</v>
      </c>
      <c r="AJ47" s="188">
        <v>0.53339999999999999</v>
      </c>
      <c r="AK47" s="188">
        <v>0.53549999999999998</v>
      </c>
      <c r="AL47" s="188">
        <v>0.53769999999999996</v>
      </c>
      <c r="AM47" s="188">
        <v>0.54</v>
      </c>
      <c r="AN47" s="188">
        <v>0.54249999999999998</v>
      </c>
      <c r="AO47" s="188">
        <v>0.54510000000000003</v>
      </c>
      <c r="AP47" s="188">
        <v>0.54790000000000005</v>
      </c>
      <c r="AQ47" s="188">
        <v>0.55079999999999996</v>
      </c>
      <c r="AR47" s="188">
        <v>0.55389999999999995</v>
      </c>
      <c r="AS47" s="188">
        <v>0.55720000000000003</v>
      </c>
      <c r="AT47" s="188">
        <v>0.56069999999999998</v>
      </c>
      <c r="AU47" s="188">
        <v>0.56440000000000001</v>
      </c>
      <c r="AV47" s="188">
        <v>0.56820000000000004</v>
      </c>
      <c r="AW47" s="188">
        <v>0.57230000000000003</v>
      </c>
      <c r="AX47" s="188">
        <v>0.5766</v>
      </c>
      <c r="AY47" s="188">
        <v>0.58109999999999995</v>
      </c>
      <c r="AZ47" s="188">
        <v>0.58589999999999998</v>
      </c>
      <c r="BA47" s="188">
        <v>0.59089999999999998</v>
      </c>
      <c r="BB47" s="188">
        <v>0.59609999999999996</v>
      </c>
      <c r="BC47" s="188">
        <v>0.60160000000000002</v>
      </c>
      <c r="BD47" s="188">
        <v>0.60729999999999995</v>
      </c>
      <c r="BE47" s="188">
        <v>0.61329999999999996</v>
      </c>
      <c r="BF47" s="188">
        <v>0.61960000000000004</v>
      </c>
      <c r="BG47" s="188">
        <v>0.62619999999999998</v>
      </c>
      <c r="BH47" s="188">
        <v>0.6331</v>
      </c>
      <c r="BI47" s="188">
        <v>0.64029999999999998</v>
      </c>
      <c r="BJ47" s="188">
        <v>0.64780000000000004</v>
      </c>
      <c r="BK47" s="188">
        <v>0.65559999999999996</v>
      </c>
      <c r="BL47" s="188">
        <v>0.66369999999999996</v>
      </c>
      <c r="BM47" s="188">
        <v>0.67220000000000002</v>
      </c>
      <c r="BN47" s="188">
        <v>0.68100000000000005</v>
      </c>
      <c r="BO47" s="188">
        <v>0.69010000000000005</v>
      </c>
      <c r="BP47" s="188">
        <v>0.6996</v>
      </c>
      <c r="BQ47" s="188">
        <v>0.70940000000000003</v>
      </c>
      <c r="BR47" s="188">
        <v>0.71950000000000003</v>
      </c>
      <c r="BS47" s="188">
        <v>0.73</v>
      </c>
      <c r="BT47" s="188">
        <v>0.74080000000000001</v>
      </c>
      <c r="BU47" s="188">
        <v>0.752</v>
      </c>
      <c r="BV47" s="188">
        <v>0.76349999999999996</v>
      </c>
      <c r="BW47" s="188">
        <v>0.77529999999999999</v>
      </c>
      <c r="BX47" s="188">
        <v>0.78739999999999999</v>
      </c>
      <c r="BY47" s="188">
        <v>0.79979999999999996</v>
      </c>
      <c r="BZ47" s="188">
        <v>0.8125</v>
      </c>
      <c r="CA47" s="188">
        <v>0.82530000000000003</v>
      </c>
      <c r="CB47" s="188">
        <v>0.83840000000000003</v>
      </c>
      <c r="CC47" s="188">
        <v>0.85150000000000003</v>
      </c>
      <c r="CD47" s="188">
        <v>0.86480000000000001</v>
      </c>
      <c r="CE47" s="188">
        <v>0.87809999999999999</v>
      </c>
      <c r="CF47" s="188">
        <v>0.89149999999999996</v>
      </c>
      <c r="CG47" s="188">
        <v>0.90490000000000004</v>
      </c>
      <c r="CH47" s="188">
        <v>0.91820000000000002</v>
      </c>
      <c r="CI47" s="188">
        <v>0.93159999999999998</v>
      </c>
      <c r="CJ47" s="188">
        <v>0.94489999999999996</v>
      </c>
      <c r="CK47" s="188">
        <v>0.95799999999999996</v>
      </c>
      <c r="CL47" s="188">
        <v>0.97089999999999999</v>
      </c>
      <c r="CM47" s="253">
        <v>0.98350000000000004</v>
      </c>
      <c r="CN47" s="188">
        <f>ROUND([1]!NPVF2("MP","SLA","N",0.05,"M",$P47,$P47,0,0,120,0,"UP84","UP84","P","","")/[1]!NPVF2("MP","JSC","N",0.05,"M",$P47,$P47,CN$31,1,0,0,"UP84","UP84","P","",""),4)</f>
        <v>0.99580000000000002</v>
      </c>
      <c r="CO47" s="188">
        <f>ROUND([1]!NPVF2("MP","SLA","N",0.05,"M",$P47,$P47,0,0,120,0,"UP84","UP84","P","","")/[1]!NPVF2("MP","JSC","N",0.05,"M",$P47,$P47,CO$31,1,0,0,"UP84","UP84","P","",""),4)</f>
        <v>1.0078</v>
      </c>
      <c r="CP47" s="188">
        <f>ROUND([1]!NPVF2("MP","SLA","N",0.05,"M",$P47,$P47,0,0,120,0,"UP84","UP84","P","","")/[1]!NPVF2("MP","JSC","N",0.05,"M",$P47,$P47,CP$31,1,0,0,"UP84","UP84","P","",""),4)</f>
        <v>1.0193000000000001</v>
      </c>
      <c r="CQ47" s="188">
        <f>ROUND([1]!NPVF2("MP","SLA","N",0.05,"M",$P47,$P47,0,0,120,0,"UP84","UP84","P","","")/[1]!NPVF2("MP","JSC","N",0.05,"M",$P47,$P47,CQ$31,1,0,0,"UP84","UP84","P","",""),4)</f>
        <v>1.0303</v>
      </c>
      <c r="CR47" s="188">
        <f>ROUND([1]!NPVF2("MP","SLA","N",0.05,"M",$P47,$P47,0,0,120,0,"UP84","UP84","P","","")/[1]!NPVF2("MP","JSC","N",0.05,"M",$P47,$P47,CR$31,1,0,0,"UP84","UP84","P","",""),4)</f>
        <v>1.0409999999999999</v>
      </c>
      <c r="CS47" s="188">
        <f>ROUND([1]!NPVF2("MP","SLA","N",0.05,"M",$P47,$P47,0,0,120,0,"UP84","UP84","P","","")/[1]!NPVF2("MP","JSC","N",0.05,"M",$P47,$P47,CS$31,1,0,0,"UP84","UP84","P","",""),4)</f>
        <v>1.0510999999999999</v>
      </c>
      <c r="CT47" s="188">
        <f>ROUND([1]!NPVF2("MP","SLA","N",0.05,"M",$P47,$P47,0,0,120,0,"UP84","UP84","P","","")/[1]!NPVF2("MP","JSC","N",0.05,"M",$P47,$P47,CT$31,1,0,0,"UP84","UP84","P","",""),4)</f>
        <v>1.0607</v>
      </c>
      <c r="CU47" s="188">
        <f>ROUND([1]!NPVF2("MP","SLA","N",0.05,"M",$P47,$P47,0,0,120,0,"UP84","UP84","P","","")/[1]!NPVF2("MP","JSC","N",0.05,"M",$P47,$P47,CU$31,1,0,0,"UP84","UP84","P","",""),4)</f>
        <v>1.0698000000000001</v>
      </c>
      <c r="CV47" s="188">
        <f>ROUND([1]!NPVF2("MP","SLA","N",0.05,"M",$P47,$P47,0,0,120,0,"UP84","UP84","P","","")/[1]!NPVF2("MP","JSC","N",0.05,"M",$P47,$P47,CV$31,1,0,0,"UP84","UP84","P","",""),4)</f>
        <v>1.0784</v>
      </c>
      <c r="CW47" s="122">
        <f>ROUND([1]!NPVF2("MP","SLA","N",0.05,"M",$P47,$P47,0,0,120,0,"UP84","UP84","P","","")/[1]!NPVF2("MP","JSC","N",0.05,"M",$P47,$P47,CW$31,1,0,0,"UP84","UP84","P","",""),4)</f>
        <v>1.0865</v>
      </c>
      <c r="CX47" s="62"/>
      <c r="CY47" s="184" t="s">
        <v>351</v>
      </c>
      <c r="CZ47" s="184" t="s">
        <v>272</v>
      </c>
      <c r="DG47" s="79"/>
      <c r="DK47" t="s">
        <v>565</v>
      </c>
      <c r="DL47" t="s">
        <v>70</v>
      </c>
      <c r="DN47" s="29">
        <v>1497004</v>
      </c>
      <c r="DP47" s="66" t="s">
        <v>538</v>
      </c>
      <c r="DQ47" s="66" t="s">
        <v>143</v>
      </c>
      <c r="DR47" s="66" t="s">
        <v>538</v>
      </c>
      <c r="DS47" s="66" t="s">
        <v>143</v>
      </c>
      <c r="DW47" s="93">
        <v>1951</v>
      </c>
      <c r="DX47" s="16">
        <v>51000</v>
      </c>
      <c r="DY47" s="47">
        <v>52560</v>
      </c>
      <c r="DZ47" s="47">
        <v>54060</v>
      </c>
      <c r="EA47" s="47">
        <v>56112</v>
      </c>
      <c r="EB47" s="47">
        <v>56508</v>
      </c>
      <c r="EC47" s="47">
        <v>57444</v>
      </c>
      <c r="ED47" s="47">
        <v>59064</v>
      </c>
      <c r="EE47" s="47">
        <v>60780</v>
      </c>
      <c r="EF47" s="47">
        <v>63060</v>
      </c>
      <c r="EG47" s="47">
        <v>64920</v>
      </c>
      <c r="EH47" s="47">
        <v>66960</v>
      </c>
      <c r="EI47" s="47">
        <v>69012</v>
      </c>
      <c r="EJ47" s="47">
        <v>69912</v>
      </c>
      <c r="EK47" s="141">
        <v>70272</v>
      </c>
      <c r="EN47" s="43">
        <v>1951</v>
      </c>
      <c r="EO47" s="106">
        <v>32316</v>
      </c>
      <c r="EP47" s="127">
        <v>35424</v>
      </c>
      <c r="EQ47" s="149">
        <v>37344</v>
      </c>
      <c r="ER47" s="127">
        <v>38940</v>
      </c>
      <c r="ES47" s="127">
        <v>41004</v>
      </c>
      <c r="ET47" s="127">
        <v>42492</v>
      </c>
      <c r="EU47" s="127">
        <v>43452</v>
      </c>
      <c r="EV47" s="41">
        <v>46740</v>
      </c>
      <c r="EW47" s="127">
        <v>49380</v>
      </c>
      <c r="EX47" s="202">
        <v>51000</v>
      </c>
      <c r="EY47" s="47">
        <v>52560</v>
      </c>
      <c r="EZ47" s="47">
        <v>54060</v>
      </c>
      <c r="FA47" s="47">
        <v>56112</v>
      </c>
      <c r="FB47" s="47">
        <v>56508</v>
      </c>
      <c r="FC47" s="47">
        <v>57444</v>
      </c>
      <c r="FD47" s="47">
        <v>59064</v>
      </c>
      <c r="FE47" s="47">
        <v>60780</v>
      </c>
      <c r="FF47" s="47">
        <v>63060</v>
      </c>
      <c r="FG47" s="47">
        <v>64920</v>
      </c>
      <c r="FH47" s="47">
        <v>66960</v>
      </c>
      <c r="FI47" s="47">
        <v>69012</v>
      </c>
      <c r="FJ47" s="47">
        <v>69912</v>
      </c>
      <c r="FK47" s="141">
        <v>70272</v>
      </c>
    </row>
    <row r="48" spans="1:167" ht="15.75">
      <c r="B48" s="62"/>
      <c r="C48" s="62"/>
      <c r="D48" s="209">
        <f t="shared" si="0"/>
        <v>43</v>
      </c>
      <c r="E48" s="126">
        <f>[1]!PBGCLRF(65+D48/12)</f>
        <v>1.4275</v>
      </c>
      <c r="F48" s="62"/>
      <c r="G48" s="62"/>
      <c r="H48" s="62"/>
      <c r="I48" s="62"/>
      <c r="J48" s="19">
        <v>44</v>
      </c>
      <c r="K48" s="122">
        <f t="shared" si="1"/>
        <v>0.75555555555555642</v>
      </c>
      <c r="L48" s="62"/>
      <c r="M48" s="297">
        <v>44</v>
      </c>
      <c r="N48" s="122">
        <f>[1]!LRFAEQ(0.065,"M",65,M48,0,"GM71","GM71","MP","Y","N","",65)</f>
        <v>1.5471291461332823</v>
      </c>
      <c r="O48" s="62"/>
      <c r="P48" s="88">
        <v>71</v>
      </c>
      <c r="Q48" s="48">
        <v>0.49559999999999998</v>
      </c>
      <c r="R48" s="188">
        <v>0.49659999999999999</v>
      </c>
      <c r="S48" s="188">
        <v>0.49769999999999998</v>
      </c>
      <c r="T48" s="188">
        <v>0.49880000000000002</v>
      </c>
      <c r="U48" s="188">
        <v>0.49990000000000001</v>
      </c>
      <c r="V48" s="188">
        <v>0.50109999999999999</v>
      </c>
      <c r="W48" s="188">
        <v>0.50229999999999997</v>
      </c>
      <c r="X48" s="188">
        <v>0.50370000000000004</v>
      </c>
      <c r="Y48" s="188">
        <v>0.505</v>
      </c>
      <c r="Z48" s="188">
        <v>0.50649999999999995</v>
      </c>
      <c r="AA48" s="188">
        <v>0.50800000000000001</v>
      </c>
      <c r="AB48" s="188">
        <v>0.50960000000000005</v>
      </c>
      <c r="AC48" s="188">
        <v>0.51119999999999999</v>
      </c>
      <c r="AD48" s="188">
        <v>0.51290000000000002</v>
      </c>
      <c r="AE48" s="188">
        <v>0.51470000000000005</v>
      </c>
      <c r="AF48" s="188">
        <v>0.51659999999999995</v>
      </c>
      <c r="AG48" s="188">
        <v>0.51819999999999999</v>
      </c>
      <c r="AH48" s="188">
        <v>0.51990000000000003</v>
      </c>
      <c r="AI48" s="188">
        <v>0.52159999999999995</v>
      </c>
      <c r="AJ48" s="188">
        <v>0.52349999999999997</v>
      </c>
      <c r="AK48" s="188">
        <v>0.52549999999999997</v>
      </c>
      <c r="AL48" s="188">
        <v>0.52769999999999995</v>
      </c>
      <c r="AM48" s="188">
        <v>0.53</v>
      </c>
      <c r="AN48" s="188">
        <v>0.53239999999999998</v>
      </c>
      <c r="AO48" s="188">
        <v>0.53500000000000003</v>
      </c>
      <c r="AP48" s="188">
        <v>0.53769999999999996</v>
      </c>
      <c r="AQ48" s="188">
        <v>0.54059999999999997</v>
      </c>
      <c r="AR48" s="188">
        <v>0.54369999999999996</v>
      </c>
      <c r="AS48" s="188">
        <v>0.54690000000000005</v>
      </c>
      <c r="AT48" s="188">
        <v>0.5504</v>
      </c>
      <c r="AU48" s="188">
        <v>0.55400000000000005</v>
      </c>
      <c r="AV48" s="188">
        <v>0.55779999999999996</v>
      </c>
      <c r="AW48" s="188">
        <v>0.56179999999999997</v>
      </c>
      <c r="AX48" s="188">
        <v>0.56610000000000005</v>
      </c>
      <c r="AY48" s="188">
        <v>0.5706</v>
      </c>
      <c r="AZ48" s="188">
        <v>0.57530000000000003</v>
      </c>
      <c r="BA48" s="188">
        <v>0.58020000000000005</v>
      </c>
      <c r="BB48" s="188">
        <v>0.58540000000000003</v>
      </c>
      <c r="BC48" s="188">
        <v>0.59079999999999999</v>
      </c>
      <c r="BD48" s="188">
        <v>0.59650000000000003</v>
      </c>
      <c r="BE48" s="188">
        <v>0.60250000000000004</v>
      </c>
      <c r="BF48" s="188">
        <v>0.60880000000000001</v>
      </c>
      <c r="BG48" s="188">
        <v>0.61529999999999996</v>
      </c>
      <c r="BH48" s="188">
        <v>0.62219999999999998</v>
      </c>
      <c r="BI48" s="188">
        <v>0.62929999999999997</v>
      </c>
      <c r="BJ48" s="188">
        <v>0.63680000000000003</v>
      </c>
      <c r="BK48" s="188">
        <v>0.64470000000000005</v>
      </c>
      <c r="BL48" s="188">
        <v>0.65280000000000005</v>
      </c>
      <c r="BM48" s="188">
        <v>0.6613</v>
      </c>
      <c r="BN48" s="188">
        <v>0.67010000000000003</v>
      </c>
      <c r="BO48" s="188">
        <v>0.67930000000000001</v>
      </c>
      <c r="BP48" s="188">
        <v>0.68879999999999997</v>
      </c>
      <c r="BQ48" s="188">
        <v>0.69869999999999999</v>
      </c>
      <c r="BR48" s="188">
        <v>0.70899999999999996</v>
      </c>
      <c r="BS48" s="188">
        <v>0.71960000000000002</v>
      </c>
      <c r="BT48" s="188">
        <v>0.73060000000000003</v>
      </c>
      <c r="BU48" s="188">
        <v>0.7419</v>
      </c>
      <c r="BV48" s="188">
        <v>0.75360000000000005</v>
      </c>
      <c r="BW48" s="188">
        <v>0.76570000000000005</v>
      </c>
      <c r="BX48" s="188">
        <v>0.77810000000000001</v>
      </c>
      <c r="BY48" s="188">
        <v>0.79079999999999995</v>
      </c>
      <c r="BZ48" s="188">
        <v>0.80379999999999996</v>
      </c>
      <c r="CA48" s="188">
        <v>0.81710000000000005</v>
      </c>
      <c r="CB48" s="188">
        <v>0.83050000000000002</v>
      </c>
      <c r="CC48" s="188">
        <v>0.84419999999999995</v>
      </c>
      <c r="CD48" s="188">
        <v>0.85799999999999998</v>
      </c>
      <c r="CE48" s="188">
        <v>0.87190000000000001</v>
      </c>
      <c r="CF48" s="188">
        <v>0.88590000000000002</v>
      </c>
      <c r="CG48" s="188">
        <v>0.89990000000000003</v>
      </c>
      <c r="CH48" s="188">
        <v>0.91400000000000003</v>
      </c>
      <c r="CI48" s="188">
        <v>0.92810000000000004</v>
      </c>
      <c r="CJ48" s="188">
        <v>0.94220000000000004</v>
      </c>
      <c r="CK48" s="188">
        <v>0.95620000000000005</v>
      </c>
      <c r="CL48" s="188">
        <v>0.97</v>
      </c>
      <c r="CM48" s="253">
        <v>0.98350000000000004</v>
      </c>
      <c r="CN48" s="188">
        <f>ROUND([1]!NPVF2("MP","SLA","N",0.05,"M",$P48,$P48,0,0,120,0,"UP84","UP84","P","","")/[1]!NPVF2("MP","JSC","N",0.05,"M",$P48,$P48,CN$31,1,0,0,"UP84","UP84","P","",""),4)</f>
        <v>0.99680000000000002</v>
      </c>
      <c r="CO48" s="188">
        <f>ROUND([1]!NPVF2("MP","SLA","N",0.05,"M",$P48,$P48,0,0,120,0,"UP84","UP84","P","","")/[1]!NPVF2("MP","JSC","N",0.05,"M",$P48,$P48,CO$31,1,0,0,"UP84","UP84","P","",""),4)</f>
        <v>1.0096000000000001</v>
      </c>
      <c r="CP48" s="188">
        <f>ROUND([1]!NPVF2("MP","SLA","N",0.05,"M",$P48,$P48,0,0,120,0,"UP84","UP84","P","","")/[1]!NPVF2("MP","JSC","N",0.05,"M",$P48,$P48,CP$31,1,0,0,"UP84","UP84","P","",""),4)</f>
        <v>1.0221</v>
      </c>
      <c r="CQ48" s="188">
        <f>ROUND([1]!NPVF2("MP","SLA","N",0.05,"M",$P48,$P48,0,0,120,0,"UP84","UP84","P","","")/[1]!NPVF2("MP","JSC","N",0.05,"M",$P48,$P48,CQ$31,1,0,0,"UP84","UP84","P","",""),4)</f>
        <v>1.0341</v>
      </c>
      <c r="CR48" s="188">
        <f>ROUND([1]!NPVF2("MP","SLA","N",0.05,"M",$P48,$P48,0,0,120,0,"UP84","UP84","P","","")/[1]!NPVF2("MP","JSC","N",0.05,"M",$P48,$P48,CR$31,1,0,0,"UP84","UP84","P","",""),4)</f>
        <v>1.0457000000000001</v>
      </c>
      <c r="CS48" s="188">
        <f>ROUND([1]!NPVF2("MP","SLA","N",0.05,"M",$P48,$P48,0,0,120,0,"UP84","UP84","P","","")/[1]!NPVF2("MP","JSC","N",0.05,"M",$P48,$P48,CS$31,1,0,0,"UP84","UP84","P","",""),4)</f>
        <v>1.0568</v>
      </c>
      <c r="CT48" s="188">
        <f>ROUND([1]!NPVF2("MP","SLA","N",0.05,"M",$P48,$P48,0,0,120,0,"UP84","UP84","P","","")/[1]!NPVF2("MP","JSC","N",0.05,"M",$P48,$P48,CT$31,1,0,0,"UP84","UP84","P","",""),4)</f>
        <v>1.0672999999999999</v>
      </c>
      <c r="CU48" s="188">
        <f>ROUND([1]!NPVF2("MP","SLA","N",0.05,"M",$P48,$P48,0,0,120,0,"UP84","UP84","P","","")/[1]!NPVF2("MP","JSC","N",0.05,"M",$P48,$P48,CU$31,1,0,0,"UP84","UP84","P","",""),4)</f>
        <v>1.0772999999999999</v>
      </c>
      <c r="CV48" s="188">
        <f>ROUND([1]!NPVF2("MP","SLA","N",0.05,"M",$P48,$P48,0,0,120,0,"UP84","UP84","P","","")/[1]!NPVF2("MP","JSC","N",0.05,"M",$P48,$P48,CV$31,1,0,0,"UP84","UP84","P","",""),4)</f>
        <v>1.0868</v>
      </c>
      <c r="CW48" s="122">
        <f>ROUND([1]!NPVF2("MP","SLA","N",0.05,"M",$P48,$P48,0,0,120,0,"UP84","UP84","P","","")/[1]!NPVF2("MP","JSC","N",0.05,"M",$P48,$P48,CW$31,1,0,0,"UP84","UP84","P","",""),4)</f>
        <v>1.0958000000000001</v>
      </c>
      <c r="CX48" s="62"/>
      <c r="CY48">
        <v>0.05</v>
      </c>
      <c r="CZ48">
        <v>999</v>
      </c>
      <c r="DK48" t="s">
        <v>581</v>
      </c>
      <c r="DL48" t="s">
        <v>83</v>
      </c>
      <c r="DN48" s="29">
        <f>DN46-DN47</f>
        <v>-1497004</v>
      </c>
      <c r="DO48" t="s">
        <v>179</v>
      </c>
      <c r="DP48" s="276">
        <f>DSUM(Retirees,"TERM_LW_ANB",All_Criteria)</f>
        <v>0</v>
      </c>
      <c r="DQ48" s="276">
        <f>DSUM(Retirees,"TERM_LW_XRA",All_Criteria)</f>
        <v>0</v>
      </c>
      <c r="DR48" s="101" t="e">
        <f t="shared" ref="DR48:DR51" si="9">ROUND(DP48/DO38,1)</f>
        <v>#DIV/0!</v>
      </c>
      <c r="DS48" s="101" t="e">
        <f t="shared" ref="DS48:DS51" si="10">ROUND(DQ48/DO38,1)</f>
        <v>#DIV/0!</v>
      </c>
      <c r="DT48" s="323" t="e">
        <f>(DP48+DP49)/(DO38+DO39)</f>
        <v>#DIV/0!</v>
      </c>
      <c r="DU48" s="323" t="e">
        <f>(DQ48+DQ49)/(DO38+DO39)</f>
        <v>#DIV/0!</v>
      </c>
      <c r="DW48" s="93">
        <v>1952</v>
      </c>
      <c r="DX48" s="16">
        <v>51504</v>
      </c>
      <c r="DY48" s="47">
        <v>53124</v>
      </c>
      <c r="DZ48" s="47">
        <v>54684</v>
      </c>
      <c r="EA48" s="47">
        <v>56820</v>
      </c>
      <c r="EB48" s="47">
        <v>57240</v>
      </c>
      <c r="EC48" s="47">
        <v>58224</v>
      </c>
      <c r="ED48" s="47">
        <v>59916</v>
      </c>
      <c r="EE48" s="47">
        <v>61716</v>
      </c>
      <c r="EF48" s="47">
        <v>64116</v>
      </c>
      <c r="EG48" s="47">
        <v>66072</v>
      </c>
      <c r="EH48" s="47">
        <v>68232</v>
      </c>
      <c r="EI48" s="47">
        <v>70416</v>
      </c>
      <c r="EJ48" s="47">
        <v>71376</v>
      </c>
      <c r="EK48" s="141">
        <v>71760</v>
      </c>
      <c r="EN48" s="43">
        <v>1952</v>
      </c>
      <c r="EO48" s="106">
        <v>32400</v>
      </c>
      <c r="EP48" s="127">
        <v>35604</v>
      </c>
      <c r="EQ48" s="149">
        <v>37584</v>
      </c>
      <c r="ER48" s="127">
        <v>39228</v>
      </c>
      <c r="ES48" s="127">
        <v>41352</v>
      </c>
      <c r="ET48" s="127">
        <v>42900</v>
      </c>
      <c r="EU48" s="127">
        <v>43884</v>
      </c>
      <c r="EV48" s="41">
        <v>47088</v>
      </c>
      <c r="EW48" s="127">
        <v>49824</v>
      </c>
      <c r="EX48" s="202">
        <v>51504</v>
      </c>
      <c r="EY48" s="47">
        <v>53124</v>
      </c>
      <c r="EZ48" s="47">
        <v>54684</v>
      </c>
      <c r="FA48" s="47">
        <v>56820</v>
      </c>
      <c r="FB48" s="47">
        <v>57240</v>
      </c>
      <c r="FC48" s="47">
        <v>58224</v>
      </c>
      <c r="FD48" s="47">
        <v>59916</v>
      </c>
      <c r="FE48" s="47">
        <v>61716</v>
      </c>
      <c r="FF48" s="47">
        <v>64116</v>
      </c>
      <c r="FG48" s="47">
        <v>66072</v>
      </c>
      <c r="FH48" s="47">
        <v>68232</v>
      </c>
      <c r="FI48" s="47">
        <v>70416</v>
      </c>
      <c r="FJ48" s="47">
        <v>71376</v>
      </c>
      <c r="FK48" s="141">
        <v>71760</v>
      </c>
    </row>
    <row r="49" spans="2:167" ht="15.75">
      <c r="B49" s="62"/>
      <c r="C49" s="62"/>
      <c r="D49" s="209">
        <f t="shared" si="0"/>
        <v>44</v>
      </c>
      <c r="E49" s="126">
        <f>[1]!PBGCLRF(65+D49/12)</f>
        <v>1.44</v>
      </c>
      <c r="F49" s="62"/>
      <c r="G49" s="62"/>
      <c r="H49" s="62"/>
      <c r="I49" s="62"/>
      <c r="J49" s="19">
        <v>45</v>
      </c>
      <c r="K49" s="122">
        <f t="shared" si="1"/>
        <v>0.75000000000000089</v>
      </c>
      <c r="L49" s="62"/>
      <c r="M49" s="297">
        <v>45</v>
      </c>
      <c r="N49" s="122">
        <f>[1]!LRFAEQ(0.065,"M",65,M49,0,"GM71","GM71","MP","Y","N","",65)</f>
        <v>1.5628568089318353</v>
      </c>
      <c r="O49" s="62"/>
      <c r="P49" s="88">
        <v>72</v>
      </c>
      <c r="Q49" s="48">
        <v>0.48649999999999999</v>
      </c>
      <c r="R49" s="188">
        <v>0.48749999999999999</v>
      </c>
      <c r="S49" s="188">
        <v>0.48849999999999999</v>
      </c>
      <c r="T49" s="188">
        <v>0.48959999999999998</v>
      </c>
      <c r="U49" s="188">
        <v>0.49070000000000003</v>
      </c>
      <c r="V49" s="188">
        <v>0.4919</v>
      </c>
      <c r="W49" s="188">
        <v>0.49309999999999998</v>
      </c>
      <c r="X49" s="188">
        <v>0.49440000000000001</v>
      </c>
      <c r="Y49" s="188">
        <v>0.49580000000000002</v>
      </c>
      <c r="Z49" s="188">
        <v>0.49719999999999998</v>
      </c>
      <c r="AA49" s="188">
        <v>0.49869999999999998</v>
      </c>
      <c r="AB49" s="188">
        <v>0.50019999999999998</v>
      </c>
      <c r="AC49" s="188">
        <v>0.50190000000000001</v>
      </c>
      <c r="AD49" s="188">
        <v>0.50360000000000005</v>
      </c>
      <c r="AE49" s="188">
        <v>0.50539999999999996</v>
      </c>
      <c r="AF49" s="188">
        <v>0.50719999999999998</v>
      </c>
      <c r="AG49" s="188">
        <v>0.50880000000000003</v>
      </c>
      <c r="AH49" s="188">
        <v>0.51039999999999996</v>
      </c>
      <c r="AI49" s="188">
        <v>0.5121</v>
      </c>
      <c r="AJ49" s="188">
        <v>0.51400000000000001</v>
      </c>
      <c r="AK49" s="188">
        <v>0.51600000000000001</v>
      </c>
      <c r="AL49" s="188">
        <v>0.5181</v>
      </c>
      <c r="AM49" s="188">
        <v>0.52029999999999998</v>
      </c>
      <c r="AN49" s="188">
        <v>0.52270000000000005</v>
      </c>
      <c r="AO49" s="188">
        <v>0.5252</v>
      </c>
      <c r="AP49" s="188">
        <v>0.52790000000000004</v>
      </c>
      <c r="AQ49" s="188">
        <v>0.53080000000000005</v>
      </c>
      <c r="AR49" s="188">
        <v>0.53380000000000005</v>
      </c>
      <c r="AS49" s="188">
        <v>0.53700000000000003</v>
      </c>
      <c r="AT49" s="188">
        <v>0.54039999999999999</v>
      </c>
      <c r="AU49" s="188">
        <v>0.54400000000000004</v>
      </c>
      <c r="AV49" s="188">
        <v>0.54779999999999995</v>
      </c>
      <c r="AW49" s="188">
        <v>0.55179999999999996</v>
      </c>
      <c r="AX49" s="188">
        <v>0.55600000000000005</v>
      </c>
      <c r="AY49" s="188">
        <v>0.56040000000000001</v>
      </c>
      <c r="AZ49" s="188">
        <v>0.56510000000000005</v>
      </c>
      <c r="BA49" s="188">
        <v>0.56989999999999996</v>
      </c>
      <c r="BB49" s="188">
        <v>0.57509999999999994</v>
      </c>
      <c r="BC49" s="188">
        <v>0.58050000000000002</v>
      </c>
      <c r="BD49" s="188">
        <v>0.58609999999999995</v>
      </c>
      <c r="BE49" s="188">
        <v>0.59209999999999996</v>
      </c>
      <c r="BF49" s="188">
        <v>0.59830000000000005</v>
      </c>
      <c r="BG49" s="188">
        <v>0.6048</v>
      </c>
      <c r="BH49" s="188">
        <v>0.61160000000000003</v>
      </c>
      <c r="BI49" s="188">
        <v>0.61880000000000002</v>
      </c>
      <c r="BJ49" s="188">
        <v>0.62629999999999997</v>
      </c>
      <c r="BK49" s="188">
        <v>0.6341</v>
      </c>
      <c r="BL49" s="188">
        <v>0.64219999999999999</v>
      </c>
      <c r="BM49" s="188">
        <v>0.65069999999999995</v>
      </c>
      <c r="BN49" s="188">
        <v>0.65959999999999996</v>
      </c>
      <c r="BO49" s="188">
        <v>0.66879999999999995</v>
      </c>
      <c r="BP49" s="188">
        <v>0.6784</v>
      </c>
      <c r="BQ49" s="188">
        <v>0.68830000000000002</v>
      </c>
      <c r="BR49" s="188">
        <v>0.69869999999999999</v>
      </c>
      <c r="BS49" s="188">
        <v>0.70940000000000003</v>
      </c>
      <c r="BT49" s="188">
        <v>0.72050000000000003</v>
      </c>
      <c r="BU49" s="188">
        <v>0.73209999999999997</v>
      </c>
      <c r="BV49" s="188">
        <v>0.74399999999999999</v>
      </c>
      <c r="BW49" s="188">
        <v>0.75629999999999997</v>
      </c>
      <c r="BX49" s="188">
        <v>0.76890000000000003</v>
      </c>
      <c r="BY49" s="188">
        <v>0.78190000000000004</v>
      </c>
      <c r="BZ49" s="188">
        <v>0.79530000000000001</v>
      </c>
      <c r="CA49" s="188">
        <v>0.80889999999999995</v>
      </c>
      <c r="CB49" s="188">
        <v>0.82289999999999996</v>
      </c>
      <c r="CC49" s="188">
        <v>0.83699999999999997</v>
      </c>
      <c r="CD49" s="188">
        <v>0.85129999999999995</v>
      </c>
      <c r="CE49" s="188">
        <v>0.86580000000000001</v>
      </c>
      <c r="CF49" s="188">
        <v>0.88039999999999996</v>
      </c>
      <c r="CG49" s="188">
        <v>0.89510000000000001</v>
      </c>
      <c r="CH49" s="188">
        <v>0.90990000000000004</v>
      </c>
      <c r="CI49" s="188">
        <v>0.92479999999999996</v>
      </c>
      <c r="CJ49" s="188">
        <v>0.93969999999999998</v>
      </c>
      <c r="CK49" s="188">
        <v>0.9546</v>
      </c>
      <c r="CL49" s="188">
        <v>0.96930000000000005</v>
      </c>
      <c r="CM49" s="253">
        <v>0.98380000000000001</v>
      </c>
      <c r="CN49" s="188">
        <f>ROUND([1]!NPVF2("MP","SLA","N",0.05,"M",$P49,$P49,0,0,120,0,"UP84","UP84","P","","")/[1]!NPVF2("MP","JSC","N",0.05,"M",$P49,$P49,CN$31,1,0,0,"UP84","UP84","P","",""),4)</f>
        <v>0.998</v>
      </c>
      <c r="CO49" s="188">
        <f>ROUND([1]!NPVF2("MP","SLA","N",0.05,"M",$P49,$P49,0,0,120,0,"UP84","UP84","P","","")/[1]!NPVF2("MP","JSC","N",0.05,"M",$P49,$P49,CO$31,1,0,0,"UP84","UP84","P","",""),4)</f>
        <v>1.0119</v>
      </c>
      <c r="CP49" s="188">
        <f>ROUND([1]!NPVF2("MP","SLA","N",0.05,"M",$P49,$P49,0,0,120,0,"UP84","UP84","P","","")/[1]!NPVF2("MP","JSC","N",0.05,"M",$P49,$P49,CP$31,1,0,0,"UP84","UP84","P","",""),4)</f>
        <v>1.0253000000000001</v>
      </c>
      <c r="CQ49" s="188">
        <f>ROUND([1]!NPVF2("MP","SLA","N",0.05,"M",$P49,$P49,0,0,120,0,"UP84","UP84","P","","")/[1]!NPVF2("MP","JSC","N",0.05,"M",$P49,$P49,CQ$31,1,0,0,"UP84","UP84","P","",""),4)</f>
        <v>1.0384</v>
      </c>
      <c r="CR49" s="188">
        <f>ROUND([1]!NPVF2("MP","SLA","N",0.05,"M",$P49,$P49,0,0,120,0,"UP84","UP84","P","","")/[1]!NPVF2("MP","JSC","N",0.05,"M",$P49,$P49,CR$31,1,0,0,"UP84","UP84","P","",""),4)</f>
        <v>1.0509999999999999</v>
      </c>
      <c r="CS49" s="188">
        <f>ROUND([1]!NPVF2("MP","SLA","N",0.05,"M",$P49,$P49,0,0,120,0,"UP84","UP84","P","","")/[1]!NPVF2("MP","JSC","N",0.05,"M",$P49,$P49,CS$31,1,0,0,"UP84","UP84","P","",""),4)</f>
        <v>1.0630999999999999</v>
      </c>
      <c r="CT49" s="188">
        <f>ROUND([1]!NPVF2("MP","SLA","N",0.05,"M",$P49,$P49,0,0,120,0,"UP84","UP84","P","","")/[1]!NPVF2("MP","JSC","N",0.05,"M",$P49,$P49,CT$31,1,0,0,"UP84","UP84","P","",""),4)</f>
        <v>1.0747</v>
      </c>
      <c r="CU49" s="188">
        <f>ROUND([1]!NPVF2("MP","SLA","N",0.05,"M",$P49,$P49,0,0,120,0,"UP84","UP84","P","","")/[1]!NPVF2("MP","JSC","N",0.05,"M",$P49,$P49,CU$31,1,0,0,"UP84","UP84","P","",""),4)</f>
        <v>1.0857000000000001</v>
      </c>
      <c r="CV49" s="188">
        <f>ROUND([1]!NPVF2("MP","SLA","N",0.05,"M",$P49,$P49,0,0,120,0,"UP84","UP84","P","","")/[1]!NPVF2("MP","JSC","N",0.05,"M",$P49,$P49,CV$31,1,0,0,"UP84","UP84","P","",""),4)</f>
        <v>1.0961000000000001</v>
      </c>
      <c r="CW49" s="122">
        <f>ROUND([1]!NPVF2("MP","SLA","N",0.05,"M",$P49,$P49,0,0,120,0,"UP84","UP84","P","","")/[1]!NPVF2("MP","JSC","N",0.05,"M",$P49,$P49,CW$31,1,0,0,"UP84","UP84","P","",""),4)</f>
        <v>1.1061000000000001</v>
      </c>
      <c r="CX49" s="62"/>
      <c r="DK49" t="s">
        <v>92</v>
      </c>
      <c r="DL49" t="s">
        <v>124</v>
      </c>
      <c r="DN49" s="29">
        <f>SUM(DQ14:DQ19)</f>
        <v>0</v>
      </c>
      <c r="DO49" t="s">
        <v>142</v>
      </c>
      <c r="DP49" s="276">
        <f>DSUM(Beneficiaries_in_Pay,"TERM_LW_ANB",All_Criteria)</f>
        <v>0</v>
      </c>
      <c r="DQ49" s="276">
        <f>DSUM(Beneficiaries_in_Pay,"TERM_LW_XRA",All_Criteria)</f>
        <v>0</v>
      </c>
      <c r="DR49" s="101" t="e">
        <f>ROUND(DP49/DO39,1)</f>
        <v>#DIV/0!</v>
      </c>
      <c r="DS49" s="101" t="e">
        <f>ROUND(DQ49/DO39,1)</f>
        <v>#DIV/0!</v>
      </c>
      <c r="DW49" s="93">
        <v>1953</v>
      </c>
      <c r="DX49" s="16">
        <v>51948</v>
      </c>
      <c r="DY49" s="47">
        <v>53628</v>
      </c>
      <c r="DZ49" s="47">
        <v>55248</v>
      </c>
      <c r="EA49" s="47">
        <v>57480</v>
      </c>
      <c r="EB49" s="47">
        <v>57900</v>
      </c>
      <c r="EC49" s="47">
        <v>58932</v>
      </c>
      <c r="ED49" s="47">
        <v>60708</v>
      </c>
      <c r="EE49" s="47">
        <v>62592</v>
      </c>
      <c r="EF49" s="47">
        <v>65112</v>
      </c>
      <c r="EG49" s="47">
        <v>67164</v>
      </c>
      <c r="EH49" s="47">
        <v>69444</v>
      </c>
      <c r="EI49" s="47">
        <v>71760</v>
      </c>
      <c r="EJ49" s="47">
        <v>72780</v>
      </c>
      <c r="EK49" s="141">
        <v>73200</v>
      </c>
      <c r="EN49" s="43">
        <v>1953</v>
      </c>
      <c r="EO49" s="106">
        <v>32400</v>
      </c>
      <c r="EP49" s="127">
        <v>35700</v>
      </c>
      <c r="EQ49" s="149">
        <v>37740</v>
      </c>
      <c r="ER49" s="127">
        <v>39432</v>
      </c>
      <c r="ES49" s="127">
        <v>41628</v>
      </c>
      <c r="ET49" s="127">
        <v>43224</v>
      </c>
      <c r="EU49" s="127">
        <v>44244</v>
      </c>
      <c r="EV49" s="41">
        <v>47376</v>
      </c>
      <c r="EW49" s="127">
        <v>50208</v>
      </c>
      <c r="EX49" s="202">
        <v>51948</v>
      </c>
      <c r="EY49" s="47">
        <v>53628</v>
      </c>
      <c r="EZ49" s="47">
        <v>55248</v>
      </c>
      <c r="FA49" s="47">
        <v>57480</v>
      </c>
      <c r="FB49" s="47">
        <v>57900</v>
      </c>
      <c r="FC49" s="47">
        <v>58932</v>
      </c>
      <c r="FD49" s="47">
        <v>60708</v>
      </c>
      <c r="FE49" s="47">
        <v>62592</v>
      </c>
      <c r="FF49" s="47">
        <v>65112</v>
      </c>
      <c r="FG49" s="47">
        <v>67164</v>
      </c>
      <c r="FH49" s="47">
        <v>69444</v>
      </c>
      <c r="FI49" s="47">
        <v>71760</v>
      </c>
      <c r="FJ49" s="47">
        <v>72780</v>
      </c>
      <c r="FK49" s="141">
        <v>73200</v>
      </c>
    </row>
    <row r="50" spans="2:167" ht="15.75">
      <c r="B50" s="62"/>
      <c r="C50" s="62"/>
      <c r="D50" s="209">
        <f t="shared" si="0"/>
        <v>45</v>
      </c>
      <c r="E50" s="126">
        <f>[1]!PBGCLRF(65+D50/12)</f>
        <v>1.4524999999999999</v>
      </c>
      <c r="F50" s="62"/>
      <c r="G50" s="62"/>
      <c r="H50" s="62"/>
      <c r="I50" s="62"/>
      <c r="J50" s="19">
        <v>46</v>
      </c>
      <c r="K50" s="122">
        <f t="shared" si="1"/>
        <v>0.74444444444444535</v>
      </c>
      <c r="L50" s="62"/>
      <c r="M50" s="297">
        <v>46</v>
      </c>
      <c r="N50" s="122">
        <f>[1]!LRFAEQ(0.065,"M",65,M50,0,"GM71","GM71","MP","Y","N","",65)</f>
        <v>1.5785844717303885</v>
      </c>
      <c r="O50" s="62"/>
      <c r="P50" s="88">
        <v>73</v>
      </c>
      <c r="Q50" s="48">
        <v>0.4778</v>
      </c>
      <c r="R50" s="188">
        <v>0.4788</v>
      </c>
      <c r="S50" s="188">
        <v>0.4798</v>
      </c>
      <c r="T50" s="188">
        <v>0.48080000000000001</v>
      </c>
      <c r="U50" s="188">
        <v>0.4819</v>
      </c>
      <c r="V50" s="188">
        <v>0.48309999999999997</v>
      </c>
      <c r="W50" s="188">
        <v>0.48430000000000001</v>
      </c>
      <c r="X50" s="188">
        <v>0.48559999999999998</v>
      </c>
      <c r="Y50" s="188">
        <v>0.4869</v>
      </c>
      <c r="Z50" s="188">
        <v>0.48830000000000001</v>
      </c>
      <c r="AA50" s="188">
        <v>0.48980000000000001</v>
      </c>
      <c r="AB50" s="188">
        <v>0.49130000000000001</v>
      </c>
      <c r="AC50" s="188">
        <v>0.4929</v>
      </c>
      <c r="AD50" s="188">
        <v>0.49459999999999998</v>
      </c>
      <c r="AE50" s="188">
        <v>0.49640000000000001</v>
      </c>
      <c r="AF50" s="188">
        <v>0.49819999999999998</v>
      </c>
      <c r="AG50" s="188">
        <v>0.49969999999999998</v>
      </c>
      <c r="AH50" s="188">
        <v>0.50129999999999997</v>
      </c>
      <c r="AI50" s="188">
        <v>0.50309999999999999</v>
      </c>
      <c r="AJ50" s="188">
        <v>0.50490000000000002</v>
      </c>
      <c r="AK50" s="188">
        <v>0.50680000000000003</v>
      </c>
      <c r="AL50" s="188">
        <v>0.50890000000000002</v>
      </c>
      <c r="AM50" s="188">
        <v>0.5111</v>
      </c>
      <c r="AN50" s="188">
        <v>0.51339999999999997</v>
      </c>
      <c r="AO50" s="188">
        <v>0.51590000000000003</v>
      </c>
      <c r="AP50" s="188">
        <v>0.51859999999999995</v>
      </c>
      <c r="AQ50" s="188">
        <v>0.52139999999999997</v>
      </c>
      <c r="AR50" s="188">
        <v>0.52439999999999998</v>
      </c>
      <c r="AS50" s="188">
        <v>0.52759999999999996</v>
      </c>
      <c r="AT50" s="188">
        <v>0.53090000000000004</v>
      </c>
      <c r="AU50" s="188">
        <v>0.53449999999999998</v>
      </c>
      <c r="AV50" s="188">
        <v>0.53820000000000001</v>
      </c>
      <c r="AW50" s="188">
        <v>0.54210000000000003</v>
      </c>
      <c r="AX50" s="188">
        <v>0.54630000000000001</v>
      </c>
      <c r="AY50" s="188">
        <v>0.55069999999999997</v>
      </c>
      <c r="AZ50" s="188">
        <v>0.55530000000000002</v>
      </c>
      <c r="BA50" s="188">
        <v>0.56010000000000004</v>
      </c>
      <c r="BB50" s="188">
        <v>0.56520000000000004</v>
      </c>
      <c r="BC50" s="188">
        <v>0.57050000000000001</v>
      </c>
      <c r="BD50" s="188">
        <v>0.57620000000000005</v>
      </c>
      <c r="BE50" s="188">
        <v>0.58209999999999995</v>
      </c>
      <c r="BF50" s="188">
        <v>0.58830000000000005</v>
      </c>
      <c r="BG50" s="188">
        <v>0.59470000000000001</v>
      </c>
      <c r="BH50" s="188">
        <v>0.60150000000000003</v>
      </c>
      <c r="BI50" s="188">
        <v>0.60870000000000002</v>
      </c>
      <c r="BJ50" s="188">
        <v>0.61609999999999998</v>
      </c>
      <c r="BK50" s="188">
        <v>0.62390000000000001</v>
      </c>
      <c r="BL50" s="188">
        <v>0.6321</v>
      </c>
      <c r="BM50" s="188">
        <v>0.64059999999999995</v>
      </c>
      <c r="BN50" s="188">
        <v>0.64939999999999998</v>
      </c>
      <c r="BO50" s="188">
        <v>0.65869999999999995</v>
      </c>
      <c r="BP50" s="188">
        <v>0.66830000000000001</v>
      </c>
      <c r="BQ50" s="188">
        <v>0.67830000000000001</v>
      </c>
      <c r="BR50" s="188">
        <v>0.68879999999999997</v>
      </c>
      <c r="BS50" s="188">
        <v>0.6996</v>
      </c>
      <c r="BT50" s="188">
        <v>0.71079999999999999</v>
      </c>
      <c r="BU50" s="188">
        <v>0.72250000000000003</v>
      </c>
      <c r="BV50" s="188">
        <v>0.73460000000000003</v>
      </c>
      <c r="BW50" s="188">
        <v>0.74709999999999999</v>
      </c>
      <c r="BX50" s="188">
        <v>0.76</v>
      </c>
      <c r="BY50" s="188">
        <v>0.77329999999999999</v>
      </c>
      <c r="BZ50" s="188">
        <v>0.78700000000000003</v>
      </c>
      <c r="CA50" s="188">
        <v>0.80100000000000005</v>
      </c>
      <c r="CB50" s="188">
        <v>0.81540000000000001</v>
      </c>
      <c r="CC50" s="188">
        <v>0.83</v>
      </c>
      <c r="CD50" s="188">
        <v>0.8448</v>
      </c>
      <c r="CE50" s="188">
        <v>0.8599</v>
      </c>
      <c r="CF50" s="188">
        <v>0.87509999999999999</v>
      </c>
      <c r="CG50" s="188">
        <v>0.89049999999999996</v>
      </c>
      <c r="CH50" s="188">
        <v>0.90600000000000003</v>
      </c>
      <c r="CI50" s="188">
        <v>0.92169999999999996</v>
      </c>
      <c r="CJ50" s="188">
        <v>0.93740000000000001</v>
      </c>
      <c r="CK50" s="188">
        <v>0.95320000000000005</v>
      </c>
      <c r="CL50" s="188">
        <v>0.96879999999999999</v>
      </c>
      <c r="CM50" s="253">
        <v>0.98429999999999995</v>
      </c>
      <c r="CN50" s="188">
        <f>ROUND([1]!NPVF2("MP","SLA","N",0.05,"M",$P50,$P50,0,0,120,0,"UP84","UP84","P","","")/[1]!NPVF2("MP","JSC","N",0.05,"M",$P50,$P50,CN$31,1,0,0,"UP84","UP84","P","",""),4)</f>
        <v>0.99960000000000004</v>
      </c>
      <c r="CO50" s="188">
        <f>ROUND([1]!NPVF2("MP","SLA","N",0.05,"M",$P50,$P50,0,0,120,0,"UP84","UP84","P","","")/[1]!NPVF2("MP","JSC","N",0.05,"M",$P50,$P50,CO$31,1,0,0,"UP84","UP84","P","",""),4)</f>
        <v>1.0145</v>
      </c>
      <c r="CP50" s="188">
        <f>ROUND([1]!NPVF2("MP","SLA","N",0.05,"M",$P50,$P50,0,0,120,0,"UP84","UP84","P","","")/[1]!NPVF2("MP","JSC","N",0.05,"M",$P50,$P50,CP$31,1,0,0,"UP84","UP84","P","",""),4)</f>
        <v>1.0289999999999999</v>
      </c>
      <c r="CQ50" s="188">
        <f>ROUND([1]!NPVF2("MP","SLA","N",0.05,"M",$P50,$P50,0,0,120,0,"UP84","UP84","P","","")/[1]!NPVF2("MP","JSC","N",0.05,"M",$P50,$P50,CQ$31,1,0,0,"UP84","UP84","P","",""),4)</f>
        <v>1.0431999999999999</v>
      </c>
      <c r="CR50" s="188">
        <f>ROUND([1]!NPVF2("MP","SLA","N",0.05,"M",$P50,$P50,0,0,120,0,"UP84","UP84","P","","")/[1]!NPVF2("MP","JSC","N",0.05,"M",$P50,$P50,CR$31,1,0,0,"UP84","UP84","P","",""),4)</f>
        <v>1.0569</v>
      </c>
      <c r="CS50" s="188">
        <f>ROUND([1]!NPVF2("MP","SLA","N",0.05,"M",$P50,$P50,0,0,120,0,"UP84","UP84","P","","")/[1]!NPVF2("MP","JSC","N",0.05,"M",$P50,$P50,CS$31,1,0,0,"UP84","UP84","P","",""),4)</f>
        <v>1.0701000000000001</v>
      </c>
      <c r="CT50" s="188">
        <f>ROUND([1]!NPVF2("MP","SLA","N",0.05,"M",$P50,$P50,0,0,120,0,"UP84","UP84","P","","")/[1]!NPVF2("MP","JSC","N",0.05,"M",$P50,$P50,CT$31,1,0,0,"UP84","UP84","P","",""),4)</f>
        <v>1.0828</v>
      </c>
      <c r="CU50" s="188">
        <f>ROUND([1]!NPVF2("MP","SLA","N",0.05,"M",$P50,$P50,0,0,120,0,"UP84","UP84","P","","")/[1]!NPVF2("MP","JSC","N",0.05,"M",$P50,$P50,CU$31,1,0,0,"UP84","UP84","P","",""),4)</f>
        <v>1.0949</v>
      </c>
      <c r="CV50" s="188">
        <f>ROUND([1]!NPVF2("MP","SLA","N",0.05,"M",$P50,$P50,0,0,120,0,"UP84","UP84","P","","")/[1]!NPVF2("MP","JSC","N",0.05,"M",$P50,$P50,CV$31,1,0,0,"UP84","UP84","P","",""),4)</f>
        <v>1.1064000000000001</v>
      </c>
      <c r="CW50" s="122">
        <f>ROUND([1]!NPVF2("MP","SLA","N",0.05,"M",$P50,$P50,0,0,120,0,"UP84","UP84","P","","")/[1]!NPVF2("MP","JSC","N",0.05,"M",$P50,$P50,CW$31,1,0,0,"UP84","UP84","P","",""),4)</f>
        <v>1.1173999999999999</v>
      </c>
      <c r="CX50" s="62"/>
      <c r="DK50" t="s">
        <v>101</v>
      </c>
      <c r="DL50" t="s">
        <v>558</v>
      </c>
      <c r="DN50" s="29">
        <f>DN48+DN49</f>
        <v>-1497004</v>
      </c>
      <c r="DO50" t="s">
        <v>136</v>
      </c>
      <c r="DP50" s="116">
        <f>DSUM(Active_Vesteds,"TERM_LW_ANB",All_Criteria)</f>
        <v>0</v>
      </c>
      <c r="DQ50" s="116">
        <f>DSUM(Active_Vesteds,"TERM_LW_XRA",All_Criteria)</f>
        <v>0</v>
      </c>
      <c r="DR50" s="101" t="e">
        <f t="shared" si="9"/>
        <v>#DIV/0!</v>
      </c>
      <c r="DS50" s="101" t="e">
        <f t="shared" si="10"/>
        <v>#DIV/0!</v>
      </c>
      <c r="DW50" s="93">
        <v>1954</v>
      </c>
      <c r="DX50" s="16">
        <v>52344</v>
      </c>
      <c r="DY50" s="47">
        <v>54084</v>
      </c>
      <c r="DZ50" s="47">
        <v>55764</v>
      </c>
      <c r="EA50" s="47">
        <v>58080</v>
      </c>
      <c r="EB50" s="47">
        <v>58524</v>
      </c>
      <c r="EC50" s="47">
        <v>59592</v>
      </c>
      <c r="ED50" s="47">
        <v>61440</v>
      </c>
      <c r="EE50" s="47">
        <v>63420</v>
      </c>
      <c r="EF50" s="47">
        <v>66060</v>
      </c>
      <c r="EG50" s="47">
        <v>68220</v>
      </c>
      <c r="EH50" s="47">
        <v>70620</v>
      </c>
      <c r="EI50" s="47">
        <v>73056</v>
      </c>
      <c r="EJ50" s="47">
        <v>74136</v>
      </c>
      <c r="EK50" s="141">
        <v>74580</v>
      </c>
      <c r="EN50" s="43">
        <v>1954</v>
      </c>
      <c r="EO50" s="106">
        <v>32400</v>
      </c>
      <c r="EP50" s="127">
        <v>35700</v>
      </c>
      <c r="EQ50" s="149">
        <v>37800</v>
      </c>
      <c r="ER50" s="127">
        <v>39540</v>
      </c>
      <c r="ES50" s="127">
        <v>41808</v>
      </c>
      <c r="ET50" s="127">
        <v>43452</v>
      </c>
      <c r="EU50" s="127">
        <v>44520</v>
      </c>
      <c r="EV50" s="41">
        <v>47616</v>
      </c>
      <c r="EW50" s="127">
        <v>50544</v>
      </c>
      <c r="EX50" s="202">
        <v>52344</v>
      </c>
      <c r="EY50" s="47">
        <v>54084</v>
      </c>
      <c r="EZ50" s="47">
        <v>55764</v>
      </c>
      <c r="FA50" s="47">
        <v>58080</v>
      </c>
      <c r="FB50" s="47">
        <v>58524</v>
      </c>
      <c r="FC50" s="47">
        <v>59592</v>
      </c>
      <c r="FD50" s="47">
        <v>61440</v>
      </c>
      <c r="FE50" s="47">
        <v>63420</v>
      </c>
      <c r="FF50" s="47">
        <v>66060</v>
      </c>
      <c r="FG50" s="47">
        <v>68220</v>
      </c>
      <c r="FH50" s="47">
        <v>70620</v>
      </c>
      <c r="FI50" s="47">
        <v>73056</v>
      </c>
      <c r="FJ50" s="47">
        <v>74136</v>
      </c>
      <c r="FK50" s="141">
        <v>74580</v>
      </c>
    </row>
    <row r="51" spans="2:167" ht="15.75">
      <c r="B51" s="62"/>
      <c r="C51" s="62"/>
      <c r="D51" s="209">
        <f t="shared" si="0"/>
        <v>46</v>
      </c>
      <c r="E51" s="126">
        <f>[1]!PBGCLRF(65+D51/12)</f>
        <v>1.4650000000000001</v>
      </c>
      <c r="F51" s="62"/>
      <c r="G51" s="62"/>
      <c r="H51" s="62"/>
      <c r="I51" s="62"/>
      <c r="J51" s="19">
        <v>47</v>
      </c>
      <c r="K51" s="122">
        <f t="shared" si="1"/>
        <v>0.73888888888888982</v>
      </c>
      <c r="L51" s="62"/>
      <c r="M51" s="297">
        <v>47</v>
      </c>
      <c r="N51" s="122">
        <f>[1]!LRFAEQ(0.065,"M",65,M51,0,"GM71","GM71","MP","Y","N","",65)</f>
        <v>1.5943121345289415</v>
      </c>
      <c r="O51" s="62"/>
      <c r="P51" s="88">
        <v>74</v>
      </c>
      <c r="Q51" s="48">
        <v>0.46949999999999997</v>
      </c>
      <c r="R51" s="188">
        <v>0.47049999999999997</v>
      </c>
      <c r="S51" s="188">
        <v>0.47149999999999997</v>
      </c>
      <c r="T51" s="188">
        <v>0.47249999999999998</v>
      </c>
      <c r="U51" s="188">
        <v>0.47360000000000002</v>
      </c>
      <c r="V51" s="188">
        <v>0.47470000000000001</v>
      </c>
      <c r="W51" s="188">
        <v>0.47589999999999999</v>
      </c>
      <c r="X51" s="188">
        <v>0.47720000000000001</v>
      </c>
      <c r="Y51" s="188">
        <v>0.47849999999999998</v>
      </c>
      <c r="Z51" s="188">
        <v>0.47989999999999999</v>
      </c>
      <c r="AA51" s="188">
        <v>0.48139999999999999</v>
      </c>
      <c r="AB51" s="188">
        <v>0.4829</v>
      </c>
      <c r="AC51" s="188">
        <v>0.48449999999999999</v>
      </c>
      <c r="AD51" s="188">
        <v>0.48609999999999998</v>
      </c>
      <c r="AE51" s="188">
        <v>0.4879</v>
      </c>
      <c r="AF51" s="188">
        <v>0.48970000000000002</v>
      </c>
      <c r="AG51" s="188">
        <v>0.49120000000000003</v>
      </c>
      <c r="AH51" s="188">
        <v>0.49280000000000002</v>
      </c>
      <c r="AI51" s="188">
        <v>0.49440000000000001</v>
      </c>
      <c r="AJ51" s="188">
        <v>0.49619999999999997</v>
      </c>
      <c r="AK51" s="188">
        <v>0.49809999999999999</v>
      </c>
      <c r="AL51" s="188">
        <v>0.50019999999999998</v>
      </c>
      <c r="AM51" s="188">
        <v>0.50239999999999996</v>
      </c>
      <c r="AN51" s="188">
        <v>0.50470000000000004</v>
      </c>
      <c r="AO51" s="188">
        <v>0.5071</v>
      </c>
      <c r="AP51" s="188">
        <v>0.50970000000000004</v>
      </c>
      <c r="AQ51" s="188">
        <v>0.51249999999999996</v>
      </c>
      <c r="AR51" s="188">
        <v>0.51549999999999996</v>
      </c>
      <c r="AS51" s="188">
        <v>0.51859999999999995</v>
      </c>
      <c r="AT51" s="188">
        <v>0.52190000000000003</v>
      </c>
      <c r="AU51" s="188">
        <v>0.52539999999999998</v>
      </c>
      <c r="AV51" s="188">
        <v>0.52910000000000001</v>
      </c>
      <c r="AW51" s="188">
        <v>0.53300000000000003</v>
      </c>
      <c r="AX51" s="188">
        <v>0.53710000000000002</v>
      </c>
      <c r="AY51" s="188">
        <v>0.54139999999999999</v>
      </c>
      <c r="AZ51" s="188">
        <v>0.54600000000000004</v>
      </c>
      <c r="BA51" s="188">
        <v>0.55079999999999996</v>
      </c>
      <c r="BB51" s="188">
        <v>0.55579999999999996</v>
      </c>
      <c r="BC51" s="188">
        <v>0.56110000000000004</v>
      </c>
      <c r="BD51" s="188">
        <v>0.56669999999999998</v>
      </c>
      <c r="BE51" s="188">
        <v>0.5726</v>
      </c>
      <c r="BF51" s="188">
        <v>0.57869999999999999</v>
      </c>
      <c r="BG51" s="188">
        <v>0.58520000000000005</v>
      </c>
      <c r="BH51" s="188">
        <v>0.59189999999999998</v>
      </c>
      <c r="BI51" s="188">
        <v>0.59899999999999998</v>
      </c>
      <c r="BJ51" s="188">
        <v>0.60650000000000004</v>
      </c>
      <c r="BK51" s="188">
        <v>0.61419999999999997</v>
      </c>
      <c r="BL51" s="188">
        <v>0.62239999999999995</v>
      </c>
      <c r="BM51" s="188">
        <v>0.63090000000000002</v>
      </c>
      <c r="BN51" s="188">
        <v>0.63970000000000005</v>
      </c>
      <c r="BO51" s="188">
        <v>0.64900000000000002</v>
      </c>
      <c r="BP51" s="188">
        <v>0.65869999999999995</v>
      </c>
      <c r="BQ51" s="188">
        <v>0.66879999999999995</v>
      </c>
      <c r="BR51" s="188">
        <v>0.67930000000000001</v>
      </c>
      <c r="BS51" s="188">
        <v>0.69020000000000004</v>
      </c>
      <c r="BT51" s="188">
        <v>0.70150000000000001</v>
      </c>
      <c r="BU51" s="188">
        <v>0.71340000000000003</v>
      </c>
      <c r="BV51" s="188">
        <v>0.72560000000000002</v>
      </c>
      <c r="BW51" s="188">
        <v>0.73829999999999996</v>
      </c>
      <c r="BX51" s="188">
        <v>0.75149999999999995</v>
      </c>
      <c r="BY51" s="188">
        <v>0.76500000000000001</v>
      </c>
      <c r="BZ51" s="188">
        <v>0.77900000000000003</v>
      </c>
      <c r="CA51" s="188">
        <v>0.79339999999999999</v>
      </c>
      <c r="CB51" s="188">
        <v>0.80820000000000003</v>
      </c>
      <c r="CC51" s="188">
        <v>0.82320000000000004</v>
      </c>
      <c r="CD51" s="188">
        <v>0.83860000000000001</v>
      </c>
      <c r="CE51" s="188">
        <v>0.85419999999999996</v>
      </c>
      <c r="CF51" s="188">
        <v>0.87</v>
      </c>
      <c r="CG51" s="188">
        <v>0.88600000000000001</v>
      </c>
      <c r="CH51" s="188">
        <v>0.90229999999999999</v>
      </c>
      <c r="CI51" s="188">
        <v>0.91879999999999995</v>
      </c>
      <c r="CJ51" s="188">
        <v>0.93540000000000001</v>
      </c>
      <c r="CK51" s="188">
        <v>0.95199999999999996</v>
      </c>
      <c r="CL51" s="188">
        <v>0.96870000000000001</v>
      </c>
      <c r="CM51" s="253">
        <v>0.98519999999999996</v>
      </c>
      <c r="CN51" s="188">
        <f>ROUND([1]!NPVF2("MP","SLA","N",0.05,"M",$P51,$P51,0,0,120,0,"UP84","UP84","P","","")/[1]!NPVF2("MP","JSC","N",0.05,"M",$P51,$P51,CN$31,1,0,0,"UP84","UP84","P","",""),4)</f>
        <v>1.0015000000000001</v>
      </c>
      <c r="CO51" s="188">
        <f>ROUND([1]!NPVF2("MP","SLA","N",0.05,"M",$P51,$P51,0,0,120,0,"UP84","UP84","P","","")/[1]!NPVF2("MP","JSC","N",0.05,"M",$P51,$P51,CO$31,1,0,0,"UP84","UP84","P","",""),4)</f>
        <v>1.0175000000000001</v>
      </c>
      <c r="CP51" s="188">
        <f>ROUND([1]!NPVF2("MP","SLA","N",0.05,"M",$P51,$P51,0,0,120,0,"UP84","UP84","P","","")/[1]!NPVF2("MP","JSC","N",0.05,"M",$P51,$P51,CP$31,1,0,0,"UP84","UP84","P","",""),4)</f>
        <v>1.0331999999999999</v>
      </c>
      <c r="CQ51" s="188">
        <f>ROUND([1]!NPVF2("MP","SLA","N",0.05,"M",$P51,$P51,0,0,120,0,"UP84","UP84","P","","")/[1]!NPVF2("MP","JSC","N",0.05,"M",$P51,$P51,CQ$31,1,0,0,"UP84","UP84","P","",""),4)</f>
        <v>1.0485</v>
      </c>
      <c r="CR51" s="188">
        <f>ROUND([1]!NPVF2("MP","SLA","N",0.05,"M",$P51,$P51,0,0,120,0,"UP84","UP84","P","","")/[1]!NPVF2("MP","JSC","N",0.05,"M",$P51,$P51,CR$31,1,0,0,"UP84","UP84","P","",""),4)</f>
        <v>1.0633999999999999</v>
      </c>
      <c r="CS51" s="188">
        <f>ROUND([1]!NPVF2("MP","SLA","N",0.05,"M",$P51,$P51,0,0,120,0,"UP84","UP84","P","","")/[1]!NPVF2("MP","JSC","N",0.05,"M",$P51,$P51,CS$31,1,0,0,"UP84","UP84","P","",""),4)</f>
        <v>1.0778000000000001</v>
      </c>
      <c r="CT51" s="188">
        <f>ROUND([1]!NPVF2("MP","SLA","N",0.05,"M",$P51,$P51,0,0,120,0,"UP84","UP84","P","","")/[1]!NPVF2("MP","JSC","N",0.05,"M",$P51,$P51,CT$31,1,0,0,"UP84","UP84","P","",""),4)</f>
        <v>1.0916999999999999</v>
      </c>
      <c r="CU51" s="188">
        <f>ROUND([1]!NPVF2("MP","SLA","N",0.05,"M",$P51,$P51,0,0,120,0,"UP84","UP84","P","","")/[1]!NPVF2("MP","JSC","N",0.05,"M",$P51,$P51,CU$31,1,0,0,"UP84","UP84","P","",""),4)</f>
        <v>1.1049</v>
      </c>
      <c r="CV51" s="188">
        <f>ROUND([1]!NPVF2("MP","SLA","N",0.05,"M",$P51,$P51,0,0,120,0,"UP84","UP84","P","","")/[1]!NPVF2("MP","JSC","N",0.05,"M",$P51,$P51,CV$31,1,0,0,"UP84","UP84","P","",""),4)</f>
        <v>1.1176999999999999</v>
      </c>
      <c r="CW51" s="122">
        <f>ROUND([1]!NPVF2("MP","SLA","N",0.05,"M",$P51,$P51,0,0,120,0,"UP84","UP84","P","","")/[1]!NPVF2("MP","JSC","N",0.05,"M",$P51,$P51,CW$31,1,0,0,"UP84","UP84","P","",""),4)</f>
        <v>1.1297999999999999</v>
      </c>
      <c r="CX51" s="62"/>
      <c r="DK51" t="s">
        <v>116</v>
      </c>
      <c r="DL51" t="s">
        <v>69</v>
      </c>
      <c r="DN51" s="150">
        <v>0.17230000000000001</v>
      </c>
      <c r="DO51" t="s">
        <v>352</v>
      </c>
      <c r="DP51" s="116">
        <f>DSUM(Separated_Vesteds,"TERM_LW_ANB",All_Criteria)</f>
        <v>0</v>
      </c>
      <c r="DQ51" s="116">
        <f>DSUM(Separated_Vesteds,"TERM_LW_XRA",All_Criteria)</f>
        <v>0</v>
      </c>
      <c r="DR51" s="101" t="e">
        <f t="shared" si="9"/>
        <v>#DIV/0!</v>
      </c>
      <c r="DS51" s="101" t="e">
        <f t="shared" si="10"/>
        <v>#DIV/0!</v>
      </c>
      <c r="DW51" s="93">
        <v>1955</v>
      </c>
      <c r="DX51" s="16">
        <v>52944</v>
      </c>
      <c r="DY51" s="47">
        <v>54804</v>
      </c>
      <c r="DZ51" s="47">
        <v>56604</v>
      </c>
      <c r="EA51" s="47">
        <v>59088</v>
      </c>
      <c r="EB51" s="47">
        <v>59568</v>
      </c>
      <c r="EC51" s="47">
        <v>60720</v>
      </c>
      <c r="ED51" s="47">
        <v>62724</v>
      </c>
      <c r="EE51" s="47">
        <v>64872</v>
      </c>
      <c r="EF51" s="47">
        <v>67752</v>
      </c>
      <c r="EG51" s="47">
        <v>70116</v>
      </c>
      <c r="EH51" s="47">
        <v>72756</v>
      </c>
      <c r="EI51" s="47">
        <v>75456</v>
      </c>
      <c r="EJ51" s="47">
        <v>76656</v>
      </c>
      <c r="EK51" s="141">
        <v>77148</v>
      </c>
      <c r="EN51" s="43">
        <v>1955</v>
      </c>
      <c r="EO51" s="106">
        <v>32400</v>
      </c>
      <c r="EP51" s="127">
        <v>35700</v>
      </c>
      <c r="EQ51" s="149">
        <v>37800</v>
      </c>
      <c r="ER51" s="127">
        <v>39600</v>
      </c>
      <c r="ES51" s="127">
        <v>41928</v>
      </c>
      <c r="ET51" s="127">
        <v>43620</v>
      </c>
      <c r="EU51" s="127">
        <v>44724</v>
      </c>
      <c r="EV51" s="41">
        <v>47904</v>
      </c>
      <c r="EW51" s="127">
        <v>51024</v>
      </c>
      <c r="EX51" s="202">
        <v>52944</v>
      </c>
      <c r="EY51" s="47">
        <v>54804</v>
      </c>
      <c r="EZ51" s="47">
        <v>56604</v>
      </c>
      <c r="FA51" s="47">
        <v>59088</v>
      </c>
      <c r="FB51" s="47">
        <v>59568</v>
      </c>
      <c r="FC51" s="47">
        <v>60720</v>
      </c>
      <c r="FD51" s="47">
        <v>62724</v>
      </c>
      <c r="FE51" s="47">
        <v>64872</v>
      </c>
      <c r="FF51" s="47">
        <v>67752</v>
      </c>
      <c r="FG51" s="47">
        <v>70116</v>
      </c>
      <c r="FH51" s="47">
        <v>72756</v>
      </c>
      <c r="FI51" s="47">
        <v>75456</v>
      </c>
      <c r="FJ51" s="47">
        <v>76656</v>
      </c>
      <c r="FK51" s="141">
        <v>77148</v>
      </c>
    </row>
    <row r="52" spans="2:167" ht="16.5" thickBot="1">
      <c r="B52" s="62"/>
      <c r="C52" s="62"/>
      <c r="D52" s="209">
        <f t="shared" si="0"/>
        <v>47</v>
      </c>
      <c r="E52" s="126">
        <f>[1]!PBGCLRF(65+D52/12)</f>
        <v>1.4775</v>
      </c>
      <c r="F52" s="62"/>
      <c r="G52" s="62"/>
      <c r="H52" s="62"/>
      <c r="I52" s="62"/>
      <c r="J52" s="19">
        <v>48</v>
      </c>
      <c r="K52" s="122">
        <f t="shared" si="1"/>
        <v>0.73333333333333428</v>
      </c>
      <c r="L52" s="62"/>
      <c r="M52" s="297">
        <v>48</v>
      </c>
      <c r="N52" s="122">
        <f>[1]!LRFAEQ(0.065,"M",65,M52,0,"GM71","GM71","MP","Y","N","",65)</f>
        <v>1.6100397973274947</v>
      </c>
      <c r="O52" s="62"/>
      <c r="P52" s="247">
        <v>75</v>
      </c>
      <c r="Q52" s="5">
        <v>0.4617</v>
      </c>
      <c r="R52" s="91">
        <v>0.4627</v>
      </c>
      <c r="S52" s="91">
        <v>0.46360000000000001</v>
      </c>
      <c r="T52" s="91">
        <v>0.4647</v>
      </c>
      <c r="U52" s="91">
        <v>0.46579999999999999</v>
      </c>
      <c r="V52" s="91">
        <v>0.46689999999999998</v>
      </c>
      <c r="W52" s="91">
        <v>0.46810000000000002</v>
      </c>
      <c r="X52" s="91">
        <v>0.46929999999999999</v>
      </c>
      <c r="Y52" s="91">
        <v>0.47060000000000002</v>
      </c>
      <c r="Z52" s="91">
        <v>0.47199999999999998</v>
      </c>
      <c r="AA52" s="91">
        <v>0.47339999999999999</v>
      </c>
      <c r="AB52" s="91">
        <v>0.47489999999999999</v>
      </c>
      <c r="AC52" s="91">
        <v>0.47649999999999998</v>
      </c>
      <c r="AD52" s="91">
        <v>0.47820000000000001</v>
      </c>
      <c r="AE52" s="91">
        <v>0.47989999999999999</v>
      </c>
      <c r="AF52" s="91">
        <v>0.48170000000000002</v>
      </c>
      <c r="AG52" s="91">
        <v>0.48309999999999997</v>
      </c>
      <c r="AH52" s="91">
        <v>0.48470000000000002</v>
      </c>
      <c r="AI52" s="91">
        <v>0.48630000000000001</v>
      </c>
      <c r="AJ52" s="91">
        <v>0.48809999999999998</v>
      </c>
      <c r="AK52" s="91">
        <v>0.49</v>
      </c>
      <c r="AL52" s="91">
        <v>0.49199999999999999</v>
      </c>
      <c r="AM52" s="91">
        <v>0.49409999999999998</v>
      </c>
      <c r="AN52" s="91">
        <v>0.49640000000000001</v>
      </c>
      <c r="AO52" s="91">
        <v>0.49880000000000002</v>
      </c>
      <c r="AP52" s="91">
        <v>0.50139999999999996</v>
      </c>
      <c r="AQ52" s="91">
        <v>0.50409999999999999</v>
      </c>
      <c r="AR52" s="91">
        <v>0.5071</v>
      </c>
      <c r="AS52" s="91">
        <v>0.5101</v>
      </c>
      <c r="AT52" s="91">
        <v>0.51339999999999997</v>
      </c>
      <c r="AU52" s="91">
        <v>0.51680000000000004</v>
      </c>
      <c r="AV52" s="91">
        <v>0.52049999999999996</v>
      </c>
      <c r="AW52" s="91">
        <v>0.52429999999999999</v>
      </c>
      <c r="AX52" s="91">
        <v>0.52839999999999998</v>
      </c>
      <c r="AY52" s="91">
        <v>0.53269999999999995</v>
      </c>
      <c r="AZ52" s="91">
        <v>0.53720000000000001</v>
      </c>
      <c r="BA52" s="91">
        <v>0.54200000000000004</v>
      </c>
      <c r="BB52" s="91">
        <v>0.54700000000000004</v>
      </c>
      <c r="BC52" s="91">
        <v>0.55220000000000002</v>
      </c>
      <c r="BD52" s="91">
        <v>0.55779999999999996</v>
      </c>
      <c r="BE52" s="91">
        <v>0.56359999999999999</v>
      </c>
      <c r="BF52" s="91">
        <v>0.56969999999999998</v>
      </c>
      <c r="BG52" s="91">
        <v>0.57609999999999995</v>
      </c>
      <c r="BH52" s="91">
        <v>0.58279999999999998</v>
      </c>
      <c r="BI52" s="91">
        <v>0.58989999999999998</v>
      </c>
      <c r="BJ52" s="91">
        <v>0.59730000000000005</v>
      </c>
      <c r="BK52" s="91">
        <v>0.60509999999999997</v>
      </c>
      <c r="BL52" s="91">
        <v>0.61319999999999997</v>
      </c>
      <c r="BM52" s="91">
        <v>0.62170000000000003</v>
      </c>
      <c r="BN52" s="91">
        <v>0.63060000000000005</v>
      </c>
      <c r="BO52" s="91">
        <v>0.63990000000000002</v>
      </c>
      <c r="BP52" s="91">
        <v>0.64959999999999996</v>
      </c>
      <c r="BQ52" s="91">
        <v>0.65969999999999995</v>
      </c>
      <c r="BR52" s="91">
        <v>0.67020000000000002</v>
      </c>
      <c r="BS52" s="91">
        <v>0.68120000000000003</v>
      </c>
      <c r="BT52" s="91">
        <v>0.69269999999999998</v>
      </c>
      <c r="BU52" s="91">
        <v>0.7046</v>
      </c>
      <c r="BV52" s="91">
        <v>0.71709999999999996</v>
      </c>
      <c r="BW52" s="91">
        <v>0.72989999999999999</v>
      </c>
      <c r="BX52" s="91">
        <v>0.74329999999999996</v>
      </c>
      <c r="BY52" s="91">
        <v>0.7571</v>
      </c>
      <c r="BZ52" s="91">
        <v>0.77139999999999997</v>
      </c>
      <c r="CA52" s="91">
        <v>0.78610000000000002</v>
      </c>
      <c r="CB52" s="91">
        <v>0.80130000000000001</v>
      </c>
      <c r="CC52" s="91">
        <v>0.81679999999999997</v>
      </c>
      <c r="CD52" s="91">
        <v>0.83260000000000001</v>
      </c>
      <c r="CE52" s="91">
        <v>0.84870000000000001</v>
      </c>
      <c r="CF52" s="91">
        <v>0.86519999999999997</v>
      </c>
      <c r="CG52" s="91">
        <v>0.88190000000000002</v>
      </c>
      <c r="CH52" s="91">
        <v>0.89890000000000003</v>
      </c>
      <c r="CI52" s="91">
        <v>0.91620000000000001</v>
      </c>
      <c r="CJ52" s="91">
        <v>0.93359999999999999</v>
      </c>
      <c r="CK52" s="91">
        <v>0.95120000000000005</v>
      </c>
      <c r="CL52" s="91">
        <v>0.96879999999999999</v>
      </c>
      <c r="CM52" s="254">
        <v>0.98640000000000005</v>
      </c>
      <c r="CN52" s="91">
        <f>ROUND([1]!NPVF2("MP","SLA","N",0.05,"M",$P52,$P52,0,0,120,0,"UP84","UP84","P","","")/[1]!NPVF2("MP","JSC","N",0.05,"M",$P52,$P52,CN$31,1,0,0,"UP84","UP84","P","",""),4)</f>
        <v>1.0038</v>
      </c>
      <c r="CO52" s="91">
        <f>ROUND([1]!NPVF2("MP","SLA","N",0.05,"M",$P52,$P52,0,0,120,0,"UP84","UP84","P","","")/[1]!NPVF2("MP","JSC","N",0.05,"M",$P52,$P52,CO$31,1,0,0,"UP84","UP84","P","",""),4)</f>
        <v>1.0209999999999999</v>
      </c>
      <c r="CP52" s="91">
        <f>ROUND([1]!NPVF2("MP","SLA","N",0.05,"M",$P52,$P52,0,0,120,0,"UP84","UP84","P","","")/[1]!NPVF2("MP","JSC","N",0.05,"M",$P52,$P52,CP$31,1,0,0,"UP84","UP84","P","",""),4)</f>
        <v>1.0379</v>
      </c>
      <c r="CQ52" s="91">
        <f>ROUND([1]!NPVF2("MP","SLA","N",0.05,"M",$P52,$P52,0,0,120,0,"UP84","UP84","P","","")/[1]!NPVF2("MP","JSC","N",0.05,"M",$P52,$P52,CQ$31,1,0,0,"UP84","UP84","P","",""),4)</f>
        <v>1.0544</v>
      </c>
      <c r="CR52" s="91">
        <f>ROUND([1]!NPVF2("MP","SLA","N",0.05,"M",$P52,$P52,0,0,120,0,"UP84","UP84","P","","")/[1]!NPVF2("MP","JSC","N",0.05,"M",$P52,$P52,CR$31,1,0,0,"UP84","UP84","P","",""),4)</f>
        <v>1.0706</v>
      </c>
      <c r="CS52" s="91">
        <f>ROUND([1]!NPVF2("MP","SLA","N",0.05,"M",$P52,$P52,0,0,120,0,"UP84","UP84","P","","")/[1]!NPVF2("MP","JSC","N",0.05,"M",$P52,$P52,CS$31,1,0,0,"UP84","UP84","P","",""),4)</f>
        <v>1.0862000000000001</v>
      </c>
      <c r="CT52" s="91">
        <f>ROUND([1]!NPVF2("MP","SLA","N",0.05,"M",$P52,$P52,0,0,120,0,"UP84","UP84","P","","")/[1]!NPVF2("MP","JSC","N",0.05,"M",$P52,$P52,CT$31,1,0,0,"UP84","UP84","P","",""),4)</f>
        <v>1.1013999999999999</v>
      </c>
      <c r="CU52" s="91">
        <f>ROUND([1]!NPVF2("MP","SLA","N",0.05,"M",$P52,$P52,0,0,120,0,"UP84","UP84","P","","")/[1]!NPVF2("MP","JSC","N",0.05,"M",$P52,$P52,CU$31,1,0,0,"UP84","UP84","P","",""),4)</f>
        <v>1.1158999999999999</v>
      </c>
      <c r="CV52" s="91">
        <f>ROUND([1]!NPVF2("MP","SLA","N",0.05,"M",$P52,$P52,0,0,120,0,"UP84","UP84","P","","")/[1]!NPVF2("MP","JSC","N",0.05,"M",$P52,$P52,CV$31,1,0,0,"UP84","UP84","P","",""),4)</f>
        <v>1.1298999999999999</v>
      </c>
      <c r="CW52" s="221">
        <f>ROUND([1]!NPVF2("MP","SLA","N",0.05,"M",$P52,$P52,0,0,120,0,"UP84","UP84","P","","")/[1]!NPVF2("MP","JSC","N",0.05,"M",$P52,$P52,CW$31,1,0,0,"UP84","UP84","P","",""),4)</f>
        <v>1.1433</v>
      </c>
      <c r="CX52" s="62"/>
      <c r="CY52" s="184" t="s">
        <v>43</v>
      </c>
      <c r="CZ52" s="184"/>
      <c r="DK52" t="s">
        <v>130</v>
      </c>
      <c r="DL52" t="s">
        <v>384</v>
      </c>
      <c r="DN52" s="29">
        <f>ROUND(DN49*DN51,0)</f>
        <v>0</v>
      </c>
      <c r="DO52" t="s">
        <v>404</v>
      </c>
      <c r="DP52" s="116">
        <v>0</v>
      </c>
      <c r="DQ52" s="116">
        <v>0</v>
      </c>
      <c r="DR52" s="101">
        <v>0</v>
      </c>
      <c r="DS52" s="101">
        <v>0</v>
      </c>
      <c r="DW52" s="93">
        <v>1956</v>
      </c>
      <c r="DX52" s="16">
        <v>53184</v>
      </c>
      <c r="DY52" s="47">
        <v>55104</v>
      </c>
      <c r="DZ52" s="47">
        <v>56964</v>
      </c>
      <c r="EA52" s="47">
        <v>59532</v>
      </c>
      <c r="EB52" s="47">
        <v>60024</v>
      </c>
      <c r="EC52" s="47">
        <v>61224</v>
      </c>
      <c r="ED52" s="47">
        <v>63312</v>
      </c>
      <c r="EE52" s="47">
        <v>65544</v>
      </c>
      <c r="EF52" s="47">
        <v>68544</v>
      </c>
      <c r="EG52" s="47">
        <v>71004</v>
      </c>
      <c r="EH52" s="47">
        <v>73764</v>
      </c>
      <c r="EI52" s="47">
        <v>76596</v>
      </c>
      <c r="EJ52" s="47">
        <v>77856</v>
      </c>
      <c r="EK52" s="141">
        <v>78372</v>
      </c>
      <c r="EN52" s="43">
        <v>1956</v>
      </c>
      <c r="EO52" s="106">
        <v>32400</v>
      </c>
      <c r="EP52" s="127">
        <v>35700</v>
      </c>
      <c r="EQ52" s="149">
        <v>37800</v>
      </c>
      <c r="ER52" s="127">
        <v>39600</v>
      </c>
      <c r="ES52" s="127">
        <v>42000</v>
      </c>
      <c r="ET52" s="127">
        <v>43740</v>
      </c>
      <c r="EU52" s="127">
        <v>44880</v>
      </c>
      <c r="EV52" s="41">
        <v>48000</v>
      </c>
      <c r="EW52" s="127">
        <v>51204</v>
      </c>
      <c r="EX52" s="202">
        <v>53184</v>
      </c>
      <c r="EY52" s="47">
        <v>55104</v>
      </c>
      <c r="EZ52" s="47">
        <v>56964</v>
      </c>
      <c r="FA52" s="47">
        <v>59532</v>
      </c>
      <c r="FB52" s="47">
        <v>60024</v>
      </c>
      <c r="FC52" s="47">
        <v>61224</v>
      </c>
      <c r="FD52" s="47">
        <v>63312</v>
      </c>
      <c r="FE52" s="47">
        <v>65544</v>
      </c>
      <c r="FF52" s="47">
        <v>68544</v>
      </c>
      <c r="FG52" s="47">
        <v>71004</v>
      </c>
      <c r="FH52" s="47">
        <v>73764</v>
      </c>
      <c r="FI52" s="47">
        <v>76596</v>
      </c>
      <c r="FJ52" s="47">
        <v>77856</v>
      </c>
      <c r="FK52" s="141">
        <v>78372</v>
      </c>
    </row>
    <row r="53" spans="2:167" ht="16.5" thickTop="1">
      <c r="B53" s="62"/>
      <c r="C53" s="62"/>
      <c r="D53" s="209">
        <f t="shared" si="0"/>
        <v>48</v>
      </c>
      <c r="E53" s="126">
        <f>[1]!PBGCLRF(65+D53/12)</f>
        <v>1.49</v>
      </c>
      <c r="F53" s="62"/>
      <c r="G53" s="62"/>
      <c r="H53" s="62"/>
      <c r="I53" s="62"/>
      <c r="J53" s="19">
        <v>49</v>
      </c>
      <c r="K53" s="122">
        <f t="shared" si="1"/>
        <v>0.72777777777777874</v>
      </c>
      <c r="L53" s="62"/>
      <c r="M53" s="297">
        <v>49</v>
      </c>
      <c r="N53" s="122">
        <f>[1]!LRFAEQ(0.065,"M",65,M53,0,"GM71","GM71","MP","Y","N","",65)</f>
        <v>1.6284861669924362</v>
      </c>
      <c r="O53" s="62"/>
      <c r="P53" s="62"/>
      <c r="Q53" s="62"/>
      <c r="R53" s="62"/>
      <c r="S53" s="62"/>
      <c r="T53" s="62"/>
      <c r="U53" s="62"/>
      <c r="V53" s="62"/>
      <c r="W53" s="62"/>
      <c r="X53" s="62"/>
      <c r="Y53" s="62"/>
      <c r="Z53" s="62"/>
      <c r="AA53" s="62"/>
      <c r="AB53" s="62"/>
      <c r="AC53" s="62"/>
      <c r="AD53" s="62"/>
      <c r="AE53" s="62"/>
      <c r="AF53" s="62"/>
      <c r="AG53" s="62"/>
      <c r="AH53" s="62"/>
      <c r="AI53" s="62"/>
      <c r="AJ53" s="62"/>
      <c r="AK53" s="62"/>
      <c r="AL53" s="62"/>
      <c r="AM53" s="62"/>
      <c r="AN53" s="62"/>
      <c r="AO53" s="62"/>
      <c r="AP53" s="62"/>
      <c r="AQ53" s="62"/>
      <c r="AR53" s="62"/>
      <c r="AS53" s="62"/>
      <c r="AT53" s="62"/>
      <c r="AU53" s="62"/>
      <c r="AV53" s="62"/>
      <c r="AW53" s="62"/>
      <c r="AX53" s="62"/>
      <c r="AY53" s="62"/>
      <c r="AZ53" s="62"/>
      <c r="BA53" s="62"/>
      <c r="BB53" s="62"/>
      <c r="BC53" s="62"/>
      <c r="BD53" s="62"/>
      <c r="BE53" s="62"/>
      <c r="BF53" s="62"/>
      <c r="BG53" s="62"/>
      <c r="BH53" s="62"/>
      <c r="BI53" s="62"/>
      <c r="BJ53" s="62"/>
      <c r="BK53" s="62"/>
      <c r="BL53" s="62"/>
      <c r="BM53" s="62"/>
      <c r="BN53" s="62"/>
      <c r="BO53" s="62"/>
      <c r="BP53" s="62"/>
      <c r="BQ53" s="62"/>
      <c r="BR53" s="62"/>
      <c r="BS53" s="62"/>
      <c r="BT53" s="62"/>
      <c r="BU53" s="62"/>
      <c r="BV53" s="62"/>
      <c r="BW53" s="62"/>
      <c r="BX53" s="62"/>
      <c r="BY53" s="62"/>
      <c r="BZ53" s="62"/>
      <c r="CA53" s="62"/>
      <c r="CB53" s="62"/>
      <c r="CC53" s="62"/>
      <c r="CD53" s="62"/>
      <c r="CE53" s="62"/>
      <c r="CF53" s="62"/>
      <c r="CG53" s="62"/>
      <c r="CH53" s="62"/>
      <c r="CI53" s="62"/>
      <c r="CJ53" s="62"/>
      <c r="CK53" s="62"/>
      <c r="CL53" s="62"/>
      <c r="CM53" s="62"/>
      <c r="CN53" s="62"/>
      <c r="CO53" s="62"/>
      <c r="CP53" s="62"/>
      <c r="CQ53" s="62"/>
      <c r="CR53" s="62"/>
      <c r="CS53" s="62"/>
      <c r="CT53" s="62"/>
      <c r="CU53" s="62"/>
      <c r="CV53" s="62"/>
      <c r="CW53" s="62"/>
      <c r="CX53" s="62"/>
      <c r="CY53" s="210">
        <v>0.25</v>
      </c>
      <c r="CZ53" s="27">
        <v>0.95</v>
      </c>
      <c r="DG53" s="79"/>
      <c r="DK53" t="s">
        <v>251</v>
      </c>
      <c r="DL53" t="s">
        <v>161</v>
      </c>
      <c r="DN53" s="29">
        <f>IF(DN52="NULL","NULL",DN46+DN52)</f>
        <v>0</v>
      </c>
      <c r="DO53" t="s">
        <v>125</v>
      </c>
      <c r="DP53" s="116">
        <v>0</v>
      </c>
      <c r="DQ53" s="116">
        <v>0</v>
      </c>
      <c r="DR53" s="101">
        <v>0</v>
      </c>
      <c r="DS53" s="101">
        <v>0</v>
      </c>
      <c r="DW53" s="93">
        <v>1957</v>
      </c>
      <c r="DX53" s="16">
        <v>53340</v>
      </c>
      <c r="DY53" s="47">
        <v>55320</v>
      </c>
      <c r="DZ53" s="47">
        <v>57240</v>
      </c>
      <c r="EA53" s="47">
        <v>59892</v>
      </c>
      <c r="EB53" s="47">
        <v>60408</v>
      </c>
      <c r="EC53" s="47">
        <v>61644</v>
      </c>
      <c r="ED53" s="47">
        <v>63804</v>
      </c>
      <c r="EE53" s="47">
        <v>66120</v>
      </c>
      <c r="EF53" s="47">
        <v>69240</v>
      </c>
      <c r="EG53" s="47">
        <v>71820</v>
      </c>
      <c r="EH53" s="47">
        <v>74700</v>
      </c>
      <c r="EI53" s="47">
        <v>77652</v>
      </c>
      <c r="EJ53" s="47">
        <v>78972</v>
      </c>
      <c r="EK53" s="141">
        <v>79512</v>
      </c>
      <c r="EN53" s="43">
        <v>1957</v>
      </c>
      <c r="EO53" s="106">
        <v>32400</v>
      </c>
      <c r="EP53" s="127">
        <v>35700</v>
      </c>
      <c r="EQ53" s="149">
        <v>37800</v>
      </c>
      <c r="ER53" s="127">
        <v>39600</v>
      </c>
      <c r="ES53" s="127">
        <v>42000</v>
      </c>
      <c r="ET53" s="127">
        <v>43800</v>
      </c>
      <c r="EU53" s="127">
        <v>44964</v>
      </c>
      <c r="EV53" s="41">
        <v>48000</v>
      </c>
      <c r="EW53" s="127">
        <v>51300</v>
      </c>
      <c r="EX53" s="202">
        <v>53340</v>
      </c>
      <c r="EY53" s="47">
        <v>55320</v>
      </c>
      <c r="EZ53" s="47">
        <v>57240</v>
      </c>
      <c r="FA53" s="47">
        <v>59892</v>
      </c>
      <c r="FB53" s="47">
        <v>60408</v>
      </c>
      <c r="FC53" s="47">
        <v>61644</v>
      </c>
      <c r="FD53" s="47">
        <v>63804</v>
      </c>
      <c r="FE53" s="47">
        <v>66120</v>
      </c>
      <c r="FF53" s="47">
        <v>69240</v>
      </c>
      <c r="FG53" s="47">
        <v>71820</v>
      </c>
      <c r="FH53" s="47">
        <v>74700</v>
      </c>
      <c r="FI53" s="47">
        <v>77652</v>
      </c>
      <c r="FJ53" s="47">
        <v>78972</v>
      </c>
      <c r="FK53" s="141">
        <v>79512</v>
      </c>
    </row>
    <row r="54" spans="2:167" ht="15.75">
      <c r="B54" s="62"/>
      <c r="C54" s="62"/>
      <c r="D54" s="209">
        <f t="shared" si="0"/>
        <v>49</v>
      </c>
      <c r="E54" s="126">
        <f>[1]!PBGCLRF(65+D54/12)</f>
        <v>1.5042</v>
      </c>
      <c r="F54" s="62"/>
      <c r="G54" s="62"/>
      <c r="H54" s="62"/>
      <c r="I54" s="62"/>
      <c r="J54" s="19">
        <v>50</v>
      </c>
      <c r="K54" s="122">
        <f t="shared" si="1"/>
        <v>0.72222222222222321</v>
      </c>
      <c r="L54" s="62"/>
      <c r="M54" s="297">
        <v>50</v>
      </c>
      <c r="N54" s="122">
        <f>[1]!LRFAEQ(0.065,"M",65,M54,0,"GM71","GM71","MP","Y","N","",65)</f>
        <v>1.6469325366573782</v>
      </c>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c r="BM54" s="62"/>
      <c r="BN54" s="62"/>
      <c r="BO54" s="62"/>
      <c r="BP54" s="62"/>
      <c r="BQ54" s="62"/>
      <c r="BR54" s="62"/>
      <c r="BS54" s="62"/>
      <c r="BT54" s="62"/>
      <c r="BU54" s="62"/>
      <c r="BV54" s="62"/>
      <c r="BW54" s="62"/>
      <c r="BX54" s="62"/>
      <c r="BY54" s="62"/>
      <c r="BZ54" s="62"/>
      <c r="CA54" s="62"/>
      <c r="CB54" s="62"/>
      <c r="CC54" s="62"/>
      <c r="CD54" s="62"/>
      <c r="CE54" s="62"/>
      <c r="CF54" s="62"/>
      <c r="CG54" s="62"/>
      <c r="CH54" s="62"/>
      <c r="CI54" s="62"/>
      <c r="CJ54" s="62"/>
      <c r="CK54" s="62"/>
      <c r="CL54" s="62"/>
      <c r="CM54" s="62"/>
      <c r="CN54" s="62"/>
      <c r="CO54" s="62"/>
      <c r="CP54" s="62"/>
      <c r="CQ54" s="62"/>
      <c r="CR54" s="62"/>
      <c r="CS54" s="62"/>
      <c r="CT54" s="62"/>
      <c r="CU54" s="62"/>
      <c r="CV54" s="62"/>
      <c r="CW54" s="62"/>
      <c r="CX54" s="62"/>
      <c r="CY54" s="65">
        <v>0.5</v>
      </c>
      <c r="CZ54" s="122">
        <v>0.9</v>
      </c>
      <c r="DG54" s="79"/>
      <c r="DW54" s="93">
        <v>1958</v>
      </c>
      <c r="DX54" s="16">
        <v>53400</v>
      </c>
      <c r="DY54" s="47">
        <v>55440</v>
      </c>
      <c r="DZ54" s="47">
        <v>57420</v>
      </c>
      <c r="EA54" s="47">
        <v>60156</v>
      </c>
      <c r="EB54" s="47">
        <v>60684</v>
      </c>
      <c r="EC54" s="47">
        <v>61980</v>
      </c>
      <c r="ED54" s="47">
        <v>64212</v>
      </c>
      <c r="EE54" s="47">
        <v>66612</v>
      </c>
      <c r="EF54" s="47">
        <v>69852</v>
      </c>
      <c r="EG54" s="47">
        <v>72528</v>
      </c>
      <c r="EH54" s="47">
        <v>75528</v>
      </c>
      <c r="EI54" s="47">
        <v>78612</v>
      </c>
      <c r="EJ54" s="47">
        <v>79992</v>
      </c>
      <c r="EK54" s="141">
        <v>80556</v>
      </c>
      <c r="EN54" s="43">
        <v>1958</v>
      </c>
      <c r="EO54" s="106">
        <v>32400</v>
      </c>
      <c r="EP54" s="127">
        <v>35700</v>
      </c>
      <c r="EQ54" s="149">
        <v>37800</v>
      </c>
      <c r="ER54" s="127">
        <v>39600</v>
      </c>
      <c r="ES54" s="127">
        <v>42000</v>
      </c>
      <c r="ET54" s="127">
        <v>43800</v>
      </c>
      <c r="EU54" s="127">
        <v>45000</v>
      </c>
      <c r="EV54" s="41">
        <v>48000</v>
      </c>
      <c r="EW54" s="127">
        <v>51300</v>
      </c>
      <c r="EX54" s="202">
        <v>53400</v>
      </c>
      <c r="EY54" s="47">
        <v>55440</v>
      </c>
      <c r="EZ54" s="47">
        <v>57420</v>
      </c>
      <c r="FA54" s="47">
        <v>60156</v>
      </c>
      <c r="FB54" s="47">
        <v>60684</v>
      </c>
      <c r="FC54" s="47">
        <v>61980</v>
      </c>
      <c r="FD54" s="47">
        <v>64212</v>
      </c>
      <c r="FE54" s="47">
        <v>66612</v>
      </c>
      <c r="FF54" s="47">
        <v>69852</v>
      </c>
      <c r="FG54" s="47">
        <v>72528</v>
      </c>
      <c r="FH54" s="47">
        <v>75528</v>
      </c>
      <c r="FI54" s="47">
        <v>78612</v>
      </c>
      <c r="FJ54" s="47">
        <v>79992</v>
      </c>
      <c r="FK54" s="141">
        <v>80556</v>
      </c>
    </row>
    <row r="55" spans="2:167" ht="15.75">
      <c r="B55" s="62"/>
      <c r="C55" s="62"/>
      <c r="D55" s="209">
        <f t="shared" si="0"/>
        <v>50</v>
      </c>
      <c r="E55" s="126">
        <f>[1]!PBGCLRF(65+D55/12)</f>
        <v>1.5183</v>
      </c>
      <c r="F55" s="62"/>
      <c r="G55" s="62"/>
      <c r="H55" s="62"/>
      <c r="I55" s="62"/>
      <c r="J55" s="19">
        <v>51</v>
      </c>
      <c r="K55" s="122">
        <f t="shared" si="1"/>
        <v>0.71666666666666767</v>
      </c>
      <c r="L55" s="62"/>
      <c r="M55" s="297">
        <v>51</v>
      </c>
      <c r="N55" s="122">
        <f>[1]!LRFAEQ(0.065,"M",65,M55,0,"GM71","GM71","MP","Y","N","",65)</f>
        <v>1.6653789063223197</v>
      </c>
      <c r="O55" s="62"/>
      <c r="P55" s="184" t="s">
        <v>246</v>
      </c>
      <c r="Q55" s="62"/>
      <c r="R55" s="62"/>
      <c r="S55" s="62"/>
      <c r="T55" s="62"/>
      <c r="U55" s="62"/>
      <c r="V55" s="62"/>
      <c r="W55" s="62"/>
      <c r="X55" s="62"/>
      <c r="Y55" s="62"/>
      <c r="Z55" s="62"/>
      <c r="AA55" s="62"/>
      <c r="AB55" s="62"/>
      <c r="AC55" s="62"/>
      <c r="AD55" s="62"/>
      <c r="AE55" s="62"/>
      <c r="AF55" s="62"/>
      <c r="AG55" s="62"/>
      <c r="AH55" s="62"/>
      <c r="AI55" s="62"/>
      <c r="AJ55" s="62"/>
      <c r="AK55" s="62"/>
      <c r="AL55" s="62"/>
      <c r="AM55" s="62"/>
      <c r="AN55" s="62"/>
      <c r="AO55" s="62"/>
      <c r="AP55" s="62"/>
      <c r="AQ55" s="62"/>
      <c r="AR55" s="62"/>
      <c r="AS55" s="62"/>
      <c r="AT55" s="62"/>
      <c r="AU55" s="62"/>
      <c r="AV55" s="62"/>
      <c r="AW55" s="62"/>
      <c r="AX55" s="62"/>
      <c r="AY55" s="62"/>
      <c r="AZ55" s="62"/>
      <c r="BA55" s="62"/>
      <c r="BB55" s="62"/>
      <c r="BC55" s="62"/>
      <c r="BD55" s="62"/>
      <c r="BE55" s="62"/>
      <c r="BF55" s="62"/>
      <c r="BG55" s="62"/>
      <c r="BH55" s="62"/>
      <c r="BI55" s="62"/>
      <c r="BJ55" s="62"/>
      <c r="BK55" s="62"/>
      <c r="BL55" s="62"/>
      <c r="BM55" s="62"/>
      <c r="BN55" s="62"/>
      <c r="BO55" s="62"/>
      <c r="BP55" s="62"/>
      <c r="BQ55" s="62"/>
      <c r="BR55" s="62"/>
      <c r="BS55" s="62"/>
      <c r="BT55" s="62"/>
      <c r="BU55" s="62"/>
      <c r="BV55" s="62"/>
      <c r="BW55" s="62"/>
      <c r="BX55" s="62"/>
      <c r="BY55" s="62"/>
      <c r="BZ55" s="62"/>
      <c r="CA55" s="62"/>
      <c r="CB55" s="62"/>
      <c r="CC55" s="62"/>
      <c r="CD55" s="62"/>
      <c r="CE55" s="62"/>
      <c r="CF55" s="62"/>
      <c r="CG55" s="62"/>
      <c r="CH55" s="62"/>
      <c r="CI55" s="62"/>
      <c r="CJ55" s="62"/>
      <c r="CK55" s="62"/>
      <c r="CL55" s="62"/>
      <c r="CM55" s="62"/>
      <c r="CN55" s="62"/>
      <c r="CO55" s="62"/>
      <c r="CP55" s="62"/>
      <c r="CQ55" s="62"/>
      <c r="CR55" s="62"/>
      <c r="CS55" s="62"/>
      <c r="CT55" s="62"/>
      <c r="CU55" s="62"/>
      <c r="CV55" s="62"/>
      <c r="CW55" s="62"/>
      <c r="CX55" s="62"/>
      <c r="CY55" s="69">
        <v>0.66666666666666696</v>
      </c>
      <c r="CZ55" s="114">
        <v>0.86670000000000003</v>
      </c>
      <c r="DK55" t="s">
        <v>466</v>
      </c>
      <c r="DM55" s="46">
        <f>DN52</f>
        <v>0</v>
      </c>
      <c r="DN55" s="150" t="e">
        <f>Total_4022C/DQ36</f>
        <v>#DIV/0!</v>
      </c>
      <c r="DO55" t="s">
        <v>722</v>
      </c>
      <c r="DP55" s="46">
        <f>DN44</f>
        <v>0</v>
      </c>
      <c r="DW55" s="93">
        <v>1959</v>
      </c>
      <c r="DX55" s="16">
        <v>53400</v>
      </c>
      <c r="DY55" s="47">
        <v>55500</v>
      </c>
      <c r="DZ55" s="47">
        <v>57540</v>
      </c>
      <c r="EA55" s="47">
        <v>60360</v>
      </c>
      <c r="EB55" s="47">
        <v>60912</v>
      </c>
      <c r="EC55" s="47">
        <v>62244</v>
      </c>
      <c r="ED55" s="47">
        <v>64560</v>
      </c>
      <c r="EE55" s="47">
        <v>67044</v>
      </c>
      <c r="EF55" s="47">
        <v>70404</v>
      </c>
      <c r="EG55" s="47">
        <v>73176</v>
      </c>
      <c r="EH55" s="47">
        <v>76296</v>
      </c>
      <c r="EI55" s="47">
        <v>79512</v>
      </c>
      <c r="EJ55" s="47">
        <v>80952</v>
      </c>
      <c r="EK55" s="141">
        <v>81540</v>
      </c>
      <c r="EN55" s="43">
        <v>1959</v>
      </c>
      <c r="EO55" s="106">
        <v>32400</v>
      </c>
      <c r="EP55" s="127">
        <v>35700</v>
      </c>
      <c r="EQ55" s="149">
        <v>37800</v>
      </c>
      <c r="ER55" s="127">
        <v>39600</v>
      </c>
      <c r="ES55" s="127">
        <v>42000</v>
      </c>
      <c r="ET55" s="127">
        <v>43800</v>
      </c>
      <c r="EU55" s="127">
        <v>45000</v>
      </c>
      <c r="EV55" s="41">
        <v>48000</v>
      </c>
      <c r="EW55" s="127">
        <v>51300</v>
      </c>
      <c r="EX55" s="202">
        <v>53400</v>
      </c>
      <c r="EY55" s="47">
        <v>55500</v>
      </c>
      <c r="EZ55" s="47">
        <v>57540</v>
      </c>
      <c r="FA55" s="47">
        <v>60360</v>
      </c>
      <c r="FB55" s="47">
        <v>60912</v>
      </c>
      <c r="FC55" s="47">
        <v>62244</v>
      </c>
      <c r="FD55" s="47">
        <v>64560</v>
      </c>
      <c r="FE55" s="47">
        <v>67044</v>
      </c>
      <c r="FF55" s="47">
        <v>70404</v>
      </c>
      <c r="FG55" s="47">
        <v>73176</v>
      </c>
      <c r="FH55" s="47">
        <v>76296</v>
      </c>
      <c r="FI55" s="47">
        <v>79512</v>
      </c>
      <c r="FJ55" s="47">
        <v>80952</v>
      </c>
      <c r="FK55" s="141">
        <v>81540</v>
      </c>
    </row>
    <row r="56" spans="2:167" ht="15.75">
      <c r="B56" s="62"/>
      <c r="C56" s="62"/>
      <c r="D56" s="209">
        <f t="shared" si="0"/>
        <v>51</v>
      </c>
      <c r="E56" s="126">
        <f>[1]!PBGCLRF(65+D56/12)</f>
        <v>1.5325</v>
      </c>
      <c r="F56" s="62"/>
      <c r="G56" s="62"/>
      <c r="H56" s="62"/>
      <c r="I56" s="62"/>
      <c r="J56" s="19">
        <v>52</v>
      </c>
      <c r="K56" s="122">
        <f t="shared" si="1"/>
        <v>0.71111111111111214</v>
      </c>
      <c r="L56" s="62"/>
      <c r="M56" s="297">
        <v>52</v>
      </c>
      <c r="N56" s="122">
        <f>[1]!LRFAEQ(0.065,"M",65,M56,0,"GM71","GM71","MP","Y","N","",65)</f>
        <v>1.6838252759872614</v>
      </c>
      <c r="O56" s="62"/>
      <c r="CX56" s="62"/>
      <c r="CY56" s="65">
        <v>0.75</v>
      </c>
      <c r="CZ56" s="122">
        <v>0.85</v>
      </c>
      <c r="DK56" t="s">
        <v>694</v>
      </c>
      <c r="DM56" s="46">
        <f>DSUM(Active_Vesteds,"PC6_TOTAL_PV",All_Criteria)+DSUM(Separated_Vesteds,"PC6_TOTAL_PV",All_Criteria)</f>
        <v>0</v>
      </c>
      <c r="DN56" s="46">
        <f>DQ36-Total_4022C</f>
        <v>0</v>
      </c>
      <c r="DW56" s="93">
        <v>1960</v>
      </c>
      <c r="DX56" s="16">
        <v>53400</v>
      </c>
      <c r="DY56" s="47">
        <v>55500</v>
      </c>
      <c r="DZ56" s="47">
        <v>57600</v>
      </c>
      <c r="EA56" s="47">
        <v>60504</v>
      </c>
      <c r="EB56" s="47">
        <v>61080</v>
      </c>
      <c r="EC56" s="47">
        <v>62448</v>
      </c>
      <c r="ED56" s="47">
        <v>64836</v>
      </c>
      <c r="EE56" s="47">
        <v>67404</v>
      </c>
      <c r="EF56" s="47">
        <v>70884</v>
      </c>
      <c r="EG56" s="47">
        <v>73764</v>
      </c>
      <c r="EH56" s="47">
        <v>77004</v>
      </c>
      <c r="EI56" s="47">
        <v>80352</v>
      </c>
      <c r="EJ56" s="47">
        <v>81852</v>
      </c>
      <c r="EK56" s="141">
        <v>82464</v>
      </c>
      <c r="EN56" s="43">
        <v>1960</v>
      </c>
      <c r="EO56" s="106">
        <v>32400</v>
      </c>
      <c r="EP56" s="127">
        <v>35700</v>
      </c>
      <c r="EQ56" s="149">
        <v>37800</v>
      </c>
      <c r="ER56" s="127">
        <v>39600</v>
      </c>
      <c r="ES56" s="127">
        <v>42000</v>
      </c>
      <c r="ET56" s="127">
        <v>43800</v>
      </c>
      <c r="EU56" s="127">
        <v>45000</v>
      </c>
      <c r="EV56" s="41">
        <v>48000</v>
      </c>
      <c r="EW56" s="127">
        <v>51300</v>
      </c>
      <c r="EX56" s="202">
        <v>53400</v>
      </c>
      <c r="EY56" s="47">
        <v>55500</v>
      </c>
      <c r="EZ56" s="47">
        <v>57600</v>
      </c>
      <c r="FA56" s="47">
        <v>60504</v>
      </c>
      <c r="FB56" s="47">
        <v>61080</v>
      </c>
      <c r="FC56" s="47">
        <v>62448</v>
      </c>
      <c r="FD56" s="47">
        <v>64836</v>
      </c>
      <c r="FE56" s="47">
        <v>67404</v>
      </c>
      <c r="FF56" s="47">
        <v>70884</v>
      </c>
      <c r="FG56" s="47">
        <v>73764</v>
      </c>
      <c r="FH56" s="47">
        <v>77004</v>
      </c>
      <c r="FI56" s="47">
        <v>80352</v>
      </c>
      <c r="FJ56" s="47">
        <v>81852</v>
      </c>
      <c r="FK56" s="141">
        <v>82464</v>
      </c>
    </row>
    <row r="57" spans="2:167" ht="16.5" thickBot="1">
      <c r="B57" s="62"/>
      <c r="C57" s="62"/>
      <c r="D57" s="209">
        <f t="shared" si="0"/>
        <v>52</v>
      </c>
      <c r="E57" s="126">
        <f>[1]!PBGCLRF(65+D57/12)</f>
        <v>1.5467</v>
      </c>
      <c r="F57" s="62"/>
      <c r="G57" s="62"/>
      <c r="H57" s="62"/>
      <c r="I57" s="62"/>
      <c r="J57" s="19">
        <v>53</v>
      </c>
      <c r="K57" s="122">
        <f t="shared" si="1"/>
        <v>0.7055555555555566</v>
      </c>
      <c r="L57" s="62"/>
      <c r="M57" s="297">
        <v>53</v>
      </c>
      <c r="N57" s="122">
        <f>[1]!LRFAEQ(0.065,"M",65,M57,0,"GM71","GM71","MP","Y","N","",65)</f>
        <v>1.7022716456522033</v>
      </c>
      <c r="O57" s="62"/>
      <c r="P57" s="104"/>
      <c r="Q57" s="233" t="s">
        <v>486</v>
      </c>
      <c r="R57" s="104"/>
      <c r="S57" s="104"/>
      <c r="T57" s="104"/>
      <c r="U57" s="104"/>
      <c r="V57" s="104"/>
      <c r="W57" s="104"/>
      <c r="X57" s="104"/>
      <c r="Y57" s="104"/>
      <c r="Z57" s="104"/>
      <c r="AA57" s="104"/>
      <c r="AB57" s="104"/>
      <c r="AC57" s="104"/>
      <c r="AD57" s="104"/>
      <c r="AE57" s="104"/>
      <c r="AF57" s="104"/>
      <c r="AG57" s="104"/>
      <c r="AH57" s="104"/>
      <c r="AI57" s="104"/>
      <c r="AJ57" s="104"/>
      <c r="AK57" s="104"/>
      <c r="AL57" s="104"/>
      <c r="AM57" s="104"/>
      <c r="AN57" s="104"/>
      <c r="AO57" s="104"/>
      <c r="AP57" s="104"/>
      <c r="AQ57" s="104"/>
      <c r="AR57" s="104"/>
      <c r="AS57" s="104"/>
      <c r="AT57" s="104"/>
      <c r="AU57" s="104"/>
      <c r="AV57" s="104"/>
      <c r="AW57" s="104"/>
      <c r="AX57" s="104"/>
      <c r="AY57" s="104"/>
      <c r="AZ57" s="104"/>
      <c r="BA57" s="104"/>
      <c r="BB57" s="104"/>
      <c r="BC57" s="104"/>
      <c r="BD57" s="104"/>
      <c r="BE57" s="104"/>
      <c r="BF57" s="104"/>
      <c r="BG57" s="104"/>
      <c r="BH57" s="104"/>
      <c r="BI57" s="104"/>
      <c r="BJ57" s="104"/>
      <c r="BK57" s="104"/>
      <c r="BL57" s="104"/>
      <c r="BM57" s="104"/>
      <c r="BN57" s="104"/>
      <c r="BO57" s="104"/>
      <c r="BP57" s="104"/>
      <c r="BQ57" s="104"/>
      <c r="BR57" s="104"/>
      <c r="BS57" s="104"/>
      <c r="BT57" s="104"/>
      <c r="BU57" s="104"/>
      <c r="BV57" s="104"/>
      <c r="BW57" s="104"/>
      <c r="BX57" s="104"/>
      <c r="BY57" s="104"/>
      <c r="BZ57" s="104"/>
      <c r="CA57" s="104"/>
      <c r="CB57" s="104"/>
      <c r="CC57" s="104"/>
      <c r="CD57" s="104"/>
      <c r="CE57" s="104"/>
      <c r="CF57" s="104"/>
      <c r="CG57" s="104"/>
      <c r="CH57" s="104"/>
      <c r="CI57" s="104"/>
      <c r="CJ57" s="104"/>
      <c r="CK57" s="104"/>
      <c r="CL57" s="104"/>
      <c r="CM57" s="104"/>
      <c r="CN57" s="104"/>
      <c r="CO57" s="104"/>
      <c r="CP57" s="104"/>
      <c r="CQ57" s="104"/>
      <c r="CR57" s="104"/>
      <c r="CS57" s="104"/>
      <c r="CT57" s="104"/>
      <c r="CU57" s="104"/>
      <c r="CV57" s="104"/>
      <c r="CW57" s="104"/>
      <c r="CX57" s="62"/>
      <c r="CY57" s="34">
        <v>1</v>
      </c>
      <c r="CZ57" s="78">
        <v>0.8</v>
      </c>
      <c r="DA57" s="183"/>
      <c r="DB57" s="145"/>
      <c r="DC57" s="183"/>
      <c r="DD57" s="183"/>
      <c r="DK57" t="s">
        <v>695</v>
      </c>
      <c r="DM57" s="121" t="e">
        <f>ROUND(Total_4022C/DM56,5)</f>
        <v>#DIV/0!</v>
      </c>
      <c r="DW57" s="93">
        <v>1961</v>
      </c>
      <c r="DX57" s="16">
        <v>53400</v>
      </c>
      <c r="DY57" s="47">
        <v>55500</v>
      </c>
      <c r="DZ57" s="47">
        <v>57600</v>
      </c>
      <c r="EA57" s="47">
        <v>60600</v>
      </c>
      <c r="EB57" s="47">
        <v>61176</v>
      </c>
      <c r="EC57" s="47">
        <v>62592</v>
      </c>
      <c r="ED57" s="47">
        <v>65064</v>
      </c>
      <c r="EE57" s="47">
        <v>67716</v>
      </c>
      <c r="EF57" s="47">
        <v>71316</v>
      </c>
      <c r="EG57" s="47">
        <v>74304</v>
      </c>
      <c r="EH57" s="47">
        <v>77664</v>
      </c>
      <c r="EI57" s="47">
        <v>81132</v>
      </c>
      <c r="EJ57" s="47">
        <v>82692</v>
      </c>
      <c r="EK57" s="141">
        <v>83340</v>
      </c>
      <c r="EN57" s="43">
        <v>1961</v>
      </c>
      <c r="EO57" s="106">
        <v>32400</v>
      </c>
      <c r="EP57" s="127">
        <v>35700</v>
      </c>
      <c r="EQ57" s="149">
        <v>37800</v>
      </c>
      <c r="ER57" s="127">
        <v>39600</v>
      </c>
      <c r="ES57" s="127">
        <v>42000</v>
      </c>
      <c r="ET57" s="127">
        <v>43800</v>
      </c>
      <c r="EU57" s="127">
        <v>45000</v>
      </c>
      <c r="EV57" s="41">
        <v>48000</v>
      </c>
      <c r="EW57" s="127">
        <v>51300</v>
      </c>
      <c r="EX57" s="202">
        <v>53400</v>
      </c>
      <c r="EY57" s="47">
        <v>55500</v>
      </c>
      <c r="EZ57" s="47">
        <v>57600</v>
      </c>
      <c r="FA57" s="47">
        <v>60600</v>
      </c>
      <c r="FB57" s="47">
        <v>61176</v>
      </c>
      <c r="FC57" s="47">
        <v>62592</v>
      </c>
      <c r="FD57" s="47">
        <v>65064</v>
      </c>
      <c r="FE57" s="47">
        <v>67716</v>
      </c>
      <c r="FF57" s="47">
        <v>71316</v>
      </c>
      <c r="FG57" s="47">
        <v>74304</v>
      </c>
      <c r="FH57" s="47">
        <v>77664</v>
      </c>
      <c r="FI57" s="47">
        <v>81132</v>
      </c>
      <c r="FJ57" s="47">
        <v>82692</v>
      </c>
      <c r="FK57" s="141">
        <v>83340</v>
      </c>
    </row>
    <row r="58" spans="2:167" ht="16.5" thickBot="1">
      <c r="B58" s="62"/>
      <c r="C58" s="62"/>
      <c r="D58" s="209">
        <f t="shared" si="0"/>
        <v>53</v>
      </c>
      <c r="E58" s="126">
        <f>[1]!PBGCLRF(65+D58/12)</f>
        <v>1.5608</v>
      </c>
      <c r="F58" s="62"/>
      <c r="G58" s="62"/>
      <c r="H58" s="62"/>
      <c r="I58" s="62"/>
      <c r="J58" s="19">
        <v>54</v>
      </c>
      <c r="K58" s="122">
        <f t="shared" si="1"/>
        <v>0.70000000000000107</v>
      </c>
      <c r="L58" s="62"/>
      <c r="M58" s="297">
        <v>54</v>
      </c>
      <c r="N58" s="122">
        <f>[1]!LRFAEQ(0.065,"M",65,M58,0,"GM71","GM71","MP","Y","N","",65)</f>
        <v>1.7207180153171449</v>
      </c>
      <c r="O58" s="62"/>
      <c r="P58" s="218" t="s">
        <v>450</v>
      </c>
      <c r="Q58" s="24">
        <v>1</v>
      </c>
      <c r="R58" s="80">
        <v>2</v>
      </c>
      <c r="S58" s="80">
        <v>3</v>
      </c>
      <c r="T58" s="80">
        <v>4</v>
      </c>
      <c r="U58" s="80">
        <v>5</v>
      </c>
      <c r="V58" s="80">
        <v>6</v>
      </c>
      <c r="W58" s="80">
        <v>7</v>
      </c>
      <c r="X58" s="80">
        <v>8</v>
      </c>
      <c r="Y58" s="80">
        <v>9</v>
      </c>
      <c r="Z58" s="80">
        <v>10</v>
      </c>
      <c r="AA58" s="80">
        <v>11</v>
      </c>
      <c r="AB58" s="80">
        <v>12</v>
      </c>
      <c r="AC58" s="80">
        <v>13</v>
      </c>
      <c r="AD58" s="80">
        <v>14</v>
      </c>
      <c r="AE58" s="80">
        <v>15</v>
      </c>
      <c r="AF58" s="80">
        <v>16</v>
      </c>
      <c r="AG58" s="80">
        <v>17</v>
      </c>
      <c r="AH58" s="80">
        <v>18</v>
      </c>
      <c r="AI58" s="80">
        <v>19</v>
      </c>
      <c r="AJ58" s="80">
        <v>20</v>
      </c>
      <c r="AK58" s="80">
        <v>21</v>
      </c>
      <c r="AL58" s="80">
        <v>22</v>
      </c>
      <c r="AM58" s="80">
        <v>23</v>
      </c>
      <c r="AN58" s="80">
        <v>24</v>
      </c>
      <c r="AO58" s="80">
        <v>25</v>
      </c>
      <c r="AP58" s="80">
        <v>26</v>
      </c>
      <c r="AQ58" s="80">
        <v>27</v>
      </c>
      <c r="AR58" s="80">
        <v>28</v>
      </c>
      <c r="AS58" s="80">
        <v>29</v>
      </c>
      <c r="AT58" s="80">
        <v>30</v>
      </c>
      <c r="AU58" s="80">
        <v>31</v>
      </c>
      <c r="AV58" s="80">
        <v>32</v>
      </c>
      <c r="AW58" s="80">
        <v>33</v>
      </c>
      <c r="AX58" s="80">
        <v>34</v>
      </c>
      <c r="AY58" s="80">
        <v>35</v>
      </c>
      <c r="AZ58" s="80">
        <v>36</v>
      </c>
      <c r="BA58" s="80">
        <v>37</v>
      </c>
      <c r="BB58" s="80">
        <v>38</v>
      </c>
      <c r="BC58" s="80">
        <v>39</v>
      </c>
      <c r="BD58" s="80">
        <v>40</v>
      </c>
      <c r="BE58" s="80">
        <v>41</v>
      </c>
      <c r="BF58" s="80">
        <v>42</v>
      </c>
      <c r="BG58" s="80">
        <v>43</v>
      </c>
      <c r="BH58" s="80">
        <v>44</v>
      </c>
      <c r="BI58" s="80">
        <v>45</v>
      </c>
      <c r="BJ58" s="80">
        <v>46</v>
      </c>
      <c r="BK58" s="80">
        <v>47</v>
      </c>
      <c r="BL58" s="80">
        <v>48</v>
      </c>
      <c r="BM58" s="80">
        <v>49</v>
      </c>
      <c r="BN58" s="80">
        <v>50</v>
      </c>
      <c r="BO58" s="80">
        <v>51</v>
      </c>
      <c r="BP58" s="80">
        <v>52</v>
      </c>
      <c r="BQ58" s="80">
        <v>53</v>
      </c>
      <c r="BR58" s="80">
        <v>54</v>
      </c>
      <c r="BS58" s="80">
        <v>55</v>
      </c>
      <c r="BT58" s="80">
        <v>56</v>
      </c>
      <c r="BU58" s="80">
        <v>57</v>
      </c>
      <c r="BV58" s="80">
        <v>58</v>
      </c>
      <c r="BW58" s="80">
        <v>59</v>
      </c>
      <c r="BX58" s="80">
        <v>60</v>
      </c>
      <c r="BY58" s="80">
        <v>61</v>
      </c>
      <c r="BZ58" s="80">
        <v>62</v>
      </c>
      <c r="CA58" s="80">
        <v>63</v>
      </c>
      <c r="CB58" s="80">
        <v>64</v>
      </c>
      <c r="CC58" s="80">
        <v>65</v>
      </c>
      <c r="CD58" s="80">
        <v>66</v>
      </c>
      <c r="CE58" s="80">
        <v>67</v>
      </c>
      <c r="CF58" s="80">
        <v>68</v>
      </c>
      <c r="CG58" s="80">
        <v>69</v>
      </c>
      <c r="CH58" s="80">
        <v>70</v>
      </c>
      <c r="CI58" s="80">
        <v>71</v>
      </c>
      <c r="CJ58" s="80">
        <v>72</v>
      </c>
      <c r="CK58" s="80">
        <v>73</v>
      </c>
      <c r="CL58" s="80">
        <v>74</v>
      </c>
      <c r="CM58" s="224">
        <v>75</v>
      </c>
      <c r="CN58" s="184"/>
      <c r="CO58" s="184"/>
      <c r="CP58" s="184"/>
      <c r="CQ58" s="184"/>
      <c r="CR58" s="184"/>
      <c r="CS58" s="184"/>
      <c r="CT58" s="184"/>
      <c r="CU58" s="184"/>
      <c r="CV58" s="184"/>
      <c r="CW58" s="184"/>
      <c r="CX58" s="62"/>
      <c r="CY58" s="340"/>
      <c r="CZ58" s="340"/>
      <c r="DA58" s="340"/>
      <c r="DB58" s="340"/>
      <c r="DC58" s="340"/>
      <c r="DD58" s="340"/>
      <c r="DE58" s="340"/>
      <c r="DF58" s="340"/>
      <c r="DG58" s="340"/>
      <c r="DH58" s="340"/>
      <c r="DI58" s="340"/>
      <c r="DJ58" s="340"/>
      <c r="DW58" s="93">
        <v>1962</v>
      </c>
      <c r="DX58" s="16">
        <v>53400</v>
      </c>
      <c r="DY58" s="47">
        <v>55500</v>
      </c>
      <c r="DZ58" s="47">
        <v>57600</v>
      </c>
      <c r="EA58" s="47">
        <v>60600</v>
      </c>
      <c r="EB58" s="47">
        <v>61200</v>
      </c>
      <c r="EC58" s="47">
        <v>62652</v>
      </c>
      <c r="ED58" s="47">
        <v>65196</v>
      </c>
      <c r="EE58" s="47">
        <v>67944</v>
      </c>
      <c r="EF58" s="47">
        <v>71664</v>
      </c>
      <c r="EG58" s="47">
        <v>74748</v>
      </c>
      <c r="EH58" s="47">
        <v>78228</v>
      </c>
      <c r="EI58" s="47">
        <v>81828</v>
      </c>
      <c r="EJ58" s="47">
        <v>83448</v>
      </c>
      <c r="EK58" s="141">
        <v>84120</v>
      </c>
      <c r="EN58" s="43">
        <v>1962</v>
      </c>
      <c r="EO58" s="106">
        <v>32400</v>
      </c>
      <c r="EP58" s="127">
        <v>35700</v>
      </c>
      <c r="EQ58" s="149">
        <v>37800</v>
      </c>
      <c r="ER58" s="127">
        <v>39600</v>
      </c>
      <c r="ES58" s="127">
        <v>42000</v>
      </c>
      <c r="ET58" s="127">
        <v>43800</v>
      </c>
      <c r="EU58" s="127">
        <v>45000</v>
      </c>
      <c r="EV58" s="41">
        <v>48000</v>
      </c>
      <c r="EW58" s="127">
        <v>51300</v>
      </c>
      <c r="EX58" s="202">
        <v>53400</v>
      </c>
      <c r="EY58" s="47">
        <v>55500</v>
      </c>
      <c r="EZ58" s="47">
        <v>57600</v>
      </c>
      <c r="FA58" s="47">
        <v>60600</v>
      </c>
      <c r="FB58" s="47">
        <v>61200</v>
      </c>
      <c r="FC58" s="47">
        <v>62652</v>
      </c>
      <c r="FD58" s="47">
        <v>65196</v>
      </c>
      <c r="FE58" s="47">
        <v>67944</v>
      </c>
      <c r="FF58" s="47">
        <v>71664</v>
      </c>
      <c r="FG58" s="47">
        <v>74748</v>
      </c>
      <c r="FH58" s="47">
        <v>78228</v>
      </c>
      <c r="FI58" s="47">
        <v>81828</v>
      </c>
      <c r="FJ58" s="47">
        <v>83448</v>
      </c>
      <c r="FK58" s="141">
        <v>84120</v>
      </c>
    </row>
    <row r="59" spans="2:167" ht="15.75">
      <c r="B59" s="62"/>
      <c r="C59" s="62"/>
      <c r="D59" s="209">
        <f t="shared" si="0"/>
        <v>54</v>
      </c>
      <c r="E59" s="126">
        <f>[1]!PBGCLRF(65+D59/12)</f>
        <v>1.575</v>
      </c>
      <c r="F59" s="62"/>
      <c r="G59" s="62"/>
      <c r="H59" s="62"/>
      <c r="I59" s="62"/>
      <c r="J59" s="19">
        <v>55</v>
      </c>
      <c r="K59" s="122">
        <f t="shared" si="1"/>
        <v>0.69444444444444553</v>
      </c>
      <c r="L59" s="62"/>
      <c r="M59" s="297">
        <v>55</v>
      </c>
      <c r="N59" s="122">
        <f>[1]!LRFAEQ(0.065,"M",65,M59,0,"GM71","GM71","MP","Y","N","",65)</f>
        <v>1.7391643849820868</v>
      </c>
      <c r="O59" s="62"/>
      <c r="P59" s="88">
        <v>55</v>
      </c>
      <c r="Q59" s="190">
        <v>0.81339765695614841</v>
      </c>
      <c r="R59" s="53">
        <v>0.81424126415066844</v>
      </c>
      <c r="S59" s="53">
        <v>0.81511804978989777</v>
      </c>
      <c r="T59" s="53">
        <v>0.81602911459403205</v>
      </c>
      <c r="U59" s="53">
        <v>0.81697558900929057</v>
      </c>
      <c r="V59" s="53">
        <v>0.81795863477587094</v>
      </c>
      <c r="W59" s="53">
        <v>0.81897944403768341</v>
      </c>
      <c r="X59" s="53">
        <v>0.82003923330841255</v>
      </c>
      <c r="Y59" s="53">
        <v>0.82113923658837462</v>
      </c>
      <c r="Z59" s="53">
        <v>0.82228069874618592</v>
      </c>
      <c r="AA59" s="53">
        <v>0.82346486671592856</v>
      </c>
      <c r="AB59" s="53">
        <v>0.82469297970659261</v>
      </c>
      <c r="AC59" s="53">
        <v>0.82596625846410665</v>
      </c>
      <c r="AD59" s="53">
        <v>0.82728589369128847</v>
      </c>
      <c r="AE59" s="53">
        <v>0.82865303685454317</v>
      </c>
      <c r="AF59" s="53">
        <v>0.83006878623218061</v>
      </c>
      <c r="AG59" s="53">
        <v>0.83154255244775066</v>
      </c>
      <c r="AH59" s="53">
        <v>0.83308629412202406</v>
      </c>
      <c r="AI59" s="53">
        <v>0.83470168012653811</v>
      </c>
      <c r="AJ59" s="53">
        <v>0.83639019075359278</v>
      </c>
      <c r="AK59" s="53">
        <v>0.83815309736142374</v>
      </c>
      <c r="AL59" s="53">
        <v>0.8399914435490472</v>
      </c>
      <c r="AM59" s="53">
        <v>0.84190603596915869</v>
      </c>
      <c r="AN59" s="53">
        <v>0.84389742051802463</v>
      </c>
      <c r="AO59" s="53">
        <v>0.8459660674750219</v>
      </c>
      <c r="AP59" s="53">
        <v>0.84811242279265942</v>
      </c>
      <c r="AQ59" s="53">
        <v>0.85033664227311889</v>
      </c>
      <c r="AR59" s="53">
        <v>0.85263856547223038</v>
      </c>
      <c r="AS59" s="53">
        <v>0.85501769419992102</v>
      </c>
      <c r="AT59" s="53">
        <v>0.8574734414786036</v>
      </c>
      <c r="AU59" s="53">
        <v>0.86000520829456584</v>
      </c>
      <c r="AV59" s="53">
        <v>0.86261205043124511</v>
      </c>
      <c r="AW59" s="53">
        <v>0.86529264521082949</v>
      </c>
      <c r="AX59" s="53">
        <v>0.86804526973536966</v>
      </c>
      <c r="AY59" s="53">
        <v>0.87086803648539768</v>
      </c>
      <c r="AZ59" s="53">
        <v>0.87375899023269143</v>
      </c>
      <c r="BA59" s="53">
        <v>0.87671583846724876</v>
      </c>
      <c r="BB59" s="53">
        <v>0.87973594781866848</v>
      </c>
      <c r="BC59" s="53">
        <v>0.88281635025674177</v>
      </c>
      <c r="BD59" s="53">
        <v>0.88595369437723326</v>
      </c>
      <c r="BE59" s="53">
        <v>0.88914422422434614</v>
      </c>
      <c r="BF59" s="53">
        <v>0.89238386821840687</v>
      </c>
      <c r="BG59" s="53">
        <v>0.89566826339507299</v>
      </c>
      <c r="BH59" s="53">
        <v>0.89899278817010642</v>
      </c>
      <c r="BI59" s="53">
        <v>0.90235251486991941</v>
      </c>
      <c r="BJ59" s="53">
        <v>0.90574220823422125</v>
      </c>
      <c r="BK59" s="53">
        <v>0.90915647971426683</v>
      </c>
      <c r="BL59" s="53">
        <v>0.91258985963377826</v>
      </c>
      <c r="BM59" s="53">
        <v>0.91603681547988702</v>
      </c>
      <c r="BN59" s="53">
        <v>0.91949159415869053</v>
      </c>
      <c r="BO59" s="53">
        <v>0.92294819756907309</v>
      </c>
      <c r="BP59" s="53">
        <v>0.92640064061666938</v>
      </c>
      <c r="BQ59" s="53">
        <v>0.9298431120978331</v>
      </c>
      <c r="BR59" s="53">
        <v>0.93326987062788358</v>
      </c>
      <c r="BS59" s="53">
        <v>0.93667508430674429</v>
      </c>
      <c r="BT59" s="53">
        <v>0.94005279923896023</v>
      </c>
      <c r="BU59" s="53">
        <v>0.94339705600580237</v>
      </c>
      <c r="BV59" s="53">
        <v>0.9467022217698271</v>
      </c>
      <c r="BW59" s="53">
        <v>0.94996306432500432</v>
      </c>
      <c r="BX59" s="53">
        <v>0.95317454912066835</v>
      </c>
      <c r="BY59" s="53">
        <v>0.95633175959185812</v>
      </c>
      <c r="BZ59" s="53">
        <v>0.95943025139239768</v>
      </c>
      <c r="CA59" s="53">
        <v>0.96246612570388246</v>
      </c>
      <c r="CB59" s="53">
        <v>0.96543611093842463</v>
      </c>
      <c r="CC59" s="53">
        <v>0.96833753905858799</v>
      </c>
      <c r="CD59" s="53">
        <v>0.97116838790736704</v>
      </c>
      <c r="CE59" s="53">
        <v>0.97392753593703119</v>
      </c>
      <c r="CF59" s="53">
        <v>0.97661441681952599</v>
      </c>
      <c r="CG59" s="53">
        <v>0.97922814791776103</v>
      </c>
      <c r="CH59" s="53">
        <v>0.9817671064734601</v>
      </c>
      <c r="CI59" s="53">
        <v>0.98422933484840758</v>
      </c>
      <c r="CJ59" s="53">
        <v>0.98661314028762315</v>
      </c>
      <c r="CK59" s="53">
        <v>0.98891706648366318</v>
      </c>
      <c r="CL59" s="53">
        <v>0.99114019184712909</v>
      </c>
      <c r="CM59" s="160">
        <v>0.99328236623987753</v>
      </c>
      <c r="CN59" s="62"/>
      <c r="CO59" s="62"/>
      <c r="CP59" s="62"/>
      <c r="CQ59" s="62"/>
      <c r="CR59" s="62"/>
      <c r="CS59" s="62"/>
      <c r="CT59" s="62"/>
      <c r="CU59" s="62"/>
      <c r="CV59" s="62"/>
      <c r="CW59" s="62"/>
      <c r="CX59" s="62"/>
      <c r="CY59" s="245"/>
      <c r="CZ59" s="245"/>
      <c r="DA59" s="245"/>
      <c r="DB59" s="245"/>
      <c r="DC59" s="245"/>
      <c r="DD59" s="245"/>
      <c r="DE59" s="245"/>
      <c r="DF59" s="245"/>
      <c r="DG59" s="245"/>
      <c r="DH59" s="245"/>
      <c r="DI59" s="245"/>
      <c r="DJ59" s="245"/>
      <c r="DK59" s="112" t="s">
        <v>696</v>
      </c>
      <c r="DL59" s="112"/>
      <c r="DM59" s="156">
        <v>0.17230000000000001</v>
      </c>
      <c r="DN59" s="90" t="s">
        <v>205</v>
      </c>
      <c r="DO59" s="112" t="s">
        <v>764</v>
      </c>
      <c r="DW59" s="93">
        <v>1963</v>
      </c>
      <c r="DX59" s="16">
        <v>53400</v>
      </c>
      <c r="DY59" s="47">
        <v>55500</v>
      </c>
      <c r="DZ59" s="47">
        <v>57600</v>
      </c>
      <c r="EA59" s="47">
        <v>60600</v>
      </c>
      <c r="EB59" s="47">
        <v>61200</v>
      </c>
      <c r="EC59" s="47">
        <v>62700</v>
      </c>
      <c r="ED59" s="47">
        <v>65316</v>
      </c>
      <c r="EE59" s="47">
        <v>68148</v>
      </c>
      <c r="EF59" s="47">
        <v>71988</v>
      </c>
      <c r="EG59" s="47">
        <v>75180</v>
      </c>
      <c r="EH59" s="47">
        <v>78780</v>
      </c>
      <c r="EI59" s="47">
        <v>82500</v>
      </c>
      <c r="EJ59" s="47">
        <v>84180</v>
      </c>
      <c r="EK59" s="141">
        <v>84876</v>
      </c>
      <c r="EN59" s="43">
        <v>1963</v>
      </c>
      <c r="EO59" s="106">
        <v>32400</v>
      </c>
      <c r="EP59" s="127">
        <v>35700</v>
      </c>
      <c r="EQ59" s="149">
        <v>37800</v>
      </c>
      <c r="ER59" s="127">
        <v>39600</v>
      </c>
      <c r="ES59" s="127">
        <v>42000</v>
      </c>
      <c r="ET59" s="127">
        <v>43800</v>
      </c>
      <c r="EU59" s="127">
        <v>45000</v>
      </c>
      <c r="EV59" s="41">
        <v>48000</v>
      </c>
      <c r="EW59" s="127">
        <v>51300</v>
      </c>
      <c r="EX59" s="202">
        <v>53400</v>
      </c>
      <c r="EY59" s="47">
        <v>55500</v>
      </c>
      <c r="EZ59" s="47">
        <v>57600</v>
      </c>
      <c r="FA59" s="47">
        <v>60600</v>
      </c>
      <c r="FB59" s="47">
        <v>61200</v>
      </c>
      <c r="FC59" s="47">
        <v>62700</v>
      </c>
      <c r="FD59" s="47">
        <v>65316</v>
      </c>
      <c r="FE59" s="47">
        <v>68148</v>
      </c>
      <c r="FF59" s="47">
        <v>71988</v>
      </c>
      <c r="FG59" s="47">
        <v>75180</v>
      </c>
      <c r="FH59" s="47">
        <v>78780</v>
      </c>
      <c r="FI59" s="47">
        <v>82500</v>
      </c>
      <c r="FJ59" s="47">
        <v>84180</v>
      </c>
      <c r="FK59" s="141">
        <v>84876</v>
      </c>
    </row>
    <row r="60" spans="2:167" ht="15.75">
      <c r="B60" s="62"/>
      <c r="C60" s="62"/>
      <c r="D60" s="209">
        <f t="shared" si="0"/>
        <v>55</v>
      </c>
      <c r="E60" s="126">
        <f>[1]!PBGCLRF(65+D60/12)</f>
        <v>1.5891999999999999</v>
      </c>
      <c r="F60" s="62"/>
      <c r="G60" s="62"/>
      <c r="H60" s="62"/>
      <c r="I60" s="62"/>
      <c r="J60" s="19">
        <v>56</v>
      </c>
      <c r="K60" s="122">
        <f t="shared" si="1"/>
        <v>0.68888888888888999</v>
      </c>
      <c r="L60" s="62"/>
      <c r="M60" s="297">
        <v>56</v>
      </c>
      <c r="N60" s="122">
        <f>[1]!LRFAEQ(0.065,"M",65,M60,0,"GM71","GM71","MP","Y","N","",65)</f>
        <v>1.7576107546470281</v>
      </c>
      <c r="O60" s="62"/>
      <c r="P60" s="88">
        <v>56</v>
      </c>
      <c r="Q60" s="48">
        <v>0.80604957899182583</v>
      </c>
      <c r="R60" s="188">
        <v>0.80689855870490312</v>
      </c>
      <c r="S60" s="188">
        <v>0.80778089247677221</v>
      </c>
      <c r="T60" s="188">
        <v>0.80869767653130908</v>
      </c>
      <c r="U60" s="188">
        <v>0.8096500353325865</v>
      </c>
      <c r="V60" s="188">
        <v>0.81063912260707982</v>
      </c>
      <c r="W60" s="188">
        <v>0.81166612292019547</v>
      </c>
      <c r="X60" s="188">
        <v>0.81273225058850029</v>
      </c>
      <c r="Y60" s="188">
        <v>0.81383874302000869</v>
      </c>
      <c r="Z60" s="188">
        <v>0.81498685312524344</v>
      </c>
      <c r="AA60" s="188">
        <v>0.81617784200248589</v>
      </c>
      <c r="AB60" s="188">
        <v>0.81741296924436313</v>
      </c>
      <c r="AC60" s="188">
        <v>0.81869348215699433</v>
      </c>
      <c r="AD60" s="188">
        <v>0.82002060393113763</v>
      </c>
      <c r="AE60" s="188">
        <v>0.82139552087439416</v>
      </c>
      <c r="AF60" s="188">
        <v>0.82281937219511025</v>
      </c>
      <c r="AG60" s="188">
        <v>0.82430214359925968</v>
      </c>
      <c r="AH60" s="188">
        <v>0.82585657898478948</v>
      </c>
      <c r="AI60" s="188">
        <v>0.82748450483152713</v>
      </c>
      <c r="AJ60" s="188">
        <v>0.8291875615962031</v>
      </c>
      <c r="AK60" s="188">
        <v>0.83096718286097371</v>
      </c>
      <c r="AL60" s="188">
        <v>0.83282457604939208</v>
      </c>
      <c r="AM60" s="188">
        <v>0.83476071310111499</v>
      </c>
      <c r="AN60" s="188">
        <v>0.83677630565825956</v>
      </c>
      <c r="AO60" s="188">
        <v>0.83887200290613617</v>
      </c>
      <c r="AP60" s="188">
        <v>0.84104844772647369</v>
      </c>
      <c r="AQ60" s="188">
        <v>0.84330599377738669</v>
      </c>
      <c r="AR60" s="188">
        <v>0.84564467763945605</v>
      </c>
      <c r="AS60" s="188">
        <v>0.84806419601933758</v>
      </c>
      <c r="AT60" s="188">
        <v>0.85056417181354138</v>
      </c>
      <c r="AU60" s="188">
        <v>0.85314423729505195</v>
      </c>
      <c r="AV60" s="188">
        <v>0.85580367778242405</v>
      </c>
      <c r="AW60" s="188">
        <v>0.85854139528499962</v>
      </c>
      <c r="AX60" s="188">
        <v>0.86135588417737707</v>
      </c>
      <c r="AY60" s="188">
        <v>0.86424548254457845</v>
      </c>
      <c r="AZ60" s="188">
        <v>0.86720847567139314</v>
      </c>
      <c r="BA60" s="188">
        <v>0.87024280531705833</v>
      </c>
      <c r="BB60" s="188">
        <v>0.87334606336843523</v>
      </c>
      <c r="BC60" s="188">
        <v>0.87651549576002308</v>
      </c>
      <c r="BD60" s="188">
        <v>0.87974794645134868</v>
      </c>
      <c r="BE60" s="188">
        <v>0.88303983004719167</v>
      </c>
      <c r="BF60" s="188">
        <v>0.88638722296243733</v>
      </c>
      <c r="BG60" s="188">
        <v>0.88978588547693815</v>
      </c>
      <c r="BH60" s="188">
        <v>0.89323129278595959</v>
      </c>
      <c r="BI60" s="188">
        <v>0.89671857895071339</v>
      </c>
      <c r="BJ60" s="188">
        <v>0.90024252934905358</v>
      </c>
      <c r="BK60" s="188">
        <v>0.90379774188941853</v>
      </c>
      <c r="BL60" s="188">
        <v>0.90737870063788884</v>
      </c>
      <c r="BM60" s="188">
        <v>0.9109797915085075</v>
      </c>
      <c r="BN60" s="188">
        <v>0.91459512669370546</v>
      </c>
      <c r="BO60" s="188">
        <v>0.91821851247420405</v>
      </c>
      <c r="BP60" s="188">
        <v>0.92184372428991013</v>
      </c>
      <c r="BQ60" s="188">
        <v>0.92546467794163734</v>
      </c>
      <c r="BR60" s="188">
        <v>0.92907531439004165</v>
      </c>
      <c r="BS60" s="188">
        <v>0.93266942252453511</v>
      </c>
      <c r="BT60" s="188">
        <v>0.93624060265358455</v>
      </c>
      <c r="BU60" s="188">
        <v>0.93978239265690855</v>
      </c>
      <c r="BV60" s="188">
        <v>0.94328863372737837</v>
      </c>
      <c r="BW60" s="188">
        <v>0.94675355542280859</v>
      </c>
      <c r="BX60" s="188">
        <v>0.95017155850937218</v>
      </c>
      <c r="BY60" s="188">
        <v>0.95353713082090708</v>
      </c>
      <c r="BZ60" s="188">
        <v>0.95684523794939413</v>
      </c>
      <c r="CA60" s="188">
        <v>0.96009140812326232</v>
      </c>
      <c r="CB60" s="188">
        <v>0.96327182663736122</v>
      </c>
      <c r="CC60" s="188">
        <v>0.96638331489128149</v>
      </c>
      <c r="CD60" s="188">
        <v>0.96942338148629992</v>
      </c>
      <c r="CE60" s="188">
        <v>0.97239050721973408</v>
      </c>
      <c r="CF60" s="188">
        <v>0.97528377399169663</v>
      </c>
      <c r="CG60" s="188">
        <v>0.97810191400632218</v>
      </c>
      <c r="CH60" s="188">
        <v>0.98084284531970778</v>
      </c>
      <c r="CI60" s="188">
        <v>0.98350411581213315</v>
      </c>
      <c r="CJ60" s="188">
        <v>0.9860835635448103</v>
      </c>
      <c r="CK60" s="188">
        <v>0.98857929051102067</v>
      </c>
      <c r="CL60" s="188">
        <v>0.99098999339535232</v>
      </c>
      <c r="CM60" s="122">
        <v>0.99331522606721012</v>
      </c>
      <c r="CN60" s="62"/>
      <c r="CO60" s="62"/>
      <c r="CP60" s="62"/>
      <c r="CQ60" s="62"/>
      <c r="CR60" s="62"/>
      <c r="CS60" s="62"/>
      <c r="CT60" s="62"/>
      <c r="CU60" s="62"/>
      <c r="CV60" s="62"/>
      <c r="CW60" s="62"/>
      <c r="CX60" s="62"/>
      <c r="CY60" s="67"/>
      <c r="CZ60" s="67"/>
      <c r="DA60" s="67"/>
      <c r="DB60" s="67"/>
      <c r="DC60" s="67"/>
      <c r="DD60" s="67"/>
      <c r="DE60" s="67"/>
      <c r="DF60" s="67"/>
      <c r="DG60" s="67"/>
      <c r="DH60" s="67"/>
      <c r="DI60" s="67"/>
      <c r="DJ60" s="67"/>
      <c r="DW60" s="93">
        <v>1964</v>
      </c>
      <c r="DX60" s="16">
        <v>53400</v>
      </c>
      <c r="DY60" s="47">
        <v>55500</v>
      </c>
      <c r="DZ60" s="47">
        <v>57600</v>
      </c>
      <c r="EA60" s="47">
        <v>60600</v>
      </c>
      <c r="EB60" s="47">
        <v>61200</v>
      </c>
      <c r="EC60" s="47">
        <v>62700</v>
      </c>
      <c r="ED60" s="47">
        <v>65400</v>
      </c>
      <c r="EE60" s="47">
        <v>68304</v>
      </c>
      <c r="EF60" s="47">
        <v>72264</v>
      </c>
      <c r="EG60" s="47">
        <v>75564</v>
      </c>
      <c r="EH60" s="47">
        <v>79284</v>
      </c>
      <c r="EI60" s="47">
        <v>83136</v>
      </c>
      <c r="EJ60" s="47">
        <v>84876</v>
      </c>
      <c r="EK60" s="141">
        <v>85596</v>
      </c>
      <c r="EN60" s="43">
        <v>1964</v>
      </c>
      <c r="EO60" s="106">
        <v>32400</v>
      </c>
      <c r="EP60" s="127">
        <v>35700</v>
      </c>
      <c r="EQ60" s="149">
        <v>37800</v>
      </c>
      <c r="ER60" s="127">
        <v>39600</v>
      </c>
      <c r="ES60" s="127">
        <v>42000</v>
      </c>
      <c r="ET60" s="127">
        <v>43800</v>
      </c>
      <c r="EU60" s="127">
        <v>45000</v>
      </c>
      <c r="EV60" s="41">
        <v>48000</v>
      </c>
      <c r="EW60" s="127">
        <v>51300</v>
      </c>
      <c r="EX60" s="202">
        <v>53400</v>
      </c>
      <c r="EY60" s="47">
        <v>55500</v>
      </c>
      <c r="EZ60" s="47">
        <v>57600</v>
      </c>
      <c r="FA60" s="47">
        <v>60600</v>
      </c>
      <c r="FB60" s="47">
        <v>61200</v>
      </c>
      <c r="FC60" s="47">
        <v>62700</v>
      </c>
      <c r="FD60" s="47">
        <v>65400</v>
      </c>
      <c r="FE60" s="47">
        <v>68304</v>
      </c>
      <c r="FF60" s="47">
        <v>72264</v>
      </c>
      <c r="FG60" s="47">
        <v>75564</v>
      </c>
      <c r="FH60" s="47">
        <v>79284</v>
      </c>
      <c r="FI60" s="47">
        <v>83136</v>
      </c>
      <c r="FJ60" s="47">
        <v>84876</v>
      </c>
      <c r="FK60" s="141">
        <v>85596</v>
      </c>
    </row>
    <row r="61" spans="2:167" ht="15.75">
      <c r="B61" s="62"/>
      <c r="C61" s="62"/>
      <c r="D61" s="209">
        <f t="shared" si="0"/>
        <v>56</v>
      </c>
      <c r="E61" s="126">
        <f>[1]!PBGCLRF(65+D61/12)</f>
        <v>1.6032999999999999</v>
      </c>
      <c r="F61" s="62"/>
      <c r="G61" s="62"/>
      <c r="H61" s="62"/>
      <c r="I61" s="62"/>
      <c r="J61" s="19">
        <v>57</v>
      </c>
      <c r="K61" s="122">
        <f t="shared" si="1"/>
        <v>0.68333333333333446</v>
      </c>
      <c r="L61" s="62"/>
      <c r="M61" s="297">
        <v>57</v>
      </c>
      <c r="N61" s="122">
        <f>[1]!LRFAEQ(0.065,"M",65,M61,0,"GM71","GM71","MP","Y","N","",65)</f>
        <v>1.7760571243119698</v>
      </c>
      <c r="O61" s="62"/>
      <c r="P61" s="88">
        <v>57</v>
      </c>
      <c r="Q61" s="48">
        <v>0.79861157199098187</v>
      </c>
      <c r="R61" s="188">
        <v>0.79946598356828869</v>
      </c>
      <c r="S61" s="188">
        <v>0.80035391869388606</v>
      </c>
      <c r="T61" s="188">
        <v>0.80127646302737132</v>
      </c>
      <c r="U61" s="188">
        <v>0.80223473310642734</v>
      </c>
      <c r="V61" s="188">
        <v>0.80322987286169223</v>
      </c>
      <c r="W61" s="188">
        <v>0.80426305458062364</v>
      </c>
      <c r="X61" s="188">
        <v>0.80533548046479264</v>
      </c>
      <c r="Y61" s="188">
        <v>0.80644838129166208</v>
      </c>
      <c r="Z61" s="188">
        <v>0.8076030090263222</v>
      </c>
      <c r="AA61" s="188">
        <v>0.8088006284108793</v>
      </c>
      <c r="AB61" s="188">
        <v>0.8100425088332347</v>
      </c>
      <c r="AC61" s="188">
        <v>0.81132991359592188</v>
      </c>
      <c r="AD61" s="188">
        <v>0.81266408797962231</v>
      </c>
      <c r="AE61" s="188">
        <v>0.81404624613855869</v>
      </c>
      <c r="AF61" s="188">
        <v>0.81547755693922652</v>
      </c>
      <c r="AG61" s="188">
        <v>0.81696860369477131</v>
      </c>
      <c r="AH61" s="188">
        <v>0.81853295609827303</v>
      </c>
      <c r="AI61" s="188">
        <v>0.82017259832780809</v>
      </c>
      <c r="AJ61" s="188">
        <v>0.82188933092432059</v>
      </c>
      <c r="AK61" s="188">
        <v>0.82368474930097701</v>
      </c>
      <c r="AL61" s="188">
        <v>0.82556022399231188</v>
      </c>
      <c r="AM61" s="188">
        <v>0.82751689151033581</v>
      </c>
      <c r="AN61" s="188">
        <v>0.82955562834279983</v>
      </c>
      <c r="AO61" s="188">
        <v>0.83167726247340201</v>
      </c>
      <c r="AP61" s="188">
        <v>0.83388263491805248</v>
      </c>
      <c r="AQ61" s="188">
        <v>0.83617229874429921</v>
      </c>
      <c r="AR61" s="188">
        <v>0.83854648953058208</v>
      </c>
      <c r="AS61" s="188">
        <v>0.84100510094393588</v>
      </c>
      <c r="AT61" s="188">
        <v>0.84354796934518772</v>
      </c>
      <c r="AU61" s="188">
        <v>0.84617496435815198</v>
      </c>
      <c r="AV61" s="188">
        <v>0.84888560811430558</v>
      </c>
      <c r="AW61" s="188">
        <v>0.8516790356142272</v>
      </c>
      <c r="AX61" s="188">
        <v>0.85455396778904957</v>
      </c>
      <c r="AY61" s="188">
        <v>0.85750897989593022</v>
      </c>
      <c r="AZ61" s="188">
        <v>0.86054261291585921</v>
      </c>
      <c r="BA61" s="188">
        <v>0.86365306062590508</v>
      </c>
      <c r="BB61" s="188">
        <v>0.8668381605552492</v>
      </c>
      <c r="BC61" s="188">
        <v>0.87009539557420856</v>
      </c>
      <c r="BD61" s="188">
        <v>0.87342183082877467</v>
      </c>
      <c r="BE61" s="188">
        <v>0.87681408005399941</v>
      </c>
      <c r="BF61" s="188">
        <v>0.88026839903219467</v>
      </c>
      <c r="BG61" s="188">
        <v>0.88378070482303872</v>
      </c>
      <c r="BH61" s="188">
        <v>0.88734660504670038</v>
      </c>
      <c r="BI61" s="188">
        <v>0.89096133301224456</v>
      </c>
      <c r="BJ61" s="188">
        <v>0.89461973395694772</v>
      </c>
      <c r="BK61" s="188">
        <v>0.89831643327264166</v>
      </c>
      <c r="BL61" s="188">
        <v>0.90204591080861674</v>
      </c>
      <c r="BM61" s="188">
        <v>0.90580251344827667</v>
      </c>
      <c r="BN61" s="188">
        <v>0.90958026037002448</v>
      </c>
      <c r="BO61" s="188">
        <v>0.91337280199480952</v>
      </c>
      <c r="BP61" s="188">
        <v>0.91717371250251567</v>
      </c>
      <c r="BQ61" s="188">
        <v>0.92097667161882235</v>
      </c>
      <c r="BR61" s="188">
        <v>0.92477533626185549</v>
      </c>
      <c r="BS61" s="188">
        <v>0.92856314439512622</v>
      </c>
      <c r="BT61" s="188">
        <v>0.93233327146276035</v>
      </c>
      <c r="BU61" s="188">
        <v>0.9360787646318518</v>
      </c>
      <c r="BV61" s="188">
        <v>0.93979294149012027</v>
      </c>
      <c r="BW61" s="188">
        <v>0.94346948815267784</v>
      </c>
      <c r="BX61" s="188">
        <v>0.94710222724940762</v>
      </c>
      <c r="BY61" s="188">
        <v>0.95068502897524287</v>
      </c>
      <c r="BZ61" s="188">
        <v>0.95421224107265423</v>
      </c>
      <c r="CA61" s="188">
        <v>0.95767878684388508</v>
      </c>
      <c r="CB61" s="188">
        <v>0.96108027365230575</v>
      </c>
      <c r="CC61" s="188">
        <v>0.96441297567273154</v>
      </c>
      <c r="CD61" s="188">
        <v>0.96767389459030406</v>
      </c>
      <c r="CE61" s="188">
        <v>0.97086107706804026</v>
      </c>
      <c r="CF61" s="188">
        <v>0.9739732156903439</v>
      </c>
      <c r="CG61" s="188">
        <v>0.9770086126960893</v>
      </c>
      <c r="CH61" s="188">
        <v>0.97996467219648131</v>
      </c>
      <c r="CI61" s="188">
        <v>0.98283838598424744</v>
      </c>
      <c r="CJ61" s="188">
        <v>0.98562705978216425</v>
      </c>
      <c r="CK61" s="188">
        <v>0.98832828862378252</v>
      </c>
      <c r="CL61" s="188">
        <v>0.99094032525423714</v>
      </c>
      <c r="CM61" s="122">
        <v>0.99346237355543754</v>
      </c>
      <c r="CN61" s="62"/>
      <c r="CO61" s="62"/>
      <c r="CP61" s="62"/>
      <c r="CQ61" s="62"/>
      <c r="CR61" s="62"/>
      <c r="CS61" s="62"/>
      <c r="CT61" s="62"/>
      <c r="CU61" s="62"/>
      <c r="CV61" s="62"/>
      <c r="CW61" s="62"/>
      <c r="CX61" s="62"/>
      <c r="CY61" s="67"/>
      <c r="CZ61" s="67"/>
      <c r="DA61" s="67"/>
      <c r="DB61" s="67"/>
      <c r="DC61" s="67"/>
      <c r="DD61" s="67"/>
      <c r="DE61" s="67"/>
      <c r="DF61" s="67"/>
      <c r="DG61" s="67"/>
      <c r="DH61" s="67"/>
      <c r="DI61" s="67"/>
      <c r="DJ61" s="67"/>
      <c r="DW61" s="93">
        <v>1965</v>
      </c>
      <c r="DX61" s="16">
        <v>53400</v>
      </c>
      <c r="DY61" s="47">
        <v>55500</v>
      </c>
      <c r="DZ61" s="47">
        <v>57600</v>
      </c>
      <c r="EA61" s="47">
        <v>60600</v>
      </c>
      <c r="EB61" s="47">
        <v>61200</v>
      </c>
      <c r="EC61" s="47">
        <v>62700</v>
      </c>
      <c r="ED61" s="47">
        <v>65400</v>
      </c>
      <c r="EE61" s="47">
        <v>68400</v>
      </c>
      <c r="EF61" s="47">
        <v>72480</v>
      </c>
      <c r="EG61" s="47">
        <v>75864</v>
      </c>
      <c r="EH61" s="47">
        <v>79704</v>
      </c>
      <c r="EI61" s="47">
        <v>83700</v>
      </c>
      <c r="EJ61" s="47">
        <v>85500</v>
      </c>
      <c r="EK61" s="141">
        <v>86244</v>
      </c>
      <c r="EN61" s="43">
        <v>1965</v>
      </c>
      <c r="EO61" s="106">
        <v>32400</v>
      </c>
      <c r="EP61" s="127">
        <v>35700</v>
      </c>
      <c r="EQ61" s="149">
        <v>37800</v>
      </c>
      <c r="ER61" s="127">
        <v>39600</v>
      </c>
      <c r="ES61" s="127">
        <v>42000</v>
      </c>
      <c r="ET61" s="127">
        <v>43800</v>
      </c>
      <c r="EU61" s="127">
        <v>45000</v>
      </c>
      <c r="EV61" s="41">
        <v>48000</v>
      </c>
      <c r="EW61" s="127">
        <v>51300</v>
      </c>
      <c r="EX61" s="202">
        <v>53400</v>
      </c>
      <c r="EY61" s="47">
        <v>55500</v>
      </c>
      <c r="EZ61" s="47">
        <v>57600</v>
      </c>
      <c r="FA61" s="47">
        <v>60600</v>
      </c>
      <c r="FB61" s="47">
        <v>61200</v>
      </c>
      <c r="FC61" s="47">
        <v>62700</v>
      </c>
      <c r="FD61" s="47">
        <v>65400</v>
      </c>
      <c r="FE61" s="47">
        <v>68400</v>
      </c>
      <c r="FF61" s="47">
        <v>72480</v>
      </c>
      <c r="FG61" s="47">
        <v>75864</v>
      </c>
      <c r="FH61" s="47">
        <v>79704</v>
      </c>
      <c r="FI61" s="47">
        <v>83700</v>
      </c>
      <c r="FJ61" s="47">
        <v>85500</v>
      </c>
      <c r="FK61" s="141">
        <v>86244</v>
      </c>
    </row>
    <row r="62" spans="2:167" ht="15.75">
      <c r="B62" s="62"/>
      <c r="C62" s="62"/>
      <c r="D62" s="209">
        <f t="shared" si="0"/>
        <v>57</v>
      </c>
      <c r="E62" s="126">
        <f>[1]!PBGCLRF(65+D62/12)</f>
        <v>1.6174999999999999</v>
      </c>
      <c r="F62" s="62"/>
      <c r="G62" s="62"/>
      <c r="H62" s="62"/>
      <c r="I62" s="62"/>
      <c r="J62" s="19">
        <v>58</v>
      </c>
      <c r="K62" s="122">
        <f t="shared" si="1"/>
        <v>0.67777777777777892</v>
      </c>
      <c r="L62" s="62"/>
      <c r="M62" s="297">
        <v>58</v>
      </c>
      <c r="N62" s="122">
        <f>[1]!LRFAEQ(0.065,"M",65,M62,0,"GM71","GM71","MP","Y","N","",65)</f>
        <v>1.7945034939769118</v>
      </c>
      <c r="O62" s="62"/>
      <c r="P62" s="88">
        <v>58</v>
      </c>
      <c r="Q62" s="48">
        <v>0.79110893055001974</v>
      </c>
      <c r="R62" s="188">
        <v>0.79196886131908073</v>
      </c>
      <c r="S62" s="188">
        <v>0.79286248401114956</v>
      </c>
      <c r="T62" s="188">
        <v>0.7937908672960623</v>
      </c>
      <c r="U62" s="188">
        <v>0.79475511297951784</v>
      </c>
      <c r="V62" s="188">
        <v>0.79575635284097235</v>
      </c>
      <c r="W62" s="188">
        <v>0.79679574468123671</v>
      </c>
      <c r="X62" s="188">
        <v>0.79787447318884297</v>
      </c>
      <c r="Y62" s="188">
        <v>0.7989937514399057</v>
      </c>
      <c r="Z62" s="188">
        <v>0.80015481924172127</v>
      </c>
      <c r="AA62" s="188">
        <v>0.80135893489022303</v>
      </c>
      <c r="AB62" s="188">
        <v>0.80260736579575331</v>
      </c>
      <c r="AC62" s="188">
        <v>0.80390137938717876</v>
      </c>
      <c r="AD62" s="188">
        <v>0.80524223116197446</v>
      </c>
      <c r="AE62" s="188">
        <v>0.80663115139031139</v>
      </c>
      <c r="AF62" s="188">
        <v>0.80806933050594243</v>
      </c>
      <c r="AG62" s="188">
        <v>0.80956797265357272</v>
      </c>
      <c r="AH62" s="188">
        <v>0.81114151633529463</v>
      </c>
      <c r="AI62" s="188">
        <v>0.81279210360831466</v>
      </c>
      <c r="AJ62" s="188">
        <v>0.81452169505040384</v>
      </c>
      <c r="AK62" s="188">
        <v>0.81633204759571087</v>
      </c>
      <c r="AL62" s="188">
        <v>0.81822469415671206</v>
      </c>
      <c r="AM62" s="188">
        <v>0.82020093469698574</v>
      </c>
      <c r="AN62" s="188">
        <v>0.82226180931256565</v>
      </c>
      <c r="AO62" s="188">
        <v>0.82440832419081778</v>
      </c>
      <c r="AP62" s="188">
        <v>0.82664151918640905</v>
      </c>
      <c r="AQ62" s="188">
        <v>0.82896214767914445</v>
      </c>
      <c r="AR62" s="188">
        <v>0.83137064538542982</v>
      </c>
      <c r="AS62" s="188">
        <v>0.83386710439119749</v>
      </c>
      <c r="AT62" s="188">
        <v>0.83645157727049713</v>
      </c>
      <c r="AU62" s="188">
        <v>0.83912417604783163</v>
      </c>
      <c r="AV62" s="188">
        <v>0.84188466576040433</v>
      </c>
      <c r="AW62" s="188">
        <v>0.84473242159785011</v>
      </c>
      <c r="AX62" s="188">
        <v>0.84766639917638797</v>
      </c>
      <c r="AY62" s="188">
        <v>0.85068542129205083</v>
      </c>
      <c r="AZ62" s="188">
        <v>0.85378829821176583</v>
      </c>
      <c r="BA62" s="188">
        <v>0.85697349179753979</v>
      </c>
      <c r="BB62" s="188">
        <v>0.86023910400042403</v>
      </c>
      <c r="BC62" s="188">
        <v>0.86358287622892504</v>
      </c>
      <c r="BD62" s="188">
        <v>0.86700211885308442</v>
      </c>
      <c r="BE62" s="188">
        <v>0.87049367154615598</v>
      </c>
      <c r="BF62" s="188">
        <v>0.87405399960482366</v>
      </c>
      <c r="BG62" s="188">
        <v>0.87767921004258098</v>
      </c>
      <c r="BH62" s="188">
        <v>0.88136507844914047</v>
      </c>
      <c r="BI62" s="188">
        <v>0.88510697472720923</v>
      </c>
      <c r="BJ62" s="188">
        <v>0.88889984300524794</v>
      </c>
      <c r="BK62" s="188">
        <v>0.89273837781327336</v>
      </c>
      <c r="BL62" s="188">
        <v>0.89661709869337147</v>
      </c>
      <c r="BM62" s="188">
        <v>0.90053035847499985</v>
      </c>
      <c r="BN62" s="188">
        <v>0.90447212748151662</v>
      </c>
      <c r="BO62" s="188">
        <v>0.9084359428368054</v>
      </c>
      <c r="BP62" s="188">
        <v>0.91241521942982673</v>
      </c>
      <c r="BQ62" s="188">
        <v>0.91640344222306291</v>
      </c>
      <c r="BR62" s="188">
        <v>0.92039402311126961</v>
      </c>
      <c r="BS62" s="188">
        <v>0.92438008290152829</v>
      </c>
      <c r="BT62" s="188">
        <v>0.92835439943461762</v>
      </c>
      <c r="BU62" s="188">
        <v>0.93230954877779848</v>
      </c>
      <c r="BV62" s="188">
        <v>0.93623833733471995</v>
      </c>
      <c r="BW62" s="188">
        <v>0.94013391031106153</v>
      </c>
      <c r="BX62" s="188">
        <v>0.943989504786516</v>
      </c>
      <c r="BY62" s="188">
        <v>0.94779835588420658</v>
      </c>
      <c r="BZ62" s="188">
        <v>0.95155416989552677</v>
      </c>
      <c r="CA62" s="188">
        <v>0.95525123625321284</v>
      </c>
      <c r="CB62" s="188">
        <v>0.9588845520256194</v>
      </c>
      <c r="CC62" s="188">
        <v>0.96244980897493548</v>
      </c>
      <c r="CD62" s="188">
        <v>0.96594346550545296</v>
      </c>
      <c r="CE62" s="188">
        <v>0.96936309984921787</v>
      </c>
      <c r="CF62" s="188">
        <v>0.97270697972866438</v>
      </c>
      <c r="CG62" s="188">
        <v>0.97597293201767787</v>
      </c>
      <c r="CH62" s="188">
        <v>0.97915778849493729</v>
      </c>
      <c r="CI62" s="188">
        <v>0.98225791888555358</v>
      </c>
      <c r="CJ62" s="188">
        <v>0.98527002930145213</v>
      </c>
      <c r="CK62" s="188">
        <v>0.98819113872662645</v>
      </c>
      <c r="CL62" s="188">
        <v>0.99101898784420406</v>
      </c>
      <c r="CM62" s="122">
        <v>0.99375236905316566</v>
      </c>
      <c r="CN62" s="62"/>
      <c r="CO62" s="62"/>
      <c r="CP62" s="62"/>
      <c r="CQ62" s="62"/>
      <c r="CR62" s="62"/>
      <c r="CS62" s="62"/>
      <c r="CT62" s="62"/>
      <c r="CU62" s="62"/>
      <c r="CV62" s="62"/>
      <c r="CW62" s="62"/>
      <c r="CX62" s="62"/>
      <c r="CY62" s="67"/>
      <c r="CZ62" s="67"/>
      <c r="DA62" s="67"/>
      <c r="DB62" s="67"/>
      <c r="DC62" s="67"/>
      <c r="DD62" s="67"/>
      <c r="DE62" s="67"/>
      <c r="DF62" s="67"/>
      <c r="DG62" s="67"/>
      <c r="DH62" s="67"/>
      <c r="DI62" s="67"/>
      <c r="DJ62" s="67"/>
      <c r="DP62" s="274"/>
      <c r="DW62" s="93">
        <v>1966</v>
      </c>
      <c r="DX62" s="16">
        <v>53400</v>
      </c>
      <c r="DY62" s="47">
        <v>55500</v>
      </c>
      <c r="DZ62" s="47">
        <v>57600</v>
      </c>
      <c r="EA62" s="47">
        <v>60600</v>
      </c>
      <c r="EB62" s="47">
        <v>61200</v>
      </c>
      <c r="EC62" s="47">
        <v>62700</v>
      </c>
      <c r="ED62" s="47">
        <v>65400</v>
      </c>
      <c r="EE62" s="47">
        <v>68400</v>
      </c>
      <c r="EF62" s="47">
        <v>72600</v>
      </c>
      <c r="EG62" s="47">
        <v>76092</v>
      </c>
      <c r="EH62" s="47">
        <v>80052</v>
      </c>
      <c r="EI62" s="47">
        <v>84168</v>
      </c>
      <c r="EJ62" s="47">
        <v>86028</v>
      </c>
      <c r="EK62" s="141">
        <v>86796</v>
      </c>
      <c r="EN62" s="43">
        <v>1966</v>
      </c>
      <c r="EO62" s="106">
        <v>32400</v>
      </c>
      <c r="EP62" s="127">
        <v>35700</v>
      </c>
      <c r="EQ62" s="149">
        <v>37800</v>
      </c>
      <c r="ER62" s="127">
        <v>39600</v>
      </c>
      <c r="ES62" s="127">
        <v>42000</v>
      </c>
      <c r="ET62" s="127">
        <v>43800</v>
      </c>
      <c r="EU62" s="127">
        <v>45000</v>
      </c>
      <c r="EV62" s="41">
        <v>48000</v>
      </c>
      <c r="EW62" s="127">
        <v>51300</v>
      </c>
      <c r="EX62" s="202">
        <v>53400</v>
      </c>
      <c r="EY62" s="47">
        <v>55500</v>
      </c>
      <c r="EZ62" s="47">
        <v>57600</v>
      </c>
      <c r="FA62" s="47">
        <v>60600</v>
      </c>
      <c r="FB62" s="47">
        <v>61200</v>
      </c>
      <c r="FC62" s="47">
        <v>62700</v>
      </c>
      <c r="FD62" s="47">
        <v>65400</v>
      </c>
      <c r="FE62" s="47">
        <v>68400</v>
      </c>
      <c r="FF62" s="47">
        <v>72600</v>
      </c>
      <c r="FG62" s="47">
        <v>76092</v>
      </c>
      <c r="FH62" s="47">
        <v>80052</v>
      </c>
      <c r="FI62" s="47">
        <v>84168</v>
      </c>
      <c r="FJ62" s="47">
        <v>86028</v>
      </c>
      <c r="FK62" s="141">
        <v>86796</v>
      </c>
    </row>
    <row r="63" spans="2:167" ht="15.75">
      <c r="B63" s="62"/>
      <c r="C63" s="62"/>
      <c r="D63" s="209">
        <f t="shared" si="0"/>
        <v>58</v>
      </c>
      <c r="E63" s="126">
        <f>[1]!PBGCLRF(65+D63/12)</f>
        <v>1.6316999999999999</v>
      </c>
      <c r="F63" s="62"/>
      <c r="G63" s="62"/>
      <c r="H63" s="62"/>
      <c r="I63" s="62"/>
      <c r="J63" s="19">
        <v>59</v>
      </c>
      <c r="K63" s="122">
        <f t="shared" si="1"/>
        <v>0.67222222222222339</v>
      </c>
      <c r="L63" s="62"/>
      <c r="M63" s="297">
        <v>59</v>
      </c>
      <c r="N63" s="122">
        <f>[1]!LRFAEQ(0.065,"M",65,M63,0,"GM71","GM71","MP","Y","N","",65)</f>
        <v>1.8129498636418533</v>
      </c>
      <c r="O63" s="62"/>
      <c r="P63" s="88">
        <v>59</v>
      </c>
      <c r="Q63" s="48">
        <v>0.78356444442591455</v>
      </c>
      <c r="R63" s="188">
        <v>0.78443000301545074</v>
      </c>
      <c r="S63" s="188">
        <v>0.78532942611905387</v>
      </c>
      <c r="T63" s="188">
        <v>0.78626375877498589</v>
      </c>
      <c r="U63" s="188">
        <v>0.78723408079933166</v>
      </c>
      <c r="V63" s="188">
        <v>0.78824150413810146</v>
      </c>
      <c r="W63" s="188">
        <v>0.78928716923175701</v>
      </c>
      <c r="X63" s="188">
        <v>0.79037224050539967</v>
      </c>
      <c r="Y63" s="188">
        <v>0.79149790708559464</v>
      </c>
      <c r="Z63" s="188">
        <v>0.79266538419094146</v>
      </c>
      <c r="AA63" s="188">
        <v>0.79387591107064315</v>
      </c>
      <c r="AB63" s="188">
        <v>0.79513074175306286</v>
      </c>
      <c r="AC63" s="188">
        <v>0.79643113453298608</v>
      </c>
      <c r="AD63" s="188">
        <v>0.79777834172708051</v>
      </c>
      <c r="AE63" s="188">
        <v>0.79917359628129936</v>
      </c>
      <c r="AF63" s="188">
        <v>0.80061809686264751</v>
      </c>
      <c r="AG63" s="188">
        <v>0.80212369707401432</v>
      </c>
      <c r="AH63" s="188">
        <v>0.80370574983814447</v>
      </c>
      <c r="AI63" s="188">
        <v>0.80536655524113265</v>
      </c>
      <c r="AJ63" s="188">
        <v>0.80710823394727482</v>
      </c>
      <c r="AK63" s="188">
        <v>0.80893270413136575</v>
      </c>
      <c r="AL63" s="188">
        <v>0.81084166042886741</v>
      </c>
      <c r="AM63" s="188">
        <v>0.81283656509826752</v>
      </c>
      <c r="AN63" s="188">
        <v>0.8149186201437727</v>
      </c>
      <c r="AO63" s="188">
        <v>0.81708900902228809</v>
      </c>
      <c r="AP63" s="188">
        <v>0.8193489706773569</v>
      </c>
      <c r="AQ63" s="188">
        <v>0.82169945916183773</v>
      </c>
      <c r="AR63" s="188">
        <v>0.82414111075974072</v>
      </c>
      <c r="AS63" s="188">
        <v>0.82667421652089268</v>
      </c>
      <c r="AT63" s="188">
        <v>0.82929904738683369</v>
      </c>
      <c r="AU63" s="188">
        <v>0.83201596205166528</v>
      </c>
      <c r="AV63" s="188">
        <v>0.83482497348732809</v>
      </c>
      <c r="AW63" s="188">
        <v>0.83772570301595262</v>
      </c>
      <c r="AX63" s="188">
        <v>0.84071734789482211</v>
      </c>
      <c r="AY63" s="188">
        <v>0.84379898767355088</v>
      </c>
      <c r="AZ63" s="188">
        <v>0.84696971437402424</v>
      </c>
      <c r="BA63" s="188">
        <v>0.85022827238401111</v>
      </c>
      <c r="BB63" s="188">
        <v>0.85357304514432575</v>
      </c>
      <c r="BC63" s="188">
        <v>0.85700205258689854</v>
      </c>
      <c r="BD63" s="188">
        <v>0.86051287297678358</v>
      </c>
      <c r="BE63" s="188">
        <v>0.86410259689747082</v>
      </c>
      <c r="BF63" s="188">
        <v>0.86776792753053256</v>
      </c>
      <c r="BG63" s="188">
        <v>0.87150519383441727</v>
      </c>
      <c r="BH63" s="188">
        <v>0.87531037468031891</v>
      </c>
      <c r="BI63" s="188">
        <v>0.87917901393608389</v>
      </c>
      <c r="BJ63" s="188">
        <v>0.88310619357095999</v>
      </c>
      <c r="BK63" s="188">
        <v>0.88708671884689072</v>
      </c>
      <c r="BL63" s="188">
        <v>0.89111519375545922</v>
      </c>
      <c r="BM63" s="188">
        <v>0.89518602424491345</v>
      </c>
      <c r="BN63" s="188">
        <v>0.89929317865205094</v>
      </c>
      <c r="BO63" s="188">
        <v>0.90343012601198258</v>
      </c>
      <c r="BP63" s="188">
        <v>0.90759016698320805</v>
      </c>
      <c r="BQ63" s="188">
        <v>0.91176663726481821</v>
      </c>
      <c r="BR63" s="188">
        <v>0.91595274754308686</v>
      </c>
      <c r="BS63" s="188">
        <v>0.92014134098220224</v>
      </c>
      <c r="BT63" s="188">
        <v>0.92432483080823613</v>
      </c>
      <c r="BU63" s="188">
        <v>0.92849534820710777</v>
      </c>
      <c r="BV63" s="188">
        <v>0.93264520900084869</v>
      </c>
      <c r="BW63" s="188">
        <v>0.93676703091284708</v>
      </c>
      <c r="BX63" s="188">
        <v>0.94085346625469279</v>
      </c>
      <c r="BY63" s="188">
        <v>0.94489710382053949</v>
      </c>
      <c r="BZ63" s="188">
        <v>0.94889098966462027</v>
      </c>
      <c r="CA63" s="188">
        <v>0.95282875483761376</v>
      </c>
      <c r="CB63" s="188">
        <v>0.95670475700051449</v>
      </c>
      <c r="CC63" s="188">
        <v>0.96051407298422864</v>
      </c>
      <c r="CD63" s="188">
        <v>0.96425258321534413</v>
      </c>
      <c r="CE63" s="188">
        <v>0.96791736499520842</v>
      </c>
      <c r="CF63" s="188">
        <v>0.97150622833356004</v>
      </c>
      <c r="CG63" s="188">
        <v>0.97501648119474749</v>
      </c>
      <c r="CH63" s="188">
        <v>0.97844432316286822</v>
      </c>
      <c r="CI63" s="188">
        <v>0.98178543122893103</v>
      </c>
      <c r="CJ63" s="188">
        <v>0.98503583965808594</v>
      </c>
      <c r="CK63" s="188">
        <v>0.98819191768460268</v>
      </c>
      <c r="CL63" s="188">
        <v>0.99125082185528579</v>
      </c>
      <c r="CM63" s="122">
        <v>0.99421086562962269</v>
      </c>
      <c r="CN63" s="62"/>
      <c r="CO63" s="62"/>
      <c r="CP63" s="62"/>
      <c r="CQ63" s="62"/>
      <c r="CR63" s="62"/>
      <c r="CS63" s="62"/>
      <c r="CT63" s="62"/>
      <c r="CU63" s="62"/>
      <c r="CV63" s="62"/>
      <c r="CW63" s="62"/>
      <c r="CX63" s="62"/>
      <c r="CY63" s="67"/>
      <c r="CZ63" s="67"/>
      <c r="DA63" s="67"/>
      <c r="DB63" s="67"/>
      <c r="DC63" s="67"/>
      <c r="DD63" s="67"/>
      <c r="DE63" s="67"/>
      <c r="DF63" s="67"/>
      <c r="DG63" s="67"/>
      <c r="DH63" s="67"/>
      <c r="DI63" s="67"/>
      <c r="DJ63" s="67"/>
      <c r="DP63" s="276"/>
      <c r="DW63" s="93">
        <v>1967</v>
      </c>
      <c r="DX63" s="16">
        <v>53400</v>
      </c>
      <c r="DY63" s="47">
        <v>55500</v>
      </c>
      <c r="DZ63" s="47">
        <v>57600</v>
      </c>
      <c r="EA63" s="47">
        <v>60600</v>
      </c>
      <c r="EB63" s="47">
        <v>61200</v>
      </c>
      <c r="EC63" s="47">
        <v>62700</v>
      </c>
      <c r="ED63" s="47">
        <v>65400</v>
      </c>
      <c r="EE63" s="47">
        <v>68400</v>
      </c>
      <c r="EF63" s="47">
        <v>72600</v>
      </c>
      <c r="EG63" s="47">
        <v>76200</v>
      </c>
      <c r="EH63" s="47">
        <v>80280</v>
      </c>
      <c r="EI63" s="47">
        <v>84516</v>
      </c>
      <c r="EJ63" s="47">
        <v>86436</v>
      </c>
      <c r="EK63" s="141">
        <v>87240</v>
      </c>
      <c r="EN63" s="43">
        <v>1967</v>
      </c>
      <c r="EO63" s="106">
        <v>32400</v>
      </c>
      <c r="EP63" s="127">
        <v>35700</v>
      </c>
      <c r="EQ63" s="149">
        <v>37800</v>
      </c>
      <c r="ER63" s="127">
        <v>39600</v>
      </c>
      <c r="ES63" s="127">
        <v>42000</v>
      </c>
      <c r="ET63" s="127">
        <v>43800</v>
      </c>
      <c r="EU63" s="127">
        <v>45000</v>
      </c>
      <c r="EV63" s="41">
        <v>48000</v>
      </c>
      <c r="EW63" s="127">
        <v>51300</v>
      </c>
      <c r="EX63" s="202">
        <v>53400</v>
      </c>
      <c r="EY63" s="47">
        <v>55500</v>
      </c>
      <c r="EZ63" s="47">
        <v>57600</v>
      </c>
      <c r="FA63" s="47">
        <v>60600</v>
      </c>
      <c r="FB63" s="47">
        <v>61200</v>
      </c>
      <c r="FC63" s="47">
        <v>62700</v>
      </c>
      <c r="FD63" s="47">
        <v>65400</v>
      </c>
      <c r="FE63" s="47">
        <v>68400</v>
      </c>
      <c r="FF63" s="47">
        <v>72600</v>
      </c>
      <c r="FG63" s="47">
        <v>76200</v>
      </c>
      <c r="FH63" s="47">
        <v>80280</v>
      </c>
      <c r="FI63" s="47">
        <v>84516</v>
      </c>
      <c r="FJ63" s="47">
        <v>86436</v>
      </c>
      <c r="FK63" s="141">
        <v>87240</v>
      </c>
    </row>
    <row r="64" spans="2:167" ht="15.75">
      <c r="B64" s="62"/>
      <c r="C64" s="62"/>
      <c r="D64" s="209">
        <f t="shared" si="0"/>
        <v>59</v>
      </c>
      <c r="E64" s="126">
        <f>[1]!PBGCLRF(65+D64/12)</f>
        <v>1.6457999999999999</v>
      </c>
      <c r="F64" s="62"/>
      <c r="G64" s="62"/>
      <c r="H64" s="62"/>
      <c r="I64" s="62"/>
      <c r="J64" s="19">
        <v>60</v>
      </c>
      <c r="K64" s="122">
        <f t="shared" si="1"/>
        <v>0.66666666666666785</v>
      </c>
      <c r="L64" s="62"/>
      <c r="M64" s="297">
        <v>60</v>
      </c>
      <c r="N64" s="122">
        <f>[1]!LRFAEQ(0.065,"M",65,M64,0,"GM71","GM71","MP","Y","N","",65)</f>
        <v>1.831396233306795</v>
      </c>
      <c r="O64" s="62"/>
      <c r="P64" s="88">
        <v>60</v>
      </c>
      <c r="Q64" s="48">
        <v>0.77599854509471833</v>
      </c>
      <c r="R64" s="188">
        <v>0.77686987939119334</v>
      </c>
      <c r="S64" s="188">
        <v>0.7777752644176531</v>
      </c>
      <c r="T64" s="188">
        <v>0.7787157121815077</v>
      </c>
      <c r="U64" s="188">
        <v>0.77969227298079169</v>
      </c>
      <c r="V64" s="188">
        <v>0.780706030716115</v>
      </c>
      <c r="W64" s="188">
        <v>0.78175809977874</v>
      </c>
      <c r="X64" s="188">
        <v>0.78284962084481546</v>
      </c>
      <c r="Y64" s="188">
        <v>0.78398175569646522</v>
      </c>
      <c r="Z64" s="188">
        <v>0.78515568772024025</v>
      </c>
      <c r="AA64" s="188">
        <v>0.78637262311849609</v>
      </c>
      <c r="AB64" s="188">
        <v>0.78763378833125808</v>
      </c>
      <c r="AC64" s="188">
        <v>0.78894041958422034</v>
      </c>
      <c r="AD64" s="188">
        <v>0.79029375102032584</v>
      </c>
      <c r="AE64" s="188">
        <v>0.79169500307631568</v>
      </c>
      <c r="AF64" s="188">
        <v>0.79314536736806029</v>
      </c>
      <c r="AG64" s="188">
        <v>0.79465737464755781</v>
      </c>
      <c r="AH64" s="188">
        <v>0.79624734392795438</v>
      </c>
      <c r="AI64" s="188">
        <v>0.7979177337405865</v>
      </c>
      <c r="AJ64" s="188">
        <v>0.79967082494112274</v>
      </c>
      <c r="AK64" s="188">
        <v>0.80150869684674009</v>
      </c>
      <c r="AL64" s="188">
        <v>0.8034332052588965</v>
      </c>
      <c r="AM64" s="188">
        <v>0.80544597371347393</v>
      </c>
      <c r="AN64" s="188">
        <v>0.80754836441966493</v>
      </c>
      <c r="AO64" s="188">
        <v>0.80974173681249983</v>
      </c>
      <c r="AP64" s="188">
        <v>0.81202752894621766</v>
      </c>
      <c r="AQ64" s="188">
        <v>0.81440689547144318</v>
      </c>
      <c r="AR64" s="188">
        <v>0.8168806731198428</v>
      </c>
      <c r="AS64" s="188">
        <v>0.81944935169883837</v>
      </c>
      <c r="AT64" s="188">
        <v>0.82211342185586012</v>
      </c>
      <c r="AU64" s="188">
        <v>0.82487349275613697</v>
      </c>
      <c r="AV64" s="188">
        <v>0.82772982955580854</v>
      </c>
      <c r="AW64" s="188">
        <v>0.83068230454259429</v>
      </c>
      <c r="AX64" s="188">
        <v>0.83373036223147634</v>
      </c>
      <c r="AY64" s="188">
        <v>0.83687334704610628</v>
      </c>
      <c r="AZ64" s="188">
        <v>0.84011064417503978</v>
      </c>
      <c r="BA64" s="188">
        <v>0.84344129386091515</v>
      </c>
      <c r="BB64" s="188">
        <v>0.84686397643360556</v>
      </c>
      <c r="BC64" s="188">
        <v>0.85037700857415799</v>
      </c>
      <c r="BD64" s="188">
        <v>0.85397825740869937</v>
      </c>
      <c r="BE64" s="188">
        <v>0.85766508795538354</v>
      </c>
      <c r="BF64" s="188">
        <v>0.86143446770959098</v>
      </c>
      <c r="BG64" s="188">
        <v>0.86528297768213547</v>
      </c>
      <c r="BH64" s="188">
        <v>0.86920683410267607</v>
      </c>
      <c r="BI64" s="188">
        <v>0.8732017918978715</v>
      </c>
      <c r="BJ64" s="188">
        <v>0.87726310980720412</v>
      </c>
      <c r="BK64" s="188">
        <v>0.88138574531364899</v>
      </c>
      <c r="BL64" s="188">
        <v>0.88556443154363673</v>
      </c>
      <c r="BM64" s="188">
        <v>0.88979367562210809</v>
      </c>
      <c r="BN64" s="188">
        <v>0.8940674929362028</v>
      </c>
      <c r="BO64" s="188">
        <v>0.89837933229461975</v>
      </c>
      <c r="BP64" s="188">
        <v>0.90272242784897128</v>
      </c>
      <c r="BQ64" s="188">
        <v>0.90709001473542017</v>
      </c>
      <c r="BR64" s="188">
        <v>0.91147515046062644</v>
      </c>
      <c r="BS64" s="188">
        <v>0.91587044474510426</v>
      </c>
      <c r="BT64" s="188">
        <v>0.92026798470603688</v>
      </c>
      <c r="BU64" s="188">
        <v>0.92465948838257128</v>
      </c>
      <c r="BV64" s="188">
        <v>0.92903680824038315</v>
      </c>
      <c r="BW64" s="188">
        <v>0.93339205633891276</v>
      </c>
      <c r="BX64" s="188">
        <v>0.93771731208287956</v>
      </c>
      <c r="BY64" s="188">
        <v>0.94200451473208868</v>
      </c>
      <c r="BZ64" s="188">
        <v>0.94624603736590429</v>
      </c>
      <c r="CA64" s="188">
        <v>0.95043483277959551</v>
      </c>
      <c r="CB64" s="188">
        <v>0.95456459448685271</v>
      </c>
      <c r="CC64" s="188">
        <v>0.95862975495230063</v>
      </c>
      <c r="CD64" s="188">
        <v>0.96262558460342784</v>
      </c>
      <c r="CE64" s="188">
        <v>0.96654862930165786</v>
      </c>
      <c r="CF64" s="188">
        <v>0.97039621020718181</v>
      </c>
      <c r="CG64" s="188">
        <v>0.97416507458295798</v>
      </c>
      <c r="CH64" s="188">
        <v>0.97785073019784152</v>
      </c>
      <c r="CI64" s="188">
        <v>0.98144808769485703</v>
      </c>
      <c r="CJ64" s="188">
        <v>0.98495243120283871</v>
      </c>
      <c r="CK64" s="188">
        <v>0.9883594001807352</v>
      </c>
      <c r="CL64" s="188">
        <v>0.99166548978547531</v>
      </c>
      <c r="CM64" s="122">
        <v>0.99486846291814734</v>
      </c>
      <c r="CN64" s="62"/>
      <c r="CO64" s="62"/>
      <c r="CP64" s="62"/>
      <c r="CQ64" s="62"/>
      <c r="CR64" s="62"/>
      <c r="CS64" s="62"/>
      <c r="CT64" s="62"/>
      <c r="CU64" s="62"/>
      <c r="CV64" s="62"/>
      <c r="CW64" s="62"/>
      <c r="CX64" s="62"/>
      <c r="CY64" s="67"/>
      <c r="CZ64" s="67"/>
      <c r="DA64" s="67"/>
      <c r="DB64" s="67"/>
      <c r="DC64" s="67"/>
      <c r="DD64" s="67"/>
      <c r="DE64" s="67"/>
      <c r="DF64" s="67"/>
      <c r="DG64" s="67"/>
      <c r="DH64" s="67"/>
      <c r="DI64" s="67"/>
      <c r="DJ64" s="67"/>
      <c r="DP64" s="274"/>
      <c r="DW64" s="93">
        <v>1968</v>
      </c>
      <c r="DX64" s="16">
        <v>53400</v>
      </c>
      <c r="DY64" s="47">
        <v>55500</v>
      </c>
      <c r="DZ64" s="47">
        <v>57600</v>
      </c>
      <c r="EA64" s="47">
        <v>60600</v>
      </c>
      <c r="EB64" s="47">
        <v>61200</v>
      </c>
      <c r="EC64" s="47">
        <v>62700</v>
      </c>
      <c r="ED64" s="47">
        <v>65400</v>
      </c>
      <c r="EE64" s="47">
        <v>68400</v>
      </c>
      <c r="EF64" s="47">
        <v>72600</v>
      </c>
      <c r="EG64" s="47">
        <v>76200</v>
      </c>
      <c r="EH64" s="47">
        <v>80400</v>
      </c>
      <c r="EI64" s="47">
        <v>84768</v>
      </c>
      <c r="EJ64" s="47">
        <v>86748</v>
      </c>
      <c r="EK64" s="141">
        <v>87564</v>
      </c>
      <c r="EN64" s="43">
        <v>1968</v>
      </c>
      <c r="EO64" s="106">
        <v>32400</v>
      </c>
      <c r="EP64" s="127">
        <v>35700</v>
      </c>
      <c r="EQ64" s="149">
        <v>37800</v>
      </c>
      <c r="ER64" s="127">
        <v>39600</v>
      </c>
      <c r="ES64" s="127">
        <v>42000</v>
      </c>
      <c r="ET64" s="127">
        <v>43800</v>
      </c>
      <c r="EU64" s="127">
        <v>45000</v>
      </c>
      <c r="EV64" s="41">
        <v>48000</v>
      </c>
      <c r="EW64" s="127">
        <v>51300</v>
      </c>
      <c r="EX64" s="202">
        <v>53400</v>
      </c>
      <c r="EY64" s="47">
        <v>55500</v>
      </c>
      <c r="EZ64" s="47">
        <v>57600</v>
      </c>
      <c r="FA64" s="47">
        <v>60600</v>
      </c>
      <c r="FB64" s="47">
        <v>61200</v>
      </c>
      <c r="FC64" s="47">
        <v>62700</v>
      </c>
      <c r="FD64" s="47">
        <v>65400</v>
      </c>
      <c r="FE64" s="47">
        <v>68400</v>
      </c>
      <c r="FF64" s="47">
        <v>72600</v>
      </c>
      <c r="FG64" s="47">
        <v>76200</v>
      </c>
      <c r="FH64" s="47">
        <v>80400</v>
      </c>
      <c r="FI64" s="47">
        <v>84768</v>
      </c>
      <c r="FJ64" s="47">
        <v>86748</v>
      </c>
      <c r="FK64" s="141">
        <v>87564</v>
      </c>
    </row>
    <row r="65" spans="2:167" ht="15.75">
      <c r="B65" s="62"/>
      <c r="C65" s="62"/>
      <c r="D65" s="209">
        <f t="shared" si="0"/>
        <v>60</v>
      </c>
      <c r="E65" s="126">
        <f>[1]!PBGCLRF(65+D65/12)</f>
        <v>1.66</v>
      </c>
      <c r="F65" s="62"/>
      <c r="G65" s="62"/>
      <c r="H65" s="62"/>
      <c r="I65" s="62"/>
      <c r="J65" s="19">
        <v>61</v>
      </c>
      <c r="K65" s="122">
        <f t="shared" si="1"/>
        <v>0.66111111111111232</v>
      </c>
      <c r="L65" s="62"/>
      <c r="M65" s="297">
        <v>61</v>
      </c>
      <c r="N65" s="122">
        <f>[1]!LRFAEQ(0.065,"M",65,M65,0,"GM71","GM71","MP","Y","N","",65)</f>
        <v>1.853138954511222</v>
      </c>
      <c r="O65" s="62"/>
      <c r="P65" s="88">
        <v>61</v>
      </c>
      <c r="Q65" s="48">
        <v>0.76843077892609568</v>
      </c>
      <c r="R65" s="188">
        <v>0.76930804780090278</v>
      </c>
      <c r="S65" s="188">
        <v>0.77021957390221196</v>
      </c>
      <c r="T65" s="188">
        <v>0.7711663291615195</v>
      </c>
      <c r="U65" s="188">
        <v>0.77214932369304989</v>
      </c>
      <c r="V65" s="188">
        <v>0.77316960471160034</v>
      </c>
      <c r="W65" s="188">
        <v>0.77422825115290961</v>
      </c>
      <c r="X65" s="188">
        <v>0.77532636999531013</v>
      </c>
      <c r="Y65" s="188">
        <v>0.77646509136293385</v>
      </c>
      <c r="Z65" s="188">
        <v>0.77764556253868811</v>
      </c>
      <c r="AA65" s="188">
        <v>0.77886894815325713</v>
      </c>
      <c r="AB65" s="188">
        <v>0.78013643112335351</v>
      </c>
      <c r="AC65" s="188">
        <v>0.781449209412727</v>
      </c>
      <c r="AD65" s="188">
        <v>0.78280848414071058</v>
      </c>
      <c r="AE65" s="188">
        <v>0.78421544608683025</v>
      </c>
      <c r="AF65" s="188">
        <v>0.78567126239860441</v>
      </c>
      <c r="AG65" s="188">
        <v>0.78718916921487314</v>
      </c>
      <c r="AH65" s="188">
        <v>0.7887865068350185</v>
      </c>
      <c r="AI65" s="188">
        <v>0.79046589285440227</v>
      </c>
      <c r="AJ65" s="188">
        <v>0.79222976860801408</v>
      </c>
      <c r="AK65" s="188">
        <v>0.79408037440505874</v>
      </c>
      <c r="AL65" s="188">
        <v>0.7960197267329302</v>
      </c>
      <c r="AM65" s="188">
        <v>0.79804960937221203</v>
      </c>
      <c r="AN65" s="188">
        <v>0.8001715430527917</v>
      </c>
      <c r="AO65" s="188">
        <v>0.80238706182659558</v>
      </c>
      <c r="AP65" s="188">
        <v>0.80469780254551115</v>
      </c>
      <c r="AQ65" s="188">
        <v>0.80710512002395807</v>
      </c>
      <c r="AR65" s="188">
        <v>0.80961005072828141</v>
      </c>
      <c r="AS65" s="188">
        <v>0.81221328229341661</v>
      </c>
      <c r="AT65" s="188">
        <v>0.81491552557081071</v>
      </c>
      <c r="AU65" s="188">
        <v>0.81771764326350038</v>
      </c>
      <c r="AV65" s="188">
        <v>0.82062015639359831</v>
      </c>
      <c r="AW65" s="188">
        <v>0.82362319212975488</v>
      </c>
      <c r="AX65" s="188">
        <v>0.82672644657862437</v>
      </c>
      <c r="AY65" s="188">
        <v>0.82992953573632067</v>
      </c>
      <c r="AZ65" s="188">
        <v>0.83323214840993498</v>
      </c>
      <c r="BA65" s="188">
        <v>0.8366336329262416</v>
      </c>
      <c r="BB65" s="188">
        <v>0.84013298076315512</v>
      </c>
      <c r="BC65" s="188">
        <v>0.84372882184853282</v>
      </c>
      <c r="BD65" s="188">
        <v>0.84741933131120029</v>
      </c>
      <c r="BE65" s="188">
        <v>0.85120217033250656</v>
      </c>
      <c r="BF65" s="188">
        <v>0.85507459571599631</v>
      </c>
      <c r="BG65" s="188">
        <v>0.85903346868518304</v>
      </c>
      <c r="BH65" s="188">
        <v>0.86307527504978432</v>
      </c>
      <c r="BI65" s="188">
        <v>0.8671960167360997</v>
      </c>
      <c r="BJ65" s="188">
        <v>0.87139116801851502</v>
      </c>
      <c r="BK65" s="188">
        <v>0.87565588032503305</v>
      </c>
      <c r="BL65" s="188">
        <v>0.87998506078519478</v>
      </c>
      <c r="BM65" s="188">
        <v>0.88437336599491378</v>
      </c>
      <c r="BN65" s="188">
        <v>0.88881490857295398</v>
      </c>
      <c r="BO65" s="188">
        <v>0.89330316735588577</v>
      </c>
      <c r="BP65" s="188">
        <v>0.89783136080148485</v>
      </c>
      <c r="BQ65" s="188">
        <v>0.90239267538817836</v>
      </c>
      <c r="BR65" s="188">
        <v>0.90698006717526491</v>
      </c>
      <c r="BS65" s="188">
        <v>0.91158596114230628</v>
      </c>
      <c r="BT65" s="188">
        <v>0.91620216170077395</v>
      </c>
      <c r="BU65" s="188">
        <v>0.92082001115560852</v>
      </c>
      <c r="BV65" s="188">
        <v>0.92543093182101965</v>
      </c>
      <c r="BW65" s="188">
        <v>0.93002655912380272</v>
      </c>
      <c r="BX65" s="188">
        <v>0.9345984203929919</v>
      </c>
      <c r="BY65" s="188">
        <v>0.93913781372112282</v>
      </c>
      <c r="BZ65" s="188">
        <v>0.94363643509230943</v>
      </c>
      <c r="CA65" s="188">
        <v>0.94808654562046724</v>
      </c>
      <c r="CB65" s="188">
        <v>0.95248115491427987</v>
      </c>
      <c r="CC65" s="188">
        <v>0.95681402637516988</v>
      </c>
      <c r="CD65" s="188">
        <v>0.96107979170862656</v>
      </c>
      <c r="CE65" s="188">
        <v>0.96527443816539549</v>
      </c>
      <c r="CF65" s="188">
        <v>0.96939476933110547</v>
      </c>
      <c r="CG65" s="188">
        <v>0.97343693067041004</v>
      </c>
      <c r="CH65" s="188">
        <v>0.97739567827548246</v>
      </c>
      <c r="CI65" s="188">
        <v>0.98126508105811416</v>
      </c>
      <c r="CJ65" s="188">
        <v>0.9850395904742304</v>
      </c>
      <c r="CK65" s="188">
        <v>0.9887140283056739</v>
      </c>
      <c r="CL65" s="188">
        <v>0.99228414320633807</v>
      </c>
      <c r="CM65" s="122">
        <v>0.99574707023370312</v>
      </c>
      <c r="CN65" s="62"/>
      <c r="CO65" s="62"/>
      <c r="CP65" s="62"/>
      <c r="CQ65" s="62"/>
      <c r="CR65" s="62"/>
      <c r="CS65" s="62"/>
      <c r="CT65" s="62"/>
      <c r="CU65" s="62"/>
      <c r="CV65" s="62"/>
      <c r="CW65" s="62"/>
      <c r="CX65" s="62"/>
      <c r="CY65" s="67"/>
      <c r="CZ65" s="67"/>
      <c r="DA65" s="67"/>
      <c r="DB65" s="67"/>
      <c r="DC65" s="67"/>
      <c r="DD65" s="67"/>
      <c r="DE65" s="67"/>
      <c r="DF65" s="67"/>
      <c r="DG65" s="67"/>
      <c r="DH65" s="67"/>
      <c r="DI65" s="67"/>
      <c r="DJ65" s="67"/>
      <c r="DP65" s="274"/>
      <c r="DW65" s="229">
        <v>1969</v>
      </c>
      <c r="DX65" s="16">
        <v>53400</v>
      </c>
      <c r="DY65" s="47">
        <v>55500</v>
      </c>
      <c r="DZ65" s="47">
        <v>57600</v>
      </c>
      <c r="EA65" s="47">
        <v>60600</v>
      </c>
      <c r="EB65" s="47">
        <v>61200</v>
      </c>
      <c r="EC65" s="47">
        <v>62700</v>
      </c>
      <c r="ED65" s="47">
        <v>65400</v>
      </c>
      <c r="EE65" s="47">
        <v>68400</v>
      </c>
      <c r="EF65" s="47">
        <v>72600</v>
      </c>
      <c r="EG65" s="47">
        <v>76200</v>
      </c>
      <c r="EH65" s="47">
        <v>80400</v>
      </c>
      <c r="EI65" s="47">
        <v>84900</v>
      </c>
      <c r="EJ65" s="47">
        <v>86940</v>
      </c>
      <c r="EK65" s="141">
        <v>87780</v>
      </c>
      <c r="EN65" s="12">
        <v>1969</v>
      </c>
      <c r="EO65" s="106">
        <v>32400</v>
      </c>
      <c r="EP65" s="127">
        <v>35700</v>
      </c>
      <c r="EQ65" s="149">
        <v>37800</v>
      </c>
      <c r="ER65" s="127">
        <v>39600</v>
      </c>
      <c r="ES65" s="127">
        <v>42000</v>
      </c>
      <c r="ET65" s="127">
        <v>43800</v>
      </c>
      <c r="EU65" s="127">
        <v>45000</v>
      </c>
      <c r="EV65" s="41">
        <v>48000</v>
      </c>
      <c r="EW65" s="127">
        <v>51300</v>
      </c>
      <c r="EX65" s="202">
        <v>53400</v>
      </c>
      <c r="EY65" s="47">
        <v>55500</v>
      </c>
      <c r="EZ65" s="47">
        <v>57600</v>
      </c>
      <c r="FA65" s="47">
        <v>60600</v>
      </c>
      <c r="FB65" s="47">
        <v>61200</v>
      </c>
      <c r="FC65" s="47">
        <v>62700</v>
      </c>
      <c r="FD65" s="47">
        <v>65400</v>
      </c>
      <c r="FE65" s="47">
        <v>68400</v>
      </c>
      <c r="FF65" s="47">
        <v>72600</v>
      </c>
      <c r="FG65" s="47">
        <v>76200</v>
      </c>
      <c r="FH65" s="47">
        <v>80400</v>
      </c>
      <c r="FI65" s="47">
        <v>84900</v>
      </c>
      <c r="FJ65" s="47">
        <v>86940</v>
      </c>
      <c r="FK65" s="141">
        <v>87780</v>
      </c>
    </row>
    <row r="66" spans="2:167" ht="15.75">
      <c r="B66" s="62"/>
      <c r="C66" s="62"/>
      <c r="D66" s="209">
        <f t="shared" si="0"/>
        <v>61</v>
      </c>
      <c r="E66" s="126">
        <f>[1]!PBGCLRF(65+D66/12)</f>
        <v>1.6830000000000001</v>
      </c>
      <c r="F66" s="62"/>
      <c r="G66" s="62"/>
      <c r="H66" s="62"/>
      <c r="I66" s="62"/>
      <c r="J66" s="19">
        <v>62</v>
      </c>
      <c r="K66" s="122">
        <f t="shared" si="1"/>
        <v>0.65555555555555678</v>
      </c>
      <c r="L66" s="62"/>
      <c r="M66" s="297">
        <v>62</v>
      </c>
      <c r="N66" s="122">
        <f>[1]!LRFAEQ(0.065,"M",65,M66,0,"GM71","GM71","MP","Y","N","",65)</f>
        <v>1.8748816757156495</v>
      </c>
      <c r="O66" s="62"/>
      <c r="P66" s="88">
        <v>62</v>
      </c>
      <c r="Q66" s="48">
        <v>0.76088193992267728</v>
      </c>
      <c r="R66" s="188">
        <v>0.76176530791661312</v>
      </c>
      <c r="S66" s="188">
        <v>0.76268316712927176</v>
      </c>
      <c r="T66" s="188">
        <v>0.76363644235060146</v>
      </c>
      <c r="U66" s="188">
        <v>0.76462609531241299</v>
      </c>
      <c r="V66" s="188">
        <v>0.76565312436992494</v>
      </c>
      <c r="W66" s="188">
        <v>0.76671856302343266</v>
      </c>
      <c r="X66" s="188">
        <v>0.76782347370913195</v>
      </c>
      <c r="Y66" s="188">
        <v>0.76896894342591826</v>
      </c>
      <c r="Z66" s="188">
        <v>0.77015607799648511</v>
      </c>
      <c r="AA66" s="188">
        <v>0.77138599509822303</v>
      </c>
      <c r="AB66" s="188">
        <v>0.77265982402244138</v>
      </c>
      <c r="AC66" s="188">
        <v>0.77397870621362275</v>
      </c>
      <c r="AD66" s="188">
        <v>0.77534379118292596</v>
      </c>
      <c r="AE66" s="188">
        <v>0.77675622287762125</v>
      </c>
      <c r="AF66" s="188">
        <v>0.77821712421762901</v>
      </c>
      <c r="AG66" s="188">
        <v>0.77974046533628982</v>
      </c>
      <c r="AH66" s="188">
        <v>0.78134466634503463</v>
      </c>
      <c r="AI66" s="188">
        <v>0.78303250460457374</v>
      </c>
      <c r="AJ66" s="188">
        <v>0.78480658243995349</v>
      </c>
      <c r="AK66" s="188">
        <v>0.78666930119483658</v>
      </c>
      <c r="AL66" s="188">
        <v>0.78862283748730033</v>
      </c>
      <c r="AM66" s="188">
        <v>0.79066913436941044</v>
      </c>
      <c r="AN66" s="188">
        <v>0.79280986935163689</v>
      </c>
      <c r="AO66" s="188">
        <v>0.79504674978467615</v>
      </c>
      <c r="AP66" s="188">
        <v>0.79738161101610217</v>
      </c>
      <c r="AQ66" s="188">
        <v>0.79981600720432966</v>
      </c>
      <c r="AR66" s="188">
        <v>0.80235117341258044</v>
      </c>
      <c r="AS66" s="188">
        <v>0.80498799347845928</v>
      </c>
      <c r="AT66" s="188">
        <v>0.80772739821271256</v>
      </c>
      <c r="AU66" s="188">
        <v>0.81057050615323933</v>
      </c>
      <c r="AV66" s="188">
        <v>0.81351809707987177</v>
      </c>
      <c r="AW66" s="188">
        <v>0.81657055633648201</v>
      </c>
      <c r="AX66" s="188">
        <v>0.81972783493795531</v>
      </c>
      <c r="AY66" s="188">
        <v>0.82298982583388192</v>
      </c>
      <c r="AZ66" s="188">
        <v>0.82635653054826264</v>
      </c>
      <c r="BA66" s="188">
        <v>0.82982761676341898</v>
      </c>
      <c r="BB66" s="188">
        <v>0.83340240026255952</v>
      </c>
      <c r="BC66" s="188">
        <v>0.83707983958453103</v>
      </c>
      <c r="BD66" s="188">
        <v>0.84085843521329784</v>
      </c>
      <c r="BE66" s="188">
        <v>0.84473616430687715</v>
      </c>
      <c r="BF66" s="188">
        <v>0.84871059613753386</v>
      </c>
      <c r="BG66" s="188">
        <v>0.85277889888185476</v>
      </c>
      <c r="BH66" s="188">
        <v>0.85693785818696333</v>
      </c>
      <c r="BI66" s="188">
        <v>0.86118375703522443</v>
      </c>
      <c r="BJ66" s="188">
        <v>0.86551232285384738</v>
      </c>
      <c r="BK66" s="188">
        <v>0.86991894275717774</v>
      </c>
      <c r="BL66" s="188">
        <v>0.874398743234307</v>
      </c>
      <c r="BM66" s="188">
        <v>0.87894657908200224</v>
      </c>
      <c r="BN66" s="188">
        <v>0.88355671069797515</v>
      </c>
      <c r="BO66" s="188">
        <v>0.88822269845635871</v>
      </c>
      <c r="BP66" s="188">
        <v>0.89293779867545975</v>
      </c>
      <c r="BQ66" s="188">
        <v>0.89769520466742725</v>
      </c>
      <c r="BR66" s="188">
        <v>0.90248782638720071</v>
      </c>
      <c r="BS66" s="188">
        <v>0.90730795670494679</v>
      </c>
      <c r="BT66" s="188">
        <v>0.91214716539971907</v>
      </c>
      <c r="BU66" s="188">
        <v>0.91699646147153935</v>
      </c>
      <c r="BV66" s="188">
        <v>0.92184687636243456</v>
      </c>
      <c r="BW66" s="188">
        <v>0.92668960431236302</v>
      </c>
      <c r="BX66" s="188">
        <v>0.9315156489797668</v>
      </c>
      <c r="BY66" s="188">
        <v>0.93631568495402095</v>
      </c>
      <c r="BZ66" s="188">
        <v>0.94108073950347293</v>
      </c>
      <c r="CA66" s="188">
        <v>0.94580237789406951</v>
      </c>
      <c r="CB66" s="188">
        <v>0.95047291301510584</v>
      </c>
      <c r="CC66" s="188">
        <v>0.95508541986063611</v>
      </c>
      <c r="CD66" s="188">
        <v>0.95963386787399019</v>
      </c>
      <c r="CE66" s="188">
        <v>0.96411366251512154</v>
      </c>
      <c r="CF66" s="188">
        <v>0.96852106495143853</v>
      </c>
      <c r="CG66" s="188">
        <v>0.97285157957455703</v>
      </c>
      <c r="CH66" s="188">
        <v>0.97709915010977744</v>
      </c>
      <c r="CI66" s="188">
        <v>0.98125692672261877</v>
      </c>
      <c r="CJ66" s="188">
        <v>0.98531844307966876</v>
      </c>
      <c r="CK66" s="188">
        <v>0.98927760998311287</v>
      </c>
      <c r="CL66" s="188">
        <v>0.99312933528079839</v>
      </c>
      <c r="CM66" s="122">
        <v>0.99687004026277737</v>
      </c>
      <c r="CN66" s="62"/>
      <c r="CO66" s="62"/>
      <c r="CP66" s="62"/>
      <c r="CQ66" s="62"/>
      <c r="CR66" s="62"/>
      <c r="CS66" s="62"/>
      <c r="CT66" s="62"/>
      <c r="CU66" s="62"/>
      <c r="CV66" s="62"/>
      <c r="CW66" s="62"/>
      <c r="CX66" s="62"/>
      <c r="CY66" s="67"/>
      <c r="CZ66" s="67"/>
      <c r="DA66" s="67"/>
      <c r="DB66" s="67"/>
      <c r="DC66" s="67"/>
      <c r="DD66" s="67"/>
      <c r="DE66" s="67"/>
      <c r="DF66" s="67"/>
      <c r="DG66" s="67"/>
      <c r="DH66" s="67"/>
      <c r="DI66" s="67"/>
      <c r="DJ66" s="67"/>
      <c r="DP66" s="276"/>
      <c r="DW66" s="43">
        <v>1970</v>
      </c>
      <c r="DX66" s="16">
        <v>53400</v>
      </c>
      <c r="DY66" s="47">
        <v>55500</v>
      </c>
      <c r="DZ66" s="47">
        <v>57600</v>
      </c>
      <c r="EA66" s="47">
        <v>60600</v>
      </c>
      <c r="EB66" s="47">
        <v>61200</v>
      </c>
      <c r="EC66" s="47">
        <v>62700</v>
      </c>
      <c r="ED66" s="47">
        <v>65400</v>
      </c>
      <c r="EE66" s="47">
        <v>68400</v>
      </c>
      <c r="EF66" s="47">
        <v>72600</v>
      </c>
      <c r="EG66" s="47">
        <v>76200</v>
      </c>
      <c r="EH66" s="47">
        <v>80400</v>
      </c>
      <c r="EI66" s="47">
        <v>84900</v>
      </c>
      <c r="EJ66" s="47">
        <v>87000</v>
      </c>
      <c r="EK66" s="141">
        <v>87864</v>
      </c>
      <c r="EN66" s="43">
        <v>1970</v>
      </c>
      <c r="EO66" s="106">
        <v>32400</v>
      </c>
      <c r="EP66" s="127">
        <v>35700</v>
      </c>
      <c r="EQ66" s="149">
        <v>37800</v>
      </c>
      <c r="ER66" s="127">
        <v>39600</v>
      </c>
      <c r="ES66" s="127">
        <v>42000</v>
      </c>
      <c r="ET66" s="127">
        <v>43800</v>
      </c>
      <c r="EU66" s="127">
        <v>45000</v>
      </c>
      <c r="EV66" s="41">
        <v>48000</v>
      </c>
      <c r="EW66" s="127">
        <v>51300</v>
      </c>
      <c r="EX66" s="202">
        <v>53400</v>
      </c>
      <c r="EY66" s="47">
        <v>55500</v>
      </c>
      <c r="EZ66" s="47">
        <v>57600</v>
      </c>
      <c r="FA66" s="47">
        <v>60600</v>
      </c>
      <c r="FB66" s="47">
        <v>61200</v>
      </c>
      <c r="FC66" s="47">
        <v>62700</v>
      </c>
      <c r="FD66" s="47">
        <v>65400</v>
      </c>
      <c r="FE66" s="47">
        <v>68400</v>
      </c>
      <c r="FF66" s="47">
        <v>72600</v>
      </c>
      <c r="FG66" s="47">
        <v>76200</v>
      </c>
      <c r="FH66" s="47">
        <v>80400</v>
      </c>
      <c r="FI66" s="47">
        <v>84900</v>
      </c>
      <c r="FJ66" s="47">
        <v>87000</v>
      </c>
      <c r="FK66" s="141">
        <v>87864</v>
      </c>
    </row>
    <row r="67" spans="2:167" ht="15.75">
      <c r="B67" s="62"/>
      <c r="C67" s="62"/>
      <c r="D67" s="209">
        <f t="shared" si="0"/>
        <v>62</v>
      </c>
      <c r="E67" s="126">
        <f>[1]!PBGCLRF(65+D67/12)</f>
        <v>1.706</v>
      </c>
      <c r="F67" s="62"/>
      <c r="G67" s="62"/>
      <c r="H67" s="62"/>
      <c r="I67" s="62"/>
      <c r="J67" s="19">
        <v>63</v>
      </c>
      <c r="K67" s="122">
        <f t="shared" si="1"/>
        <v>0.65000000000000124</v>
      </c>
      <c r="L67" s="62"/>
      <c r="M67" s="297">
        <v>63</v>
      </c>
      <c r="N67" s="122">
        <f>[1]!LRFAEQ(0.065,"M",65,M67,0,"GM71","GM71","MP","Y","N","",65)</f>
        <v>1.8966243969200764</v>
      </c>
      <c r="O67" s="62"/>
      <c r="P67" s="88">
        <v>63</v>
      </c>
      <c r="Q67" s="48">
        <v>0.75337381845589446</v>
      </c>
      <c r="R67" s="188">
        <v>0.75426344940133927</v>
      </c>
      <c r="S67" s="188">
        <v>0.7551878407750684</v>
      </c>
      <c r="T67" s="188">
        <v>0.75614786331932016</v>
      </c>
      <c r="U67" s="188">
        <v>0.75714442205935184</v>
      </c>
      <c r="V67" s="188">
        <v>0.75817845689241925</v>
      </c>
      <c r="W67" s="188">
        <v>0.7592509419051936</v>
      </c>
      <c r="X67" s="188">
        <v>0.76036288339087699</v>
      </c>
      <c r="Y67" s="188">
        <v>0.76151531263923777</v>
      </c>
      <c r="Z67" s="188">
        <v>0.76270928070679711</v>
      </c>
      <c r="AA67" s="188">
        <v>0.7639458516458455</v>
      </c>
      <c r="AB67" s="188">
        <v>0.76522609433446576</v>
      </c>
      <c r="AC67" s="188">
        <v>0.76655108164698627</v>
      </c>
      <c r="AD67" s="188">
        <v>0.76792189042590342</v>
      </c>
      <c r="AE67" s="188">
        <v>0.76933959630537763</v>
      </c>
      <c r="AF67" s="188">
        <v>0.77080525796327126</v>
      </c>
      <c r="AG67" s="188">
        <v>0.77233360816320562</v>
      </c>
      <c r="AH67" s="188">
        <v>0.77394420871474112</v>
      </c>
      <c r="AI67" s="188">
        <v>0.77563999732350331</v>
      </c>
      <c r="AJ67" s="188">
        <v>0.77742373791020913</v>
      </c>
      <c r="AK67" s="188">
        <v>0.77929799313519055</v>
      </c>
      <c r="AL67" s="188">
        <v>0.78126509938618882</v>
      </c>
      <c r="AM67" s="188">
        <v>0.78332715790658325</v>
      </c>
      <c r="AN67" s="188">
        <v>0.78548600127270984</v>
      </c>
      <c r="AO67" s="188">
        <v>0.78774350877347188</v>
      </c>
      <c r="AP67" s="188">
        <v>0.79010171408634833</v>
      </c>
      <c r="AQ67" s="188">
        <v>0.79256236988550521</v>
      </c>
      <c r="AR67" s="188">
        <v>0.79512690823442289</v>
      </c>
      <c r="AS67" s="188">
        <v>0.79779640703162358</v>
      </c>
      <c r="AT67" s="188">
        <v>0.80057201608005113</v>
      </c>
      <c r="AU67" s="188">
        <v>0.80345511138248538</v>
      </c>
      <c r="AV67" s="188">
        <v>0.80644673353537422</v>
      </c>
      <c r="AW67" s="188">
        <v>0.80954752848324407</v>
      </c>
      <c r="AX67" s="188">
        <v>0.81275770476852371</v>
      </c>
      <c r="AY67" s="188">
        <v>0.81607743663768606</v>
      </c>
      <c r="AZ67" s="188">
        <v>0.81950704618679993</v>
      </c>
      <c r="BA67" s="188">
        <v>0.8230465303329676</v>
      </c>
      <c r="BB67" s="188">
        <v>0.82669554137693246</v>
      </c>
      <c r="BC67" s="188">
        <v>0.83045338074317843</v>
      </c>
      <c r="BD67" s="188">
        <v>0.83431889048900476</v>
      </c>
      <c r="BE67" s="188">
        <v>0.83829038168479708</v>
      </c>
      <c r="BF67" s="188">
        <v>0.84236575726874141</v>
      </c>
      <c r="BG67" s="188">
        <v>0.84654251725869123</v>
      </c>
      <c r="BH67" s="188">
        <v>0.85081777602297282</v>
      </c>
      <c r="BI67" s="188">
        <v>0.85518812966594915</v>
      </c>
      <c r="BJ67" s="188">
        <v>0.85964959445090106</v>
      </c>
      <c r="BK67" s="188">
        <v>0.86419783388557803</v>
      </c>
      <c r="BL67" s="188">
        <v>0.86882823946615118</v>
      </c>
      <c r="BM67" s="188">
        <v>0.87353591374387729</v>
      </c>
      <c r="BN67" s="188">
        <v>0.87831531608502489</v>
      </c>
      <c r="BO67" s="188">
        <v>0.88316014036241453</v>
      </c>
      <c r="BP67" s="188">
        <v>0.88806373586161436</v>
      </c>
      <c r="BQ67" s="188">
        <v>0.8930193615037213</v>
      </c>
      <c r="BR67" s="188">
        <v>0.89801994060985102</v>
      </c>
      <c r="BS67" s="188">
        <v>0.90305769048875217</v>
      </c>
      <c r="BT67" s="188">
        <v>0.90812399848445802</v>
      </c>
      <c r="BU67" s="188">
        <v>0.91320958757052784</v>
      </c>
      <c r="BV67" s="188">
        <v>0.91830514302445576</v>
      </c>
      <c r="BW67" s="188">
        <v>0.92340145995927636</v>
      </c>
      <c r="BX67" s="188">
        <v>0.92848905354627642</v>
      </c>
      <c r="BY67" s="188">
        <v>0.93355800035090541</v>
      </c>
      <c r="BZ67" s="188">
        <v>0.93859867733880331</v>
      </c>
      <c r="CA67" s="188">
        <v>0.94360196346584935</v>
      </c>
      <c r="CB67" s="188">
        <v>0.94855947226214499</v>
      </c>
      <c r="CC67" s="188">
        <v>0.95346357859478637</v>
      </c>
      <c r="CD67" s="188">
        <v>0.95830757203386729</v>
      </c>
      <c r="CE67" s="188">
        <v>0.96308625926056046</v>
      </c>
      <c r="CF67" s="188">
        <v>0.96779533888709535</v>
      </c>
      <c r="CG67" s="188">
        <v>0.97242963852689224</v>
      </c>
      <c r="CH67" s="188">
        <v>0.97698222935366041</v>
      </c>
      <c r="CI67" s="188">
        <v>0.98144526348283057</v>
      </c>
      <c r="CJ67" s="188">
        <v>0.98581126929175156</v>
      </c>
      <c r="CK67" s="188">
        <v>0.99007314988095307</v>
      </c>
      <c r="CL67" s="188">
        <v>0.99422487174701757</v>
      </c>
      <c r="CM67" s="122">
        <v>0.99826204641800798</v>
      </c>
      <c r="CN67" s="62"/>
      <c r="CO67" s="62"/>
      <c r="CP67" s="62"/>
      <c r="CQ67" s="62"/>
      <c r="CR67" s="62"/>
      <c r="CS67" s="62"/>
      <c r="CT67" s="62"/>
      <c r="CU67" s="62"/>
      <c r="CV67" s="62"/>
      <c r="CW67" s="62"/>
      <c r="CX67" s="62"/>
      <c r="CY67" s="67"/>
      <c r="CZ67" s="67"/>
      <c r="DA67" s="67"/>
      <c r="DB67" s="67"/>
      <c r="DC67" s="67"/>
      <c r="DD67" s="67"/>
      <c r="DE67" s="67"/>
      <c r="DF67" s="67"/>
      <c r="DG67" s="67"/>
      <c r="DH67" s="67"/>
      <c r="DI67" s="67"/>
      <c r="DJ67" s="67"/>
      <c r="DP67" s="276"/>
      <c r="DW67" s="43">
        <v>1971</v>
      </c>
      <c r="DX67" s="16">
        <v>53400</v>
      </c>
      <c r="DY67" s="47">
        <v>55500</v>
      </c>
      <c r="DZ67" s="47">
        <v>57600</v>
      </c>
      <c r="EA67" s="47">
        <v>60600</v>
      </c>
      <c r="EB67" s="47">
        <v>61200</v>
      </c>
      <c r="EC67" s="47">
        <v>62700</v>
      </c>
      <c r="ED67" s="47">
        <v>65400</v>
      </c>
      <c r="EE67" s="47">
        <v>68400</v>
      </c>
      <c r="EF67" s="47">
        <v>72600</v>
      </c>
      <c r="EG67" s="47">
        <v>76200</v>
      </c>
      <c r="EH67" s="47">
        <v>80400</v>
      </c>
      <c r="EI67" s="47">
        <v>84900</v>
      </c>
      <c r="EJ67" s="47">
        <v>87000</v>
      </c>
      <c r="EK67" s="141">
        <v>87900</v>
      </c>
      <c r="EN67" s="43">
        <v>1971</v>
      </c>
      <c r="EO67" s="106">
        <v>32400</v>
      </c>
      <c r="EP67" s="127">
        <v>35700</v>
      </c>
      <c r="EQ67" s="149">
        <v>37800</v>
      </c>
      <c r="ER67" s="127">
        <v>39600</v>
      </c>
      <c r="ES67" s="127">
        <v>42000</v>
      </c>
      <c r="ET67" s="127">
        <v>43800</v>
      </c>
      <c r="EU67" s="127">
        <v>45000</v>
      </c>
      <c r="EV67" s="41">
        <v>48000</v>
      </c>
      <c r="EW67" s="127">
        <v>51300</v>
      </c>
      <c r="EX67" s="202">
        <v>53400</v>
      </c>
      <c r="EY67" s="47">
        <v>55500</v>
      </c>
      <c r="EZ67" s="47">
        <v>57600</v>
      </c>
      <c r="FA67" s="47">
        <v>60600</v>
      </c>
      <c r="FB67" s="47">
        <v>61200</v>
      </c>
      <c r="FC67" s="47">
        <v>62700</v>
      </c>
      <c r="FD67" s="47">
        <v>65400</v>
      </c>
      <c r="FE67" s="47">
        <v>68400</v>
      </c>
      <c r="FF67" s="47">
        <v>72600</v>
      </c>
      <c r="FG67" s="47">
        <v>76200</v>
      </c>
      <c r="FH67" s="47">
        <v>80400</v>
      </c>
      <c r="FI67" s="47">
        <v>84900</v>
      </c>
      <c r="FJ67" s="47">
        <v>87000</v>
      </c>
      <c r="FK67" s="141">
        <v>87900</v>
      </c>
    </row>
    <row r="68" spans="2:167" ht="15.75">
      <c r="B68" s="62"/>
      <c r="C68" s="62"/>
      <c r="D68" s="209">
        <f t="shared" si="0"/>
        <v>63</v>
      </c>
      <c r="E68" s="126">
        <f>[1]!PBGCLRF(65+D68/12)</f>
        <v>1.7290000000000001</v>
      </c>
      <c r="F68" s="62"/>
      <c r="G68" s="62"/>
      <c r="H68" s="62"/>
      <c r="I68" s="62"/>
      <c r="J68" s="19">
        <v>64</v>
      </c>
      <c r="K68" s="122">
        <f t="shared" si="1"/>
        <v>0.64444444444444571</v>
      </c>
      <c r="L68" s="62"/>
      <c r="M68" s="297">
        <v>64</v>
      </c>
      <c r="N68" s="122">
        <f>[1]!LRFAEQ(0.065,"M",65,M68,0,"GM71","GM71","MP","Y","N","",65)</f>
        <v>1.9183671181245034</v>
      </c>
      <c r="O68" s="62"/>
      <c r="P68" s="88">
        <v>64</v>
      </c>
      <c r="Q68" s="48">
        <v>0.74593053137483245</v>
      </c>
      <c r="R68" s="188">
        <v>0.74682658208583608</v>
      </c>
      <c r="S68" s="188">
        <v>0.74775770588136981</v>
      </c>
      <c r="T68" s="188">
        <v>0.74872471290417053</v>
      </c>
      <c r="U68" s="188">
        <v>0.74972844321308196</v>
      </c>
      <c r="V68" s="188">
        <v>0.75076976838716103</v>
      </c>
      <c r="W68" s="188">
        <v>0.75184959179754862</v>
      </c>
      <c r="X68" s="188">
        <v>0.75296884744846282</v>
      </c>
      <c r="Y68" s="188">
        <v>0.7541284973512532</v>
      </c>
      <c r="Z68" s="188">
        <v>0.75532952310004975</v>
      </c>
      <c r="AA68" s="188">
        <v>0.75657291958066386</v>
      </c>
      <c r="AB68" s="188">
        <v>0.75785968692747108</v>
      </c>
      <c r="AC68" s="188">
        <v>0.75919082087592615</v>
      </c>
      <c r="AD68" s="188">
        <v>0.76056731113406029</v>
      </c>
      <c r="AE68" s="188">
        <v>0.7619901405621079</v>
      </c>
      <c r="AF68" s="188">
        <v>0.76346027858973164</v>
      </c>
      <c r="AG68" s="188">
        <v>0.76499325132351381</v>
      </c>
      <c r="AH68" s="188">
        <v>0.76660982745210005</v>
      </c>
      <c r="AI68" s="188">
        <v>0.76831310561374566</v>
      </c>
      <c r="AJ68" s="188">
        <v>0.77010601180716021</v>
      </c>
      <c r="AK68" s="188">
        <v>0.77199127039858984</v>
      </c>
      <c r="AL68" s="188">
        <v>0.77397137743727518</v>
      </c>
      <c r="AM68" s="188">
        <v>0.77604859147081495</v>
      </c>
      <c r="AN68" s="188">
        <v>0.77822489827179531</v>
      </c>
      <c r="AO68" s="188">
        <v>0.7805023477492492</v>
      </c>
      <c r="AP68" s="188">
        <v>0.78288317178984357</v>
      </c>
      <c r="AQ68" s="188">
        <v>0.78536932088799971</v>
      </c>
      <c r="AR68" s="188">
        <v>0.78796242246623105</v>
      </c>
      <c r="AS68" s="188">
        <v>0.79066374578379006</v>
      </c>
      <c r="AT68" s="188">
        <v>0.79347465812739593</v>
      </c>
      <c r="AU68" s="188">
        <v>0.79639679394459284</v>
      </c>
      <c r="AV68" s="188">
        <v>0.7994314559833624</v>
      </c>
      <c r="AW68" s="188">
        <v>0.8025795522933219</v>
      </c>
      <c r="AX68" s="188">
        <v>0.80584155058898166</v>
      </c>
      <c r="AY68" s="188">
        <v>0.80921791005749066</v>
      </c>
      <c r="AZ68" s="188">
        <v>0.81270928027947675</v>
      </c>
      <c r="BA68" s="188">
        <v>0.81631599600893723</v>
      </c>
      <c r="BB68" s="188">
        <v>0.82003805684972297</v>
      </c>
      <c r="BC68" s="188">
        <v>0.82387512046881395</v>
      </c>
      <c r="BD68" s="188">
        <v>0.8278263856311544</v>
      </c>
      <c r="BE68" s="188">
        <v>0.83189051409670933</v>
      </c>
      <c r="BF68" s="188">
        <v>0.83606576173944003</v>
      </c>
      <c r="BG68" s="188">
        <v>0.84034998330961441</v>
      </c>
      <c r="BH68" s="188">
        <v>0.84474064893354339</v>
      </c>
      <c r="BI68" s="188">
        <v>0.84923469857586187</v>
      </c>
      <c r="BJ68" s="188">
        <v>0.85382847097489634</v>
      </c>
      <c r="BK68" s="188">
        <v>0.85851794484914878</v>
      </c>
      <c r="BL68" s="188">
        <v>0.86329882150722792</v>
      </c>
      <c r="BM68" s="188">
        <v>0.86816650146028507</v>
      </c>
      <c r="BN68" s="188">
        <v>0.87311569536337019</v>
      </c>
      <c r="BO68" s="188">
        <v>0.87814028336085204</v>
      </c>
      <c r="BP68" s="188">
        <v>0.88323376353039629</v>
      </c>
      <c r="BQ68" s="188">
        <v>0.88838952121454207</v>
      </c>
      <c r="BR68" s="188">
        <v>0.89360055646102521</v>
      </c>
      <c r="BS68" s="188">
        <v>0.89885907215817018</v>
      </c>
      <c r="BT68" s="188">
        <v>0.90415632962795689</v>
      </c>
      <c r="BU68" s="188">
        <v>0.90948281742997716</v>
      </c>
      <c r="BV68" s="188">
        <v>0.91482892472499611</v>
      </c>
      <c r="BW68" s="188">
        <v>0.92018509555491468</v>
      </c>
      <c r="BX68" s="188">
        <v>0.92554139891195597</v>
      </c>
      <c r="BY68" s="188">
        <v>0.93088734584265143</v>
      </c>
      <c r="BZ68" s="188">
        <v>0.93621268989663242</v>
      </c>
      <c r="CA68" s="188">
        <v>0.94150764429618616</v>
      </c>
      <c r="CB68" s="188">
        <v>0.9467631358783416</v>
      </c>
      <c r="CC68" s="188">
        <v>0.95197083904783486</v>
      </c>
      <c r="CD68" s="188">
        <v>0.95712335448512542</v>
      </c>
      <c r="CE68" s="188">
        <v>0.96221488023986634</v>
      </c>
      <c r="CF68" s="188">
        <v>0.96724053958997569</v>
      </c>
      <c r="CG68" s="188">
        <v>0.9721944523381657</v>
      </c>
      <c r="CH68" s="188">
        <v>0.9770687595842753</v>
      </c>
      <c r="CI68" s="188">
        <v>0.98185453544975843</v>
      </c>
      <c r="CJ68" s="188">
        <v>0.98654321250800769</v>
      </c>
      <c r="CK68" s="188">
        <v>0.99112658639500273</v>
      </c>
      <c r="CL68" s="188">
        <v>0.99559757792997716</v>
      </c>
      <c r="CM68" s="122">
        <v>0.99995088649225083</v>
      </c>
      <c r="CN68" s="62"/>
      <c r="CO68" s="62"/>
      <c r="CP68" s="62"/>
      <c r="CQ68" s="62"/>
      <c r="CR68" s="62"/>
      <c r="CS68" s="62"/>
      <c r="CT68" s="62"/>
      <c r="CU68" s="62"/>
      <c r="CV68" s="62"/>
      <c r="CW68" s="62"/>
      <c r="CX68" s="62"/>
      <c r="CY68" s="67"/>
      <c r="CZ68" s="67"/>
      <c r="DA68" s="67"/>
      <c r="DB68" s="67"/>
      <c r="DC68" s="67"/>
      <c r="DD68" s="67"/>
      <c r="DE68" s="67"/>
      <c r="DF68" s="67"/>
      <c r="DG68" s="67"/>
      <c r="DH68" s="67"/>
      <c r="DI68" s="67"/>
      <c r="DJ68" s="67"/>
      <c r="DP68" s="46"/>
      <c r="DW68" s="43">
        <v>1972</v>
      </c>
      <c r="DX68" s="16">
        <v>53400</v>
      </c>
      <c r="DY68" s="47">
        <v>55500</v>
      </c>
      <c r="DZ68" s="47">
        <v>57600</v>
      </c>
      <c r="EA68" s="47">
        <v>60600</v>
      </c>
      <c r="EB68" s="47">
        <v>61200</v>
      </c>
      <c r="EC68" s="47">
        <v>62700</v>
      </c>
      <c r="ED68" s="47">
        <v>65400</v>
      </c>
      <c r="EE68" s="47">
        <v>68400</v>
      </c>
      <c r="EF68" s="47">
        <v>72600</v>
      </c>
      <c r="EG68" s="47">
        <v>76200</v>
      </c>
      <c r="EH68" s="47">
        <v>80400</v>
      </c>
      <c r="EI68" s="47">
        <v>84900</v>
      </c>
      <c r="EJ68" s="47">
        <v>87000</v>
      </c>
      <c r="EK68" s="141">
        <v>87900</v>
      </c>
      <c r="EN68" s="43">
        <v>1972</v>
      </c>
      <c r="EO68" s="106">
        <v>32400</v>
      </c>
      <c r="EP68" s="127">
        <v>35700</v>
      </c>
      <c r="EQ68" s="149">
        <v>37800</v>
      </c>
      <c r="ER68" s="127">
        <v>39600</v>
      </c>
      <c r="ES68" s="127">
        <v>42000</v>
      </c>
      <c r="ET68" s="127">
        <v>43800</v>
      </c>
      <c r="EU68" s="127">
        <v>45000</v>
      </c>
      <c r="EV68" s="41">
        <v>48000</v>
      </c>
      <c r="EW68" s="127">
        <v>51300</v>
      </c>
      <c r="EX68" s="202">
        <v>53400</v>
      </c>
      <c r="EY68" s="47">
        <v>55500</v>
      </c>
      <c r="EZ68" s="47">
        <v>57600</v>
      </c>
      <c r="FA68" s="47">
        <v>60600</v>
      </c>
      <c r="FB68" s="47">
        <v>61200</v>
      </c>
      <c r="FC68" s="47">
        <v>62700</v>
      </c>
      <c r="FD68" s="47">
        <v>65400</v>
      </c>
      <c r="FE68" s="47">
        <v>68400</v>
      </c>
      <c r="FF68" s="47">
        <v>72600</v>
      </c>
      <c r="FG68" s="47">
        <v>76200</v>
      </c>
      <c r="FH68" s="47">
        <v>80400</v>
      </c>
      <c r="FI68" s="47">
        <v>84900</v>
      </c>
      <c r="FJ68" s="47">
        <v>87000</v>
      </c>
      <c r="FK68" s="141">
        <v>87900</v>
      </c>
    </row>
    <row r="69" spans="2:167" ht="15.75">
      <c r="B69" s="62"/>
      <c r="C69" s="62"/>
      <c r="D69" s="209">
        <f t="shared" si="0"/>
        <v>64</v>
      </c>
      <c r="E69" s="126">
        <f>[1]!PBGCLRF(65+D69/12)</f>
        <v>1.752</v>
      </c>
      <c r="F69" s="62"/>
      <c r="G69" s="62"/>
      <c r="H69" s="62"/>
      <c r="I69" s="62"/>
      <c r="J69" s="19">
        <v>65</v>
      </c>
      <c r="K69" s="122">
        <f t="shared" si="1"/>
        <v>0.63888888888889017</v>
      </c>
      <c r="L69" s="62"/>
      <c r="M69" s="297">
        <v>65</v>
      </c>
      <c r="N69" s="122">
        <f>[1]!LRFAEQ(0.065,"M",65,M69,0,"GM71","GM71","MP","Y","N","",65)</f>
        <v>1.9401098393289309</v>
      </c>
      <c r="O69" s="62"/>
      <c r="P69" s="88">
        <v>65</v>
      </c>
      <c r="Q69" s="48">
        <v>0.7385810812441217</v>
      </c>
      <c r="R69" s="188">
        <v>0.739483719151522</v>
      </c>
      <c r="S69" s="188">
        <v>0.74042178603262898</v>
      </c>
      <c r="T69" s="188">
        <v>0.74139603499717399</v>
      </c>
      <c r="U69" s="188">
        <v>0.74240723316352197</v>
      </c>
      <c r="V69" s="188">
        <v>0.74345617388189533</v>
      </c>
      <c r="W69" s="188">
        <v>0.74454367808111865</v>
      </c>
      <c r="X69" s="188">
        <v>0.74567059410877601</v>
      </c>
      <c r="Y69" s="188">
        <v>0.74683779595084077</v>
      </c>
      <c r="Z69" s="188">
        <v>0.74804617978508248</v>
      </c>
      <c r="AA69" s="188">
        <v>0.74929665407430213</v>
      </c>
      <c r="AB69" s="188">
        <v>0.75059013195365831</v>
      </c>
      <c r="AC69" s="188">
        <v>0.75192752161034193</v>
      </c>
      <c r="AD69" s="188">
        <v>0.75330971480673048</v>
      </c>
      <c r="AE69" s="188">
        <v>0.75473758417463344</v>
      </c>
      <c r="AF69" s="188">
        <v>0.7562119813017617</v>
      </c>
      <c r="AG69" s="188">
        <v>0.75774925446170061</v>
      </c>
      <c r="AH69" s="188">
        <v>0.7593714493518996</v>
      </c>
      <c r="AI69" s="188">
        <v>0.76108182640631739</v>
      </c>
      <c r="AJ69" s="188">
        <v>0.76288347427175218</v>
      </c>
      <c r="AK69" s="188">
        <v>0.76477927934134893</v>
      </c>
      <c r="AL69" s="188">
        <v>0.76677189738876583</v>
      </c>
      <c r="AM69" s="188">
        <v>0.76886374369627675</v>
      </c>
      <c r="AN69" s="188">
        <v>0.77105695559061704</v>
      </c>
      <c r="AO69" s="188">
        <v>0.77335375220558866</v>
      </c>
      <c r="AP69" s="188">
        <v>0.77575656371284496</v>
      </c>
      <c r="AQ69" s="188">
        <v>0.77826753782335523</v>
      </c>
      <c r="AR69" s="188">
        <v>0.78088849584065945</v>
      </c>
      <c r="AS69" s="188">
        <v>0.78362089562393844</v>
      </c>
      <c r="AT69" s="188">
        <v>0.78646631992435567</v>
      </c>
      <c r="AU69" s="188">
        <v>0.78942666221145741</v>
      </c>
      <c r="AV69" s="188">
        <v>0.79250348806309867</v>
      </c>
      <c r="AW69" s="188">
        <v>0.79569796837755979</v>
      </c>
      <c r="AX69" s="188">
        <v>0.7990108306842385</v>
      </c>
      <c r="AY69" s="188">
        <v>0.80244282181687754</v>
      </c>
      <c r="AZ69" s="188">
        <v>0.8059949252256482</v>
      </c>
      <c r="BA69" s="188">
        <v>0.80966782120143266</v>
      </c>
      <c r="BB69" s="188">
        <v>0.81346186617365768</v>
      </c>
      <c r="BC69" s="188">
        <v>0.81737708599508951</v>
      </c>
      <c r="BD69" s="188">
        <v>0.82141305039959522</v>
      </c>
      <c r="BE69" s="188">
        <v>0.82556878753106933</v>
      </c>
      <c r="BF69" s="188">
        <v>0.82984292434609097</v>
      </c>
      <c r="BG69" s="188">
        <v>0.83423369125987912</v>
      </c>
      <c r="BH69" s="188">
        <v>0.83873893918301079</v>
      </c>
      <c r="BI69" s="188">
        <v>0.84335598080277174</v>
      </c>
      <c r="BJ69" s="188">
        <v>0.84808150964235518</v>
      </c>
      <c r="BK69" s="188">
        <v>0.85291185640930633</v>
      </c>
      <c r="BL69" s="188">
        <v>0.85784307521809777</v>
      </c>
      <c r="BM69" s="188">
        <v>0.86287091411872463</v>
      </c>
      <c r="BN69" s="188">
        <v>0.8679903882644564</v>
      </c>
      <c r="BO69" s="188">
        <v>0.8731956181515228</v>
      </c>
      <c r="BP69" s="188">
        <v>0.8784803075435651</v>
      </c>
      <c r="BQ69" s="188">
        <v>0.88383803008127027</v>
      </c>
      <c r="BR69" s="188">
        <v>0.8892619283212676</v>
      </c>
      <c r="BS69" s="188">
        <v>0.89474425611786945</v>
      </c>
      <c r="BT69" s="188">
        <v>0.9002762100124958</v>
      </c>
      <c r="BU69" s="188">
        <v>0.90584810007241923</v>
      </c>
      <c r="BV69" s="188">
        <v>0.91145007401067535</v>
      </c>
      <c r="BW69" s="188">
        <v>0.91707227861330343</v>
      </c>
      <c r="BX69" s="188">
        <v>0.92270438520876019</v>
      </c>
      <c r="BY69" s="188">
        <v>0.9283353790622243</v>
      </c>
      <c r="BZ69" s="188">
        <v>0.93395442458386568</v>
      </c>
      <c r="CA69" s="188">
        <v>0.93955109893702249</v>
      </c>
      <c r="CB69" s="188">
        <v>0.94511566707322958</v>
      </c>
      <c r="CC69" s="188">
        <v>0.95063911964927494</v>
      </c>
      <c r="CD69" s="188">
        <v>0.95611337220573112</v>
      </c>
      <c r="CE69" s="188">
        <v>0.9615320144368078</v>
      </c>
      <c r="CF69" s="188">
        <v>0.96688958977688788</v>
      </c>
      <c r="CG69" s="188">
        <v>0.9721794866040937</v>
      </c>
      <c r="CH69" s="188">
        <v>0.97739286196591091</v>
      </c>
      <c r="CI69" s="188">
        <v>0.98251963362561745</v>
      </c>
      <c r="CJ69" s="188">
        <v>0.98755004643904332</v>
      </c>
      <c r="CK69" s="188">
        <v>0.99247468476714207</v>
      </c>
      <c r="CL69" s="188">
        <v>0.99728531602662407</v>
      </c>
      <c r="CM69" s="122">
        <v>1.0019756214808375</v>
      </c>
      <c r="CN69" s="62"/>
      <c r="CO69" s="62"/>
      <c r="CP69" s="62"/>
      <c r="CQ69" s="62"/>
      <c r="CR69" s="62"/>
      <c r="CS69" s="62"/>
      <c r="CT69" s="62"/>
      <c r="CU69" s="62"/>
      <c r="CV69" s="62"/>
      <c r="CW69" s="62"/>
      <c r="CX69" s="62"/>
      <c r="CY69" s="67"/>
      <c r="CZ69" s="67"/>
      <c r="DA69" s="67"/>
      <c r="DB69" s="67"/>
      <c r="DC69" s="67"/>
      <c r="DD69" s="67"/>
      <c r="DE69" s="67"/>
      <c r="DF69" s="67"/>
      <c r="DG69" s="67"/>
      <c r="DH69" s="67"/>
      <c r="DI69" s="67"/>
      <c r="DJ69" s="67"/>
      <c r="DW69" s="43">
        <v>1973</v>
      </c>
      <c r="DX69" s="16">
        <v>53400</v>
      </c>
      <c r="DY69" s="47">
        <v>55500</v>
      </c>
      <c r="DZ69" s="47">
        <v>57600</v>
      </c>
      <c r="EA69" s="47">
        <v>60600</v>
      </c>
      <c r="EB69" s="47">
        <v>61200</v>
      </c>
      <c r="EC69" s="47">
        <v>62700</v>
      </c>
      <c r="ED69" s="47">
        <v>65400</v>
      </c>
      <c r="EE69" s="47">
        <v>68400</v>
      </c>
      <c r="EF69" s="47">
        <v>72600</v>
      </c>
      <c r="EG69" s="47">
        <v>76200</v>
      </c>
      <c r="EH69" s="47">
        <v>80400</v>
      </c>
      <c r="EI69" s="47">
        <v>84900</v>
      </c>
      <c r="EJ69" s="47">
        <v>87000</v>
      </c>
      <c r="EK69" s="141">
        <v>87900</v>
      </c>
      <c r="EN69" s="43">
        <v>1973</v>
      </c>
      <c r="EO69" s="106">
        <v>32400</v>
      </c>
      <c r="EP69" s="127">
        <v>35700</v>
      </c>
      <c r="EQ69" s="149">
        <v>37800</v>
      </c>
      <c r="ER69" s="127">
        <v>39600</v>
      </c>
      <c r="ES69" s="127">
        <v>42000</v>
      </c>
      <c r="ET69" s="127">
        <v>43800</v>
      </c>
      <c r="EU69" s="127">
        <v>45000</v>
      </c>
      <c r="EV69" s="41">
        <v>48000</v>
      </c>
      <c r="EW69" s="127">
        <v>51300</v>
      </c>
      <c r="EX69" s="202">
        <v>53400</v>
      </c>
      <c r="EY69" s="47">
        <v>55500</v>
      </c>
      <c r="EZ69" s="47">
        <v>57600</v>
      </c>
      <c r="FA69" s="47">
        <v>60600</v>
      </c>
      <c r="FB69" s="47">
        <v>61200</v>
      </c>
      <c r="FC69" s="47">
        <v>62700</v>
      </c>
      <c r="FD69" s="47">
        <v>65400</v>
      </c>
      <c r="FE69" s="47">
        <v>68400</v>
      </c>
      <c r="FF69" s="47">
        <v>72600</v>
      </c>
      <c r="FG69" s="47">
        <v>76200</v>
      </c>
      <c r="FH69" s="47">
        <v>80400</v>
      </c>
      <c r="FI69" s="47">
        <v>84900</v>
      </c>
      <c r="FJ69" s="47">
        <v>87000</v>
      </c>
      <c r="FK69" s="141">
        <v>87900</v>
      </c>
    </row>
    <row r="70" spans="2:167" ht="15.75">
      <c r="B70" s="62"/>
      <c r="C70" s="62"/>
      <c r="D70" s="209">
        <f t="shared" si="0"/>
        <v>65</v>
      </c>
      <c r="E70" s="126">
        <f>[1]!PBGCLRF(65+D70/12)</f>
        <v>1.7749999999999999</v>
      </c>
      <c r="F70" s="62"/>
      <c r="G70" s="62"/>
      <c r="H70" s="62"/>
      <c r="I70" s="62"/>
      <c r="J70" s="19">
        <v>66</v>
      </c>
      <c r="K70" s="122">
        <f t="shared" ref="K70:K123" si="11">K69-$L$4</f>
        <v>0.63333333333333464</v>
      </c>
      <c r="L70" s="62"/>
      <c r="M70" s="297">
        <v>66</v>
      </c>
      <c r="N70" s="122">
        <f>[1]!LRFAEQ(0.065,"M",65,M70,0,"GM71","GM71","MP","Y","N","",65)</f>
        <v>1.9618525605333579</v>
      </c>
      <c r="O70" s="62"/>
      <c r="P70" s="88">
        <v>66</v>
      </c>
      <c r="Q70" s="48">
        <v>0.73135507160280078</v>
      </c>
      <c r="R70" s="188">
        <v>0.73226445699991638</v>
      </c>
      <c r="S70" s="188">
        <v>0.73320967791041913</v>
      </c>
      <c r="T70" s="188">
        <v>0.73419142604603049</v>
      </c>
      <c r="U70" s="188">
        <v>0.73521039866907845</v>
      </c>
      <c r="V70" s="188">
        <v>0.73626730113517858</v>
      </c>
      <c r="W70" s="188">
        <v>0.73736285995545903</v>
      </c>
      <c r="X70" s="188">
        <v>0.73849782377044082</v>
      </c>
      <c r="Y70" s="188">
        <v>0.73967296260879845</v>
      </c>
      <c r="Z70" s="188">
        <v>0.74088906529811827</v>
      </c>
      <c r="AA70" s="188">
        <v>0.74214693496912243</v>
      </c>
      <c r="AB70" s="188">
        <v>0.74344737732846811</v>
      </c>
      <c r="AC70" s="188">
        <v>0.74479119139187488</v>
      </c>
      <c r="AD70" s="188">
        <v>0.74617915789692746</v>
      </c>
      <c r="AE70" s="188">
        <v>0.7476120255469344</v>
      </c>
      <c r="AF70" s="188">
        <v>0.74909050685857059</v>
      </c>
      <c r="AG70" s="188">
        <v>0.75063179904908761</v>
      </c>
      <c r="AH70" s="188">
        <v>0.75225929790451296</v>
      </c>
      <c r="AI70" s="188">
        <v>0.7539764267996909</v>
      </c>
      <c r="AJ70" s="188">
        <v>0.75578643785587141</v>
      </c>
      <c r="AK70" s="188">
        <v>0.75769237985525628</v>
      </c>
      <c r="AL70" s="188">
        <v>0.75969706821411498</v>
      </c>
      <c r="AM70" s="188">
        <v>0.76180307449302087</v>
      </c>
      <c r="AN70" s="188">
        <v>0.76401268618604845</v>
      </c>
      <c r="AO70" s="188">
        <v>0.76632829045206008</v>
      </c>
      <c r="AP70" s="188">
        <v>0.7687525158070514</v>
      </c>
      <c r="AQ70" s="188">
        <v>0.77128770671579516</v>
      </c>
      <c r="AR70" s="188">
        <v>0.77393587689021415</v>
      </c>
      <c r="AS70" s="188">
        <v>0.776698670089774</v>
      </c>
      <c r="AT70" s="188">
        <v>0.77957788238970827</v>
      </c>
      <c r="AU70" s="188">
        <v>0.78257566642057963</v>
      </c>
      <c r="AV70" s="188">
        <v>0.78569385076673459</v>
      </c>
      <c r="AW70" s="188">
        <v>0.788933869119535</v>
      </c>
      <c r="AX70" s="188">
        <v>0.79229670853661249</v>
      </c>
      <c r="AY70" s="188">
        <v>0.7957834050864151</v>
      </c>
      <c r="AZ70" s="188">
        <v>0.79939528162914752</v>
      </c>
      <c r="BA70" s="188">
        <v>0.80313337115262851</v>
      </c>
      <c r="BB70" s="188">
        <v>0.80699839549670882</v>
      </c>
      <c r="BC70" s="188">
        <v>0.81099075932729148</v>
      </c>
      <c r="BD70" s="188">
        <v>0.81511041613601409</v>
      </c>
      <c r="BE70" s="188">
        <v>0.81935677523859696</v>
      </c>
      <c r="BF70" s="188">
        <v>0.82372885175259136</v>
      </c>
      <c r="BG70" s="188">
        <v>0.82822527161049408</v>
      </c>
      <c r="BH70" s="188">
        <v>0.83284428956145706</v>
      </c>
      <c r="BI70" s="188">
        <v>0.83758361786477731</v>
      </c>
      <c r="BJ70" s="188">
        <v>0.84244033523011153</v>
      </c>
      <c r="BK70" s="188">
        <v>0.84741115996336336</v>
      </c>
      <c r="BL70" s="188">
        <v>0.85249254009290965</v>
      </c>
      <c r="BM70" s="188">
        <v>0.85768061922098049</v>
      </c>
      <c r="BN70" s="188">
        <v>0.86297076988233734</v>
      </c>
      <c r="BO70" s="188">
        <v>0.86835740822904295</v>
      </c>
      <c r="BP70" s="188">
        <v>0.87383450246055328</v>
      </c>
      <c r="BQ70" s="188">
        <v>0.87939587812039488</v>
      </c>
      <c r="BR70" s="188">
        <v>0.88503488775527062</v>
      </c>
      <c r="BS70" s="188">
        <v>0.89074390452169316</v>
      </c>
      <c r="BT70" s="188">
        <v>0.89651412630746496</v>
      </c>
      <c r="BU70" s="188">
        <v>0.90233574598461175</v>
      </c>
      <c r="BV70" s="188">
        <v>0.90819872955917313</v>
      </c>
      <c r="BW70" s="188">
        <v>0.91409298582335563</v>
      </c>
      <c r="BX70" s="188">
        <v>0.92000784352283493</v>
      </c>
      <c r="BY70" s="188">
        <v>0.92593180853606805</v>
      </c>
      <c r="BZ70" s="188">
        <v>0.93185349860154509</v>
      </c>
      <c r="CA70" s="188">
        <v>0.93776189293609613</v>
      </c>
      <c r="CB70" s="188">
        <v>0.94364662991459003</v>
      </c>
      <c r="CC70" s="188">
        <v>0.94949804721926667</v>
      </c>
      <c r="CD70" s="188">
        <v>0.95530739871464887</v>
      </c>
      <c r="CE70" s="188">
        <v>0.961067681385816</v>
      </c>
      <c r="CF70" s="188">
        <v>0.96677286668833595</v>
      </c>
      <c r="CG70" s="188">
        <v>0.97241559700933289</v>
      </c>
      <c r="CH70" s="188">
        <v>0.97798599854484958</v>
      </c>
      <c r="CI70" s="188">
        <v>0.98347275717681981</v>
      </c>
      <c r="CJ70" s="188">
        <v>0.98886483986005858</v>
      </c>
      <c r="CK70" s="188">
        <v>0.99415151426042014</v>
      </c>
      <c r="CL70" s="188">
        <v>0.999323282418629</v>
      </c>
      <c r="CM70" s="122">
        <v>1.0043726990740003</v>
      </c>
      <c r="CN70" s="62"/>
      <c r="CO70" s="62"/>
      <c r="CP70" s="62"/>
      <c r="CQ70" s="62"/>
      <c r="CR70" s="62"/>
      <c r="CS70" s="62"/>
      <c r="CT70" s="62"/>
      <c r="CU70" s="62"/>
      <c r="CV70" s="62"/>
      <c r="CW70" s="62"/>
      <c r="CX70" s="62"/>
      <c r="CY70" s="67"/>
      <c r="CZ70" s="67"/>
      <c r="DA70" s="67"/>
      <c r="DB70" s="67"/>
      <c r="DC70" s="67"/>
      <c r="DD70" s="67"/>
      <c r="DE70" s="67"/>
      <c r="DF70" s="67"/>
      <c r="DG70" s="67"/>
      <c r="DH70" s="67"/>
      <c r="DI70" s="67"/>
      <c r="DJ70" s="67"/>
      <c r="DW70" s="43">
        <v>1974</v>
      </c>
      <c r="DX70" s="16">
        <v>53400</v>
      </c>
      <c r="DY70" s="47">
        <v>55500</v>
      </c>
      <c r="DZ70" s="47">
        <v>57600</v>
      </c>
      <c r="EA70" s="47">
        <v>60600</v>
      </c>
      <c r="EB70" s="47">
        <v>61200</v>
      </c>
      <c r="EC70" s="47">
        <v>62700</v>
      </c>
      <c r="ED70" s="47">
        <v>65400</v>
      </c>
      <c r="EE70" s="47">
        <v>68400</v>
      </c>
      <c r="EF70" s="47">
        <v>72600</v>
      </c>
      <c r="EG70" s="47">
        <v>76200</v>
      </c>
      <c r="EH70" s="47">
        <v>80400</v>
      </c>
      <c r="EI70" s="47">
        <v>84900</v>
      </c>
      <c r="EJ70" s="47">
        <v>87000</v>
      </c>
      <c r="EK70" s="141">
        <v>87900</v>
      </c>
      <c r="EN70" s="43">
        <v>1974</v>
      </c>
      <c r="EO70" s="106">
        <v>32400</v>
      </c>
      <c r="EP70" s="127">
        <v>35700</v>
      </c>
      <c r="EQ70" s="149">
        <v>37800</v>
      </c>
      <c r="ER70" s="127">
        <v>39600</v>
      </c>
      <c r="ES70" s="127">
        <v>42000</v>
      </c>
      <c r="ET70" s="127">
        <v>43800</v>
      </c>
      <c r="EU70" s="127">
        <v>45000</v>
      </c>
      <c r="EV70" s="41">
        <v>48000</v>
      </c>
      <c r="EW70" s="127">
        <v>51300</v>
      </c>
      <c r="EX70" s="202">
        <v>53400</v>
      </c>
      <c r="EY70" s="47">
        <v>55500</v>
      </c>
      <c r="EZ70" s="47">
        <v>57600</v>
      </c>
      <c r="FA70" s="47">
        <v>60600</v>
      </c>
      <c r="FB70" s="47">
        <v>61200</v>
      </c>
      <c r="FC70" s="47">
        <v>62700</v>
      </c>
      <c r="FD70" s="47">
        <v>65400</v>
      </c>
      <c r="FE70" s="47">
        <v>68400</v>
      </c>
      <c r="FF70" s="47">
        <v>72600</v>
      </c>
      <c r="FG70" s="47">
        <v>76200</v>
      </c>
      <c r="FH70" s="47">
        <v>80400</v>
      </c>
      <c r="FI70" s="47">
        <v>84900</v>
      </c>
      <c r="FJ70" s="47">
        <v>87000</v>
      </c>
      <c r="FK70" s="141">
        <v>87900</v>
      </c>
    </row>
    <row r="71" spans="2:167" ht="15.75">
      <c r="B71" s="62"/>
      <c r="C71" s="62"/>
      <c r="D71" s="209">
        <f t="shared" si="0"/>
        <v>66</v>
      </c>
      <c r="E71" s="126">
        <f>[1]!PBGCLRF(65+D71/12)</f>
        <v>1.798</v>
      </c>
      <c r="F71" s="62"/>
      <c r="G71" s="62"/>
      <c r="H71" s="62"/>
      <c r="I71" s="62"/>
      <c r="J71" s="19">
        <v>67</v>
      </c>
      <c r="K71" s="122">
        <f t="shared" si="11"/>
        <v>0.6277777777777791</v>
      </c>
      <c r="L71" s="62"/>
      <c r="M71" s="297">
        <v>67</v>
      </c>
      <c r="N71" s="122">
        <f>[1]!LRFAEQ(0.065,"M",65,M71,0,"GM71","GM71","MP","Y","N","",65)</f>
        <v>1.9835952817377851</v>
      </c>
      <c r="O71" s="62"/>
      <c r="P71" s="88">
        <v>67</v>
      </c>
      <c r="Q71" s="48">
        <v>0.72428259422542429</v>
      </c>
      <c r="R71" s="188">
        <v>0.72519887097064439</v>
      </c>
      <c r="S71" s="188">
        <v>0.72615144771642126</v>
      </c>
      <c r="T71" s="188">
        <v>0.72714095159459002</v>
      </c>
      <c r="U71" s="188">
        <v>0.72816800425233719</v>
      </c>
      <c r="V71" s="188">
        <v>0.72923322541770541</v>
      </c>
      <c r="W71" s="188">
        <v>0.73033723518611438</v>
      </c>
      <c r="X71" s="188">
        <v>0.73148066795675948</v>
      </c>
      <c r="Y71" s="188">
        <v>0.73266417288073715</v>
      </c>
      <c r="Z71" s="188">
        <v>0.73388841234275426</v>
      </c>
      <c r="AA71" s="188">
        <v>0.7351540583197741</v>
      </c>
      <c r="AB71" s="188">
        <v>0.7364617865409816</v>
      </c>
      <c r="AC71" s="188">
        <v>0.73781226251161369</v>
      </c>
      <c r="AD71" s="188">
        <v>0.73920613016483483</v>
      </c>
      <c r="AE71" s="188">
        <v>0.74064399780738333</v>
      </c>
      <c r="AF71" s="188">
        <v>0.74212642150562502</v>
      </c>
      <c r="AG71" s="188">
        <v>0.74367148348662337</v>
      </c>
      <c r="AH71" s="188">
        <v>0.74530400450530165</v>
      </c>
      <c r="AI71" s="188">
        <v>0.74702757222799765</v>
      </c>
      <c r="AJ71" s="188">
        <v>0.74884560340765161</v>
      </c>
      <c r="AK71" s="188">
        <v>0.75076130987141576</v>
      </c>
      <c r="AL71" s="188">
        <v>0.75277766663765044</v>
      </c>
      <c r="AM71" s="188">
        <v>0.75489740091602897</v>
      </c>
      <c r="AN71" s="188">
        <v>0.75712294907700894</v>
      </c>
      <c r="AO71" s="188">
        <v>0.75945686537682233</v>
      </c>
      <c r="AP71" s="188">
        <v>0.76190197703686136</v>
      </c>
      <c r="AQ71" s="188">
        <v>0.76446082478564414</v>
      </c>
      <c r="AR71" s="188">
        <v>0.7671356133990197</v>
      </c>
      <c r="AS71" s="188">
        <v>0.76992816979069945</v>
      </c>
      <c r="AT71" s="188">
        <v>0.77284050126868009</v>
      </c>
      <c r="AU71" s="188">
        <v>0.77587501975040118</v>
      </c>
      <c r="AV71" s="188">
        <v>0.77903381652178383</v>
      </c>
      <c r="AW71" s="188">
        <v>0.7823185874441525</v>
      </c>
      <c r="AX71" s="188">
        <v>0.78573057790218304</v>
      </c>
      <c r="AY71" s="188">
        <v>0.78927111377392234</v>
      </c>
      <c r="AZ71" s="188">
        <v>0.79294186180871495</v>
      </c>
      <c r="BA71" s="188">
        <v>0.79674421400761142</v>
      </c>
      <c r="BB71" s="188">
        <v>0.80067926571672021</v>
      </c>
      <c r="BC71" s="188">
        <v>0.80474781012829399</v>
      </c>
      <c r="BD71" s="188">
        <v>0.80895019595806084</v>
      </c>
      <c r="BE71" s="188">
        <v>0.81328622696305175</v>
      </c>
      <c r="BF71" s="188">
        <v>0.8177553226646922</v>
      </c>
      <c r="BG71" s="188">
        <v>0.82235652337717757</v>
      </c>
      <c r="BH71" s="188">
        <v>0.82708850977223114</v>
      </c>
      <c r="BI71" s="188">
        <v>0.83194941858557658</v>
      </c>
      <c r="BJ71" s="188">
        <v>0.83693674209606406</v>
      </c>
      <c r="BK71" s="188">
        <v>0.84204762001718247</v>
      </c>
      <c r="BL71" s="188">
        <v>0.84727893449391944</v>
      </c>
      <c r="BM71" s="188">
        <v>0.85262727105516289</v>
      </c>
      <c r="BN71" s="188">
        <v>0.85808841118373913</v>
      </c>
      <c r="BO71" s="188">
        <v>0.86365712196536815</v>
      </c>
      <c r="BP71" s="188">
        <v>0.86932769661574538</v>
      </c>
      <c r="BQ71" s="188">
        <v>0.87509427883882485</v>
      </c>
      <c r="BR71" s="188">
        <v>0.88095050116685913</v>
      </c>
      <c r="BS71" s="188">
        <v>0.88688892668665653</v>
      </c>
      <c r="BT71" s="188">
        <v>0.89290082437309259</v>
      </c>
      <c r="BU71" s="188">
        <v>0.8989763368504049</v>
      </c>
      <c r="BV71" s="188">
        <v>0.90510531454949339</v>
      </c>
      <c r="BW71" s="188">
        <v>0.91127749360254218</v>
      </c>
      <c r="BX71" s="188">
        <v>0.91748192164433473</v>
      </c>
      <c r="BY71" s="188">
        <v>0.92370667890397173</v>
      </c>
      <c r="BZ71" s="188">
        <v>0.92993988662539973</v>
      </c>
      <c r="CA71" s="188">
        <v>0.93616997371766997</v>
      </c>
      <c r="CB71" s="188">
        <v>0.9423859972186075</v>
      </c>
      <c r="CC71" s="188">
        <v>0.94857768501620165</v>
      </c>
      <c r="CD71" s="188">
        <v>0.95473566933575749</v>
      </c>
      <c r="CE71" s="188">
        <v>0.96085239365024377</v>
      </c>
      <c r="CF71" s="188">
        <v>0.96692128400765087</v>
      </c>
      <c r="CG71" s="188">
        <v>0.97293423675231749</v>
      </c>
      <c r="CH71" s="188">
        <v>0.97888031052134794</v>
      </c>
      <c r="CI71" s="188">
        <v>0.98474689185451858</v>
      </c>
      <c r="CJ71" s="188">
        <v>0.99052158355519382</v>
      </c>
      <c r="CK71" s="188">
        <v>0.99619223408076207</v>
      </c>
      <c r="CL71" s="188">
        <v>1.0017479676074419</v>
      </c>
      <c r="CM71" s="122">
        <v>1.0071801012602521</v>
      </c>
      <c r="CN71" s="62"/>
      <c r="CO71" s="62"/>
      <c r="CP71" s="62"/>
      <c r="CQ71" s="62"/>
      <c r="CR71" s="62"/>
      <c r="CS71" s="62"/>
      <c r="CT71" s="62"/>
      <c r="CU71" s="62"/>
      <c r="CV71" s="62"/>
      <c r="CW71" s="62"/>
      <c r="CX71" s="62"/>
      <c r="CY71" s="67"/>
      <c r="CZ71" s="67"/>
      <c r="DA71" s="67"/>
      <c r="DB71" s="67"/>
      <c r="DC71" s="67"/>
      <c r="DD71" s="67"/>
      <c r="DE71" s="67"/>
      <c r="DF71" s="67"/>
      <c r="DG71" s="67"/>
      <c r="DH71" s="67"/>
      <c r="DI71" s="67"/>
      <c r="DJ71" s="67"/>
      <c r="DW71" s="43">
        <v>1975</v>
      </c>
      <c r="DX71" s="16">
        <v>53400</v>
      </c>
      <c r="DY71" s="47">
        <v>55500</v>
      </c>
      <c r="DZ71" s="47">
        <v>57600</v>
      </c>
      <c r="EA71" s="47">
        <v>60600</v>
      </c>
      <c r="EB71" s="47">
        <v>61200</v>
      </c>
      <c r="EC71" s="47">
        <v>62700</v>
      </c>
      <c r="ED71" s="47">
        <v>65400</v>
      </c>
      <c r="EE71" s="47">
        <v>68400</v>
      </c>
      <c r="EF71" s="47">
        <v>72600</v>
      </c>
      <c r="EG71" s="47">
        <v>76200</v>
      </c>
      <c r="EH71" s="47">
        <v>80400</v>
      </c>
      <c r="EI71" s="47">
        <v>84900</v>
      </c>
      <c r="EJ71" s="47">
        <v>87000</v>
      </c>
      <c r="EK71" s="141">
        <v>87900</v>
      </c>
      <c r="EN71" s="43">
        <v>1975</v>
      </c>
      <c r="EO71" s="106">
        <v>32400</v>
      </c>
      <c r="EP71" s="127">
        <v>35700</v>
      </c>
      <c r="EQ71" s="149">
        <v>37800</v>
      </c>
      <c r="ER71" s="127">
        <v>39600</v>
      </c>
      <c r="ES71" s="127">
        <v>42000</v>
      </c>
      <c r="ET71" s="127">
        <v>43800</v>
      </c>
      <c r="EU71" s="127">
        <v>45000</v>
      </c>
      <c r="EV71" s="41">
        <v>48000</v>
      </c>
      <c r="EW71" s="127">
        <v>51300</v>
      </c>
      <c r="EX71" s="202">
        <v>53400</v>
      </c>
      <c r="EY71" s="47">
        <v>55500</v>
      </c>
      <c r="EZ71" s="47">
        <v>57600</v>
      </c>
      <c r="FA71" s="47">
        <v>60600</v>
      </c>
      <c r="FB71" s="47">
        <v>61200</v>
      </c>
      <c r="FC71" s="47">
        <v>62700</v>
      </c>
      <c r="FD71" s="47">
        <v>65400</v>
      </c>
      <c r="FE71" s="47">
        <v>68400</v>
      </c>
      <c r="FF71" s="47">
        <v>72600</v>
      </c>
      <c r="FG71" s="47">
        <v>76200</v>
      </c>
      <c r="FH71" s="47">
        <v>80400</v>
      </c>
      <c r="FI71" s="47">
        <v>84900</v>
      </c>
      <c r="FJ71" s="47">
        <v>87000</v>
      </c>
      <c r="FK71" s="141">
        <v>87900</v>
      </c>
    </row>
    <row r="72" spans="2:167" ht="15.75">
      <c r="B72" s="62"/>
      <c r="C72" s="62"/>
      <c r="D72" s="209">
        <f t="shared" si="0"/>
        <v>67</v>
      </c>
      <c r="E72" s="126">
        <f>[1]!PBGCLRF(65+D72/12)</f>
        <v>1.821</v>
      </c>
      <c r="F72" s="62"/>
      <c r="G72" s="62"/>
      <c r="H72" s="62"/>
      <c r="I72" s="62"/>
      <c r="J72" s="19">
        <v>68</v>
      </c>
      <c r="K72" s="122">
        <f t="shared" si="11"/>
        <v>0.62222222222222356</v>
      </c>
      <c r="L72" s="62"/>
      <c r="M72" s="297">
        <v>68</v>
      </c>
      <c r="N72" s="122">
        <f>[1]!LRFAEQ(0.065,"M",65,M72,0,"GM71","GM71","MP","Y","N","",65)</f>
        <v>2.0053380029422119</v>
      </c>
      <c r="O72" s="62"/>
      <c r="P72" s="88">
        <v>68</v>
      </c>
      <c r="Q72" s="48">
        <v>0.71740571126086994</v>
      </c>
      <c r="R72" s="188">
        <v>0.71832906369407346</v>
      </c>
      <c r="S72" s="188">
        <v>0.719289248424971</v>
      </c>
      <c r="T72" s="188">
        <v>0.72028682625607698</v>
      </c>
      <c r="U72" s="188">
        <v>0.72132233870635065</v>
      </c>
      <c r="V72" s="188">
        <v>0.72239631237760726</v>
      </c>
      <c r="W72" s="188">
        <v>0.72350926232946799</v>
      </c>
      <c r="X72" s="188">
        <v>0.72466169397303726</v>
      </c>
      <c r="Y72" s="188">
        <v>0.72585411790576404</v>
      </c>
      <c r="Z72" s="188">
        <v>0.72708704963144444</v>
      </c>
      <c r="AA72" s="188">
        <v>0.72836100700835549</v>
      </c>
      <c r="AB72" s="188">
        <v>0.72967650523884831</v>
      </c>
      <c r="AC72" s="188">
        <v>0.73103404930185412</v>
      </c>
      <c r="AD72" s="188">
        <v>0.73243411718001972</v>
      </c>
      <c r="AE72" s="188">
        <v>0.73387714587795183</v>
      </c>
      <c r="AF72" s="188">
        <v>0.73536351425327262</v>
      </c>
      <c r="AG72" s="188">
        <v>0.73691223790645288</v>
      </c>
      <c r="AH72" s="188">
        <v>0.73854964801380862</v>
      </c>
      <c r="AI72" s="188">
        <v>0.7402794982058426</v>
      </c>
      <c r="AJ72" s="188">
        <v>0.74210537159452883</v>
      </c>
      <c r="AK72" s="188">
        <v>0.74403064439211997</v>
      </c>
      <c r="AL72" s="188">
        <v>0.74605845179786812</v>
      </c>
      <c r="AM72" s="188">
        <v>0.74819167635103523</v>
      </c>
      <c r="AN72" s="188">
        <v>0.75043290204058788</v>
      </c>
      <c r="AO72" s="188">
        <v>0.75278484980131311</v>
      </c>
      <c r="AP72" s="188">
        <v>0.7552505466007815</v>
      </c>
      <c r="AQ72" s="188">
        <v>0.75783272956504766</v>
      </c>
      <c r="AR72" s="188">
        <v>0.76053379340190996</v>
      </c>
      <c r="AS72" s="188">
        <v>0.76335574576820697</v>
      </c>
      <c r="AT72" s="188">
        <v>0.76630080349897278</v>
      </c>
      <c r="AU72" s="188">
        <v>0.76937163839937162</v>
      </c>
      <c r="AV72" s="188">
        <v>0.7725706044476246</v>
      </c>
      <c r="AW72" s="188">
        <v>0.77589965877797007</v>
      </c>
      <c r="AX72" s="188">
        <v>0.77936030347935159</v>
      </c>
      <c r="AY72" s="188">
        <v>0.78295415425699622</v>
      </c>
      <c r="AZ72" s="188">
        <v>0.78668322557732073</v>
      </c>
      <c r="BA72" s="188">
        <v>0.7905492740034048</v>
      </c>
      <c r="BB72" s="188">
        <v>0.79455377596101551</v>
      </c>
      <c r="BC72" s="188">
        <v>0.79869792276699858</v>
      </c>
      <c r="BD72" s="188">
        <v>0.80298246916218474</v>
      </c>
      <c r="BE72" s="188">
        <v>0.80740762548184009</v>
      </c>
      <c r="BF72" s="188">
        <v>0.81197323056949899</v>
      </c>
      <c r="BG72" s="188">
        <v>0.81667875742633134</v>
      </c>
      <c r="BH72" s="188">
        <v>0.821523334019998</v>
      </c>
      <c r="BI72" s="188">
        <v>0.82650554566250045</v>
      </c>
      <c r="BJ72" s="188">
        <v>0.83162332468958444</v>
      </c>
      <c r="BK72" s="188">
        <v>0.83687426412430732</v>
      </c>
      <c r="BL72" s="188">
        <v>0.84225571884134631</v>
      </c>
      <c r="BM72" s="188">
        <v>0.84776476208203566</v>
      </c>
      <c r="BN72" s="188">
        <v>0.85339763417542247</v>
      </c>
      <c r="BO72" s="188">
        <v>0.85914950704208737</v>
      </c>
      <c r="BP72" s="188">
        <v>0.86501505969296066</v>
      </c>
      <c r="BQ72" s="188">
        <v>0.87098882265154443</v>
      </c>
      <c r="BR72" s="188">
        <v>0.87706478148951206</v>
      </c>
      <c r="BS72" s="188">
        <v>0.88323576248289959</v>
      </c>
      <c r="BT72" s="188">
        <v>0.88949317740265144</v>
      </c>
      <c r="BU72" s="188">
        <v>0.89582718900940617</v>
      </c>
      <c r="BV72" s="188">
        <v>0.90222760411906611</v>
      </c>
      <c r="BW72" s="188">
        <v>0.90868405820220433</v>
      </c>
      <c r="BX72" s="188">
        <v>0.91518538495191259</v>
      </c>
      <c r="BY72" s="188">
        <v>0.92171929863987889</v>
      </c>
      <c r="BZ72" s="188">
        <v>0.92827348141502442</v>
      </c>
      <c r="CA72" s="188">
        <v>0.93483586725032641</v>
      </c>
      <c r="CB72" s="188">
        <v>0.94139498710564429</v>
      </c>
      <c r="CC72" s="188">
        <v>0.9479400127621096</v>
      </c>
      <c r="CD72" s="188">
        <v>0.95446100863441696</v>
      </c>
      <c r="CE72" s="188">
        <v>0.96094992324450179</v>
      </c>
      <c r="CF72" s="188">
        <v>0.96739969068364473</v>
      </c>
      <c r="CG72" s="188">
        <v>0.97380148105393438</v>
      </c>
      <c r="CH72" s="188">
        <v>0.98014326269502317</v>
      </c>
      <c r="CI72" s="188">
        <v>0.98641106492637287</v>
      </c>
      <c r="CJ72" s="188">
        <v>0.99259104809203091</v>
      </c>
      <c r="CK72" s="188">
        <v>0.99866954232562888</v>
      </c>
      <c r="CL72" s="188">
        <v>1.0046341851597613</v>
      </c>
      <c r="CM72" s="122">
        <v>1.0104749453783168</v>
      </c>
      <c r="CN72" s="62"/>
      <c r="CO72" s="62"/>
      <c r="CP72" s="62"/>
      <c r="CQ72" s="62"/>
      <c r="CR72" s="62"/>
      <c r="CS72" s="62"/>
      <c r="CT72" s="62"/>
      <c r="CU72" s="62"/>
      <c r="CV72" s="62"/>
      <c r="CW72" s="62"/>
      <c r="CX72" s="62"/>
      <c r="CY72" s="67"/>
      <c r="CZ72" s="67"/>
      <c r="DA72" s="67"/>
      <c r="DB72" s="67"/>
      <c r="DC72" s="67"/>
      <c r="DD72" s="67"/>
      <c r="DE72" s="67"/>
      <c r="DF72" s="67"/>
      <c r="DG72" s="67"/>
      <c r="DH72" s="67"/>
      <c r="DI72" s="67"/>
      <c r="DJ72" s="67"/>
      <c r="DW72" s="43">
        <v>1976</v>
      </c>
      <c r="DX72" s="16">
        <v>53400</v>
      </c>
      <c r="DY72" s="47">
        <v>55500</v>
      </c>
      <c r="DZ72" s="47">
        <v>57600</v>
      </c>
      <c r="EA72" s="47">
        <v>60600</v>
      </c>
      <c r="EB72" s="47">
        <v>61200</v>
      </c>
      <c r="EC72" s="47">
        <v>62700</v>
      </c>
      <c r="ED72" s="47">
        <v>65400</v>
      </c>
      <c r="EE72" s="47">
        <v>68400</v>
      </c>
      <c r="EF72" s="47">
        <v>72600</v>
      </c>
      <c r="EG72" s="47">
        <v>76200</v>
      </c>
      <c r="EH72" s="47">
        <v>80400</v>
      </c>
      <c r="EI72" s="47">
        <v>84900</v>
      </c>
      <c r="EJ72" s="47">
        <v>87000</v>
      </c>
      <c r="EK72" s="141">
        <v>87900</v>
      </c>
      <c r="EN72" s="43">
        <v>1976</v>
      </c>
      <c r="EO72" s="106">
        <v>32400</v>
      </c>
      <c r="EP72" s="127">
        <v>35700</v>
      </c>
      <c r="EQ72" s="149">
        <v>37800</v>
      </c>
      <c r="ER72" s="127">
        <v>39600</v>
      </c>
      <c r="ES72" s="127">
        <v>42000</v>
      </c>
      <c r="ET72" s="127">
        <v>43800</v>
      </c>
      <c r="EU72" s="127">
        <v>45000</v>
      </c>
      <c r="EV72" s="41">
        <v>48000</v>
      </c>
      <c r="EW72" s="127">
        <v>51300</v>
      </c>
      <c r="EX72" s="202">
        <v>53400</v>
      </c>
      <c r="EY72" s="47">
        <v>55500</v>
      </c>
      <c r="EZ72" s="47">
        <v>57600</v>
      </c>
      <c r="FA72" s="47">
        <v>60600</v>
      </c>
      <c r="FB72" s="47">
        <v>61200</v>
      </c>
      <c r="FC72" s="47">
        <v>62700</v>
      </c>
      <c r="FD72" s="47">
        <v>65400</v>
      </c>
      <c r="FE72" s="47">
        <v>68400</v>
      </c>
      <c r="FF72" s="47">
        <v>72600</v>
      </c>
      <c r="FG72" s="47">
        <v>76200</v>
      </c>
      <c r="FH72" s="47">
        <v>80400</v>
      </c>
      <c r="FI72" s="47">
        <v>84900</v>
      </c>
      <c r="FJ72" s="47">
        <v>87000</v>
      </c>
      <c r="FK72" s="141">
        <v>87900</v>
      </c>
    </row>
    <row r="73" spans="2:167" ht="15.75">
      <c r="B73" s="62"/>
      <c r="C73" s="62"/>
      <c r="D73" s="209">
        <f t="shared" si="0"/>
        <v>68</v>
      </c>
      <c r="E73" s="126">
        <f>[1]!PBGCLRF(65+D73/12)</f>
        <v>1.8440000000000001</v>
      </c>
      <c r="F73" s="62"/>
      <c r="G73" s="62"/>
      <c r="H73" s="62"/>
      <c r="I73" s="62"/>
      <c r="J73" s="19">
        <v>69</v>
      </c>
      <c r="K73" s="122">
        <f t="shared" si="11"/>
        <v>0.61666666666666803</v>
      </c>
      <c r="L73" s="62"/>
      <c r="M73" s="297">
        <v>69</v>
      </c>
      <c r="N73" s="122">
        <f>[1]!LRFAEQ(0.065,"M",65,M73,0,"GM71","GM71","MP","Y","N","",65)</f>
        <v>2.0270807241466393</v>
      </c>
      <c r="O73" s="62"/>
      <c r="P73" s="88">
        <v>69</v>
      </c>
      <c r="Q73" s="48">
        <v>0.71077709139804401</v>
      </c>
      <c r="R73" s="188">
        <v>0.71170778987386529</v>
      </c>
      <c r="S73" s="188">
        <v>0.71267592649288192</v>
      </c>
      <c r="T73" s="188">
        <v>0.71368200146786775</v>
      </c>
      <c r="U73" s="188">
        <v>0.71472647311974558</v>
      </c>
      <c r="V73" s="188">
        <v>0.71580976861056833</v>
      </c>
      <c r="W73" s="188">
        <v>0.71693228816216337</v>
      </c>
      <c r="X73" s="188">
        <v>0.71809440810250158</v>
      </c>
      <c r="Y73" s="188">
        <v>0.71929648218284159</v>
      </c>
      <c r="Z73" s="188">
        <v>0.72053885731816547</v>
      </c>
      <c r="AA73" s="188">
        <v>0.72182187231002959</v>
      </c>
      <c r="AB73" s="188">
        <v>0.72314585392283703</v>
      </c>
      <c r="AC73" s="188">
        <v>0.72451111008840308</v>
      </c>
      <c r="AD73" s="188">
        <v>0.72591792010940226</v>
      </c>
      <c r="AE73" s="188">
        <v>0.72736651438292377</v>
      </c>
      <c r="AF73" s="188">
        <v>0.72885705706398696</v>
      </c>
      <c r="AG73" s="188">
        <v>0.73040955571923771</v>
      </c>
      <c r="AH73" s="188">
        <v>0.73205195583393889</v>
      </c>
      <c r="AI73" s="188">
        <v>0.73378817953282927</v>
      </c>
      <c r="AJ73" s="188">
        <v>0.73562197856216716</v>
      </c>
      <c r="AK73" s="188">
        <v>0.73755689565030902</v>
      </c>
      <c r="AL73" s="188">
        <v>0.73959622763751021</v>
      </c>
      <c r="AM73" s="188">
        <v>0.7417430128481467</v>
      </c>
      <c r="AN73" s="188">
        <v>0.74399998200190942</v>
      </c>
      <c r="AO73" s="188">
        <v>0.74637002267806407</v>
      </c>
      <c r="AP73" s="188">
        <v>0.74885636363813413</v>
      </c>
      <c r="AQ73" s="188">
        <v>0.75146193940271766</v>
      </c>
      <c r="AR73" s="188">
        <v>0.75418933421312206</v>
      </c>
      <c r="AS73" s="188">
        <v>0.75704073426164831</v>
      </c>
      <c r="AT73" s="188">
        <v>0.76001856499813991</v>
      </c>
      <c r="AU73" s="188">
        <v>0.76312575971427754</v>
      </c>
      <c r="AV73" s="188">
        <v>0.76636493573593234</v>
      </c>
      <c r="AW73" s="188">
        <v>0.76973831095914524</v>
      </c>
      <c r="AX73" s="188">
        <v>0.77324764222869413</v>
      </c>
      <c r="AY73" s="188">
        <v>0.7768948350638637</v>
      </c>
      <c r="AZ73" s="188">
        <v>0.78068225549890813</v>
      </c>
      <c r="BA73" s="188">
        <v>0.784612029787635</v>
      </c>
      <c r="BB73" s="188">
        <v>0.78868602247001174</v>
      </c>
      <c r="BC73" s="188">
        <v>0.79290583235040391</v>
      </c>
      <c r="BD73" s="188">
        <v>0.79727263110417823</v>
      </c>
      <c r="BE73" s="188">
        <v>0.80178704721193528</v>
      </c>
      <c r="BF73" s="188">
        <v>0.80644935278531349</v>
      </c>
      <c r="BG73" s="188">
        <v>0.81125947065877602</v>
      </c>
      <c r="BH73" s="188">
        <v>0.81621699722066376</v>
      </c>
      <c r="BI73" s="188">
        <v>0.82132098987244484</v>
      </c>
      <c r="BJ73" s="188">
        <v>0.82656984674081613</v>
      </c>
      <c r="BK73" s="188">
        <v>0.83196164431873154</v>
      </c>
      <c r="BL73" s="188">
        <v>0.83749424721486243</v>
      </c>
      <c r="BM73" s="188">
        <v>0.84316526093866151</v>
      </c>
      <c r="BN73" s="188">
        <v>0.84897143397743335</v>
      </c>
      <c r="BO73" s="188">
        <v>0.85490839495725968</v>
      </c>
      <c r="BP73" s="188">
        <v>0.86097126817845926</v>
      </c>
      <c r="BQ73" s="188">
        <v>0.86715504045252412</v>
      </c>
      <c r="BR73" s="188">
        <v>0.87345412632202457</v>
      </c>
      <c r="BS73" s="188">
        <v>0.87986169148161975</v>
      </c>
      <c r="BT73" s="188">
        <v>0.88636936410401024</v>
      </c>
      <c r="BU73" s="188">
        <v>0.89296739853369655</v>
      </c>
      <c r="BV73" s="188">
        <v>0.89964563320285129</v>
      </c>
      <c r="BW73" s="188">
        <v>0.90639368094883588</v>
      </c>
      <c r="BX73" s="188">
        <v>0.91320023467026468</v>
      </c>
      <c r="BY73" s="188">
        <v>0.92005270670751094</v>
      </c>
      <c r="BZ73" s="188">
        <v>0.92693840287152196</v>
      </c>
      <c r="CA73" s="188">
        <v>0.9338448245275548</v>
      </c>
      <c r="CB73" s="188">
        <v>0.94076003966895239</v>
      </c>
      <c r="CC73" s="188">
        <v>0.94767272810628767</v>
      </c>
      <c r="CD73" s="188">
        <v>0.95457245171928207</v>
      </c>
      <c r="CE73" s="188">
        <v>0.96145073926775049</v>
      </c>
      <c r="CF73" s="188">
        <v>0.96830010828034263</v>
      </c>
      <c r="CG73" s="188">
        <v>0.97511104938528548</v>
      </c>
      <c r="CH73" s="188">
        <v>0.98187043399838758</v>
      </c>
      <c r="CI73" s="188">
        <v>0.98856288661679637</v>
      </c>
      <c r="CJ73" s="188">
        <v>0.99517305402374856</v>
      </c>
      <c r="CK73" s="188">
        <v>1.0016856542044814</v>
      </c>
      <c r="CL73" s="188">
        <v>1.0080867313205515</v>
      </c>
      <c r="CM73" s="122">
        <v>1.0143647991710045</v>
      </c>
      <c r="CN73" s="62"/>
      <c r="CO73" s="62"/>
      <c r="CP73" s="62"/>
      <c r="CQ73" s="62"/>
      <c r="CR73" s="62"/>
      <c r="CS73" s="62"/>
      <c r="CT73" s="62"/>
      <c r="CU73" s="62"/>
      <c r="CV73" s="62"/>
      <c r="CW73" s="62"/>
      <c r="CX73" s="62"/>
      <c r="CY73" s="67"/>
      <c r="CZ73" s="67"/>
      <c r="DA73" s="67"/>
      <c r="DB73" s="67"/>
      <c r="DC73" s="67"/>
      <c r="DD73" s="67"/>
      <c r="DE73" s="67"/>
      <c r="DF73" s="67"/>
      <c r="DG73" s="67"/>
      <c r="DH73" s="67"/>
      <c r="DI73" s="67"/>
      <c r="DJ73" s="67"/>
      <c r="DW73" s="43">
        <v>1977</v>
      </c>
      <c r="DX73" s="16">
        <v>53400</v>
      </c>
      <c r="DY73" s="47">
        <v>55500</v>
      </c>
      <c r="DZ73" s="47">
        <v>57600</v>
      </c>
      <c r="EA73" s="47">
        <v>60600</v>
      </c>
      <c r="EB73" s="47">
        <v>61200</v>
      </c>
      <c r="EC73" s="47">
        <v>62700</v>
      </c>
      <c r="ED73" s="47">
        <v>65400</v>
      </c>
      <c r="EE73" s="47">
        <v>68400</v>
      </c>
      <c r="EF73" s="47">
        <v>72600</v>
      </c>
      <c r="EG73" s="47">
        <v>76200</v>
      </c>
      <c r="EH73" s="47">
        <v>80400</v>
      </c>
      <c r="EI73" s="47">
        <v>84900</v>
      </c>
      <c r="EJ73" s="47">
        <v>87000</v>
      </c>
      <c r="EK73" s="141">
        <v>87900</v>
      </c>
      <c r="EN73" s="43">
        <v>1977</v>
      </c>
      <c r="EO73" s="106">
        <v>32400</v>
      </c>
      <c r="EP73" s="127">
        <v>35700</v>
      </c>
      <c r="EQ73" s="149">
        <v>37800</v>
      </c>
      <c r="ER73" s="127">
        <v>39600</v>
      </c>
      <c r="ES73" s="127">
        <v>42000</v>
      </c>
      <c r="ET73" s="127">
        <v>43800</v>
      </c>
      <c r="EU73" s="127">
        <v>45000</v>
      </c>
      <c r="EV73" s="41">
        <v>48000</v>
      </c>
      <c r="EW73" s="127">
        <v>51300</v>
      </c>
      <c r="EX73" s="202">
        <v>53400</v>
      </c>
      <c r="EY73" s="47">
        <v>55500</v>
      </c>
      <c r="EZ73" s="47">
        <v>57600</v>
      </c>
      <c r="FA73" s="47">
        <v>60600</v>
      </c>
      <c r="FB73" s="47">
        <v>61200</v>
      </c>
      <c r="FC73" s="47">
        <v>62700</v>
      </c>
      <c r="FD73" s="47">
        <v>65400</v>
      </c>
      <c r="FE73" s="47">
        <v>68400</v>
      </c>
      <c r="FF73" s="47">
        <v>72600</v>
      </c>
      <c r="FG73" s="47">
        <v>76200</v>
      </c>
      <c r="FH73" s="47">
        <v>80400</v>
      </c>
      <c r="FI73" s="47">
        <v>84900</v>
      </c>
      <c r="FJ73" s="47">
        <v>87000</v>
      </c>
      <c r="FK73" s="141">
        <v>87900</v>
      </c>
    </row>
    <row r="74" spans="2:167" ht="15.75">
      <c r="B74" s="62"/>
      <c r="C74" s="62"/>
      <c r="D74" s="209">
        <f t="shared" si="0"/>
        <v>69</v>
      </c>
      <c r="E74" s="126">
        <f>[1]!PBGCLRF(65+D74/12)</f>
        <v>1.867</v>
      </c>
      <c r="F74" s="62"/>
      <c r="G74" s="62"/>
      <c r="H74" s="62"/>
      <c r="I74" s="62"/>
      <c r="J74" s="19">
        <v>70</v>
      </c>
      <c r="K74" s="122">
        <f t="shared" si="11"/>
        <v>0.61111111111111249</v>
      </c>
      <c r="L74" s="62"/>
      <c r="M74" s="297">
        <v>70</v>
      </c>
      <c r="N74" s="122">
        <f>[1]!LRFAEQ(0.065,"M",65,M74,0,"GM71","GM71","MP","Y","N","",65)</f>
        <v>2.0488234453510663</v>
      </c>
      <c r="O74" s="62"/>
      <c r="P74" s="88">
        <v>70</v>
      </c>
      <c r="Q74" s="48">
        <v>0.70445455618758324</v>
      </c>
      <c r="R74" s="188">
        <v>0.70539296900614112</v>
      </c>
      <c r="S74" s="188">
        <v>0.70636950310252145</v>
      </c>
      <c r="T74" s="188">
        <v>0.70738460709070039</v>
      </c>
      <c r="U74" s="188">
        <v>0.70843866120210941</v>
      </c>
      <c r="V74" s="188">
        <v>0.70953198815990604</v>
      </c>
      <c r="W74" s="188">
        <v>0.7106648645024265</v>
      </c>
      <c r="X74" s="188">
        <v>0.71183752451019089</v>
      </c>
      <c r="Y74" s="188">
        <v>0.71305016273457056</v>
      </c>
      <c r="Z74" s="188">
        <v>0.71430293449053051</v>
      </c>
      <c r="AA74" s="188">
        <v>0.71559597248219753</v>
      </c>
      <c r="AB74" s="188">
        <v>0.71692938416868734</v>
      </c>
      <c r="AC74" s="188">
        <v>0.71830324601896223</v>
      </c>
      <c r="AD74" s="188">
        <v>0.71971759438089533</v>
      </c>
      <c r="AE74" s="188">
        <v>0.7211724127932202</v>
      </c>
      <c r="AF74" s="188">
        <v>0.72266760728404345</v>
      </c>
      <c r="AG74" s="188">
        <v>0.72422423377722367</v>
      </c>
      <c r="AH74" s="188">
        <v>0.72587197793750868</v>
      </c>
      <c r="AI74" s="188">
        <v>0.72761493403549793</v>
      </c>
      <c r="AJ74" s="188">
        <v>0.72945702563501491</v>
      </c>
      <c r="AK74" s="188">
        <v>0.73140196463445672</v>
      </c>
      <c r="AL74" s="188">
        <v>0.7334532117242436</v>
      </c>
      <c r="AM74" s="188">
        <v>0.73561396228773646</v>
      </c>
      <c r="AN74" s="188">
        <v>0.73788709351369874</v>
      </c>
      <c r="AO74" s="188">
        <v>0.74027566015017776</v>
      </c>
      <c r="AP74" s="188">
        <v>0.74278309562147149</v>
      </c>
      <c r="AQ74" s="188">
        <v>0.74541253380379635</v>
      </c>
      <c r="AR74" s="188">
        <v>0.74816674879552048</v>
      </c>
      <c r="AS74" s="188">
        <v>0.75104810360795216</v>
      </c>
      <c r="AT74" s="188">
        <v>0.75405923184055146</v>
      </c>
      <c r="AU74" s="188">
        <v>0.75720333134384843</v>
      </c>
      <c r="AV74" s="188">
        <v>0.76048328442262014</v>
      </c>
      <c r="AW74" s="188">
        <v>0.76390156972608581</v>
      </c>
      <c r="AX74" s="188">
        <v>0.76746019700562307</v>
      </c>
      <c r="AY74" s="188">
        <v>0.77116136144049541</v>
      </c>
      <c r="AZ74" s="188">
        <v>0.77500778511215507</v>
      </c>
      <c r="BA74" s="188">
        <v>0.7790019691873511</v>
      </c>
      <c r="BB74" s="188">
        <v>0.78314617296996436</v>
      </c>
      <c r="BC74" s="188">
        <v>0.78744241163866824</v>
      </c>
      <c r="BD74" s="188">
        <v>0.79189228446603854</v>
      </c>
      <c r="BE74" s="188">
        <v>0.79649684967064194</v>
      </c>
      <c r="BF74" s="188">
        <v>0.80125682605033521</v>
      </c>
      <c r="BG74" s="188">
        <v>0.80617260249448264</v>
      </c>
      <c r="BH74" s="188">
        <v>0.81124426388429749</v>
      </c>
      <c r="BI74" s="188">
        <v>0.81647136303514745</v>
      </c>
      <c r="BJ74" s="188">
        <v>0.82185278889432167</v>
      </c>
      <c r="BK74" s="188">
        <v>0.82738713109197215</v>
      </c>
      <c r="BL74" s="188">
        <v>0.83307279957648517</v>
      </c>
      <c r="BM74" s="188">
        <v>0.838907975507306</v>
      </c>
      <c r="BN74" s="188">
        <v>0.84488996350039447</v>
      </c>
      <c r="BO74" s="188">
        <v>0.85101489976802946</v>
      </c>
      <c r="BP74" s="188">
        <v>0.85727841144461114</v>
      </c>
      <c r="BQ74" s="188">
        <v>0.86367601050733589</v>
      </c>
      <c r="BR74" s="188">
        <v>0.87020261775690622</v>
      </c>
      <c r="BS74" s="188">
        <v>0.87685181729239137</v>
      </c>
      <c r="BT74" s="188">
        <v>0.88361552953426614</v>
      </c>
      <c r="BU74" s="188">
        <v>0.89048417268918922</v>
      </c>
      <c r="BV74" s="188">
        <v>0.89744769291474569</v>
      </c>
      <c r="BW74" s="188">
        <v>0.90449576195346104</v>
      </c>
      <c r="BX74" s="188">
        <v>0.91161701057014521</v>
      </c>
      <c r="BY74" s="188">
        <v>0.91879861763214266</v>
      </c>
      <c r="BZ74" s="188">
        <v>0.92602757917568912</v>
      </c>
      <c r="CA74" s="188">
        <v>0.93329103147853532</v>
      </c>
      <c r="CB74" s="188">
        <v>0.94057665010736813</v>
      </c>
      <c r="CC74" s="188">
        <v>0.94787269547844466</v>
      </c>
      <c r="CD74" s="188">
        <v>0.95516830398422081</v>
      </c>
      <c r="CE74" s="188">
        <v>0.96245467461275114</v>
      </c>
      <c r="CF74" s="188">
        <v>0.96972400318481344</v>
      </c>
      <c r="CG74" s="188">
        <v>0.97696616773852496</v>
      </c>
      <c r="CH74" s="188">
        <v>0.98416695806255583</v>
      </c>
      <c r="CI74" s="188">
        <v>0.99130955636948825</v>
      </c>
      <c r="CJ74" s="188">
        <v>0.99837703136624445</v>
      </c>
      <c r="CK74" s="188">
        <v>1.0053523977046046</v>
      </c>
      <c r="CL74" s="188">
        <v>1.0122200020696088</v>
      </c>
      <c r="CM74" s="122">
        <v>1.0189667979876751</v>
      </c>
      <c r="CN74" s="62"/>
      <c r="CO74" s="62"/>
      <c r="CP74" s="62"/>
      <c r="CQ74" s="62"/>
      <c r="CR74" s="62"/>
      <c r="CS74" s="62"/>
      <c r="CT74" s="62"/>
      <c r="CU74" s="62"/>
      <c r="CV74" s="62"/>
      <c r="CW74" s="62"/>
      <c r="CX74" s="62"/>
      <c r="CY74" s="67"/>
      <c r="CZ74" s="67"/>
      <c r="DA74" s="67"/>
      <c r="DB74" s="67"/>
      <c r="DC74" s="67"/>
      <c r="DD74" s="67"/>
      <c r="DE74" s="67"/>
      <c r="DF74" s="67"/>
      <c r="DG74" s="67"/>
      <c r="DH74" s="67"/>
      <c r="DI74" s="67"/>
      <c r="DJ74" s="67"/>
      <c r="DW74" s="43">
        <v>1978</v>
      </c>
      <c r="DX74" s="16">
        <v>53400</v>
      </c>
      <c r="DY74" s="47">
        <v>55500</v>
      </c>
      <c r="DZ74" s="47">
        <v>57600</v>
      </c>
      <c r="EA74" s="47">
        <v>60600</v>
      </c>
      <c r="EB74" s="47">
        <v>61200</v>
      </c>
      <c r="EC74" s="47">
        <v>62700</v>
      </c>
      <c r="ED74" s="47">
        <v>65400</v>
      </c>
      <c r="EE74" s="47">
        <v>68400</v>
      </c>
      <c r="EF74" s="47">
        <v>72600</v>
      </c>
      <c r="EG74" s="47">
        <v>76200</v>
      </c>
      <c r="EH74" s="47">
        <v>80400</v>
      </c>
      <c r="EI74" s="47">
        <v>84900</v>
      </c>
      <c r="EJ74" s="47">
        <v>87000</v>
      </c>
      <c r="EK74" s="141">
        <v>87900</v>
      </c>
      <c r="EN74" s="43">
        <v>1978</v>
      </c>
      <c r="EO74" s="106">
        <v>32400</v>
      </c>
      <c r="EP74" s="127">
        <v>35700</v>
      </c>
      <c r="EQ74" s="149">
        <v>37800</v>
      </c>
      <c r="ER74" s="127">
        <v>39600</v>
      </c>
      <c r="ES74" s="127">
        <v>42000</v>
      </c>
      <c r="ET74" s="127">
        <v>43800</v>
      </c>
      <c r="EU74" s="127">
        <v>45000</v>
      </c>
      <c r="EV74" s="41">
        <v>48000</v>
      </c>
      <c r="EW74" s="127">
        <v>51300</v>
      </c>
      <c r="EX74" s="202">
        <v>53400</v>
      </c>
      <c r="EY74" s="47">
        <v>55500</v>
      </c>
      <c r="EZ74" s="47">
        <v>57600</v>
      </c>
      <c r="FA74" s="47">
        <v>60600</v>
      </c>
      <c r="FB74" s="47">
        <v>61200</v>
      </c>
      <c r="FC74" s="47">
        <v>62700</v>
      </c>
      <c r="FD74" s="47">
        <v>65400</v>
      </c>
      <c r="FE74" s="47">
        <v>68400</v>
      </c>
      <c r="FF74" s="47">
        <v>72600</v>
      </c>
      <c r="FG74" s="47">
        <v>76200</v>
      </c>
      <c r="FH74" s="47">
        <v>80400</v>
      </c>
      <c r="FI74" s="47">
        <v>84900</v>
      </c>
      <c r="FJ74" s="47">
        <v>87000</v>
      </c>
      <c r="FK74" s="141">
        <v>87900</v>
      </c>
    </row>
    <row r="75" spans="2:167" ht="15.75">
      <c r="B75" s="62"/>
      <c r="C75" s="62"/>
      <c r="D75" s="209">
        <f t="shared" si="0"/>
        <v>70</v>
      </c>
      <c r="E75" s="126">
        <f>[1]!PBGCLRF(65+D75/12)</f>
        <v>1.89</v>
      </c>
      <c r="F75" s="62"/>
      <c r="G75" s="62"/>
      <c r="H75" s="62"/>
      <c r="I75" s="62"/>
      <c r="J75" s="19">
        <v>71</v>
      </c>
      <c r="K75" s="122">
        <f t="shared" si="11"/>
        <v>0.60555555555555696</v>
      </c>
      <c r="L75" s="62"/>
      <c r="M75" s="297">
        <v>71</v>
      </c>
      <c r="N75" s="122">
        <f>[1]!LRFAEQ(0.065,"M",65,M75,0,"GM71","GM71","MP","Y","N","",65)</f>
        <v>2.0705661665554937</v>
      </c>
      <c r="O75" s="62"/>
      <c r="P75" s="88">
        <v>71</v>
      </c>
      <c r="Q75" s="48">
        <v>0.69849186049758438</v>
      </c>
      <c r="R75" s="188">
        <v>0.69943840372313237</v>
      </c>
      <c r="S75" s="188">
        <v>0.70042382920563817</v>
      </c>
      <c r="T75" s="188">
        <v>0.70144854455622241</v>
      </c>
      <c r="U75" s="188">
        <v>0.70251286050844219</v>
      </c>
      <c r="V75" s="188">
        <v>0.70361699923239096</v>
      </c>
      <c r="W75" s="188">
        <v>0.70476110578704865</v>
      </c>
      <c r="X75" s="188">
        <v>0.705945260003222</v>
      </c>
      <c r="Y75" s="188">
        <v>0.70716947991819856</v>
      </c>
      <c r="Z75" s="188">
        <v>0.70843372352696976</v>
      </c>
      <c r="AA75" s="188">
        <v>0.70973788811442606</v>
      </c>
      <c r="AB75" s="188">
        <v>0.71108182770146433</v>
      </c>
      <c r="AC75" s="188">
        <v>0.71246534856940158</v>
      </c>
      <c r="AD75" s="188">
        <v>0.71388820109198503</v>
      </c>
      <c r="AE75" s="188">
        <v>0.71535006753513442</v>
      </c>
      <c r="AF75" s="188">
        <v>0.71685054559580685</v>
      </c>
      <c r="AG75" s="188">
        <v>0.71841179997897742</v>
      </c>
      <c r="AH75" s="188">
        <v>0.72006539727299945</v>
      </c>
      <c r="AI75" s="188">
        <v>0.72181560842080084</v>
      </c>
      <c r="AJ75" s="188">
        <v>0.72366653285302251</v>
      </c>
      <c r="AK75" s="188">
        <v>0.72562205488671272</v>
      </c>
      <c r="AL75" s="188">
        <v>0.72768580138416195</v>
      </c>
      <c r="AM75" s="188">
        <v>0.72986112641144907</v>
      </c>
      <c r="AN75" s="188">
        <v>0.73215105372823175</v>
      </c>
      <c r="AO75" s="188">
        <v>0.73455880616939007</v>
      </c>
      <c r="AP75" s="188">
        <v>0.737088025444258</v>
      </c>
      <c r="AQ75" s="188">
        <v>0.73974204714659886</v>
      </c>
      <c r="AR75" s="188">
        <v>0.74252383604651129</v>
      </c>
      <c r="AS75" s="188">
        <v>0.74543593039810307</v>
      </c>
      <c r="AT75" s="188">
        <v>0.74848117173013262</v>
      </c>
      <c r="AU75" s="188">
        <v>0.751663026339773</v>
      </c>
      <c r="AV75" s="188">
        <v>0.75498464426229794</v>
      </c>
      <c r="AW75" s="188">
        <v>0.75844876535482086</v>
      </c>
      <c r="AX75" s="188">
        <v>0.76205765027357975</v>
      </c>
      <c r="AY75" s="188">
        <v>0.76581378347104589</v>
      </c>
      <c r="AZ75" s="188">
        <v>0.76972024773523962</v>
      </c>
      <c r="BA75" s="188">
        <v>0.77377992469404566</v>
      </c>
      <c r="BB75" s="188">
        <v>0.77799547481006293</v>
      </c>
      <c r="BC75" s="188">
        <v>0.78236933776595208</v>
      </c>
      <c r="BD75" s="188">
        <v>0.78690355019477665</v>
      </c>
      <c r="BE75" s="188">
        <v>0.79159961084248287</v>
      </c>
      <c r="BF75" s="188">
        <v>0.79645869837497274</v>
      </c>
      <c r="BG75" s="188">
        <v>0.80148168317425261</v>
      </c>
      <c r="BH75" s="188">
        <v>0.80666915754314439</v>
      </c>
      <c r="BI75" s="188">
        <v>0.81202119170723963</v>
      </c>
      <c r="BJ75" s="188">
        <v>0.81753718990185131</v>
      </c>
      <c r="BK75" s="188">
        <v>0.82321628389917867</v>
      </c>
      <c r="BL75" s="188">
        <v>0.82905746439967609</v>
      </c>
      <c r="BM75" s="188">
        <v>0.8350595305347005</v>
      </c>
      <c r="BN75" s="188">
        <v>0.84122038978475333</v>
      </c>
      <c r="BO75" s="188">
        <v>0.84753673492581927</v>
      </c>
      <c r="BP75" s="188">
        <v>0.85400475275118404</v>
      </c>
      <c r="BQ75" s="188">
        <v>0.8606205480773742</v>
      </c>
      <c r="BR75" s="188">
        <v>0.86737962546169378</v>
      </c>
      <c r="BS75" s="188">
        <v>0.87427606784186818</v>
      </c>
      <c r="BT75" s="188">
        <v>0.88130216646979609</v>
      </c>
      <c r="BU75" s="188">
        <v>0.88844857747827444</v>
      </c>
      <c r="BV75" s="188">
        <v>0.89570543232964195</v>
      </c>
      <c r="BW75" s="188">
        <v>0.90306254493106675</v>
      </c>
      <c r="BX75" s="188">
        <v>0.91050856663982638</v>
      </c>
      <c r="BY75" s="188">
        <v>0.91803051625260035</v>
      </c>
      <c r="BZ75" s="188">
        <v>0.92561515187501286</v>
      </c>
      <c r="CA75" s="188">
        <v>0.93324931703347969</v>
      </c>
      <c r="CB75" s="188">
        <v>0.94092037223959546</v>
      </c>
      <c r="CC75" s="188">
        <v>0.94861624066892014</v>
      </c>
      <c r="CD75" s="188">
        <v>0.95632572104435021</v>
      </c>
      <c r="CE75" s="188">
        <v>0.9640397891322805</v>
      </c>
      <c r="CF75" s="188">
        <v>0.97175043335146227</v>
      </c>
      <c r="CG75" s="188">
        <v>0.97944700535206231</v>
      </c>
      <c r="CH75" s="188">
        <v>0.98711424441510232</v>
      </c>
      <c r="CI75" s="188">
        <v>0.9947338712205257</v>
      </c>
      <c r="CJ75" s="188">
        <v>1.0022873202151399</v>
      </c>
      <c r="CK75" s="188">
        <v>1.009755815217271</v>
      </c>
      <c r="CL75" s="188">
        <v>1.0171219016955837</v>
      </c>
      <c r="CM75" s="122">
        <v>1.0243708713302535</v>
      </c>
      <c r="CN75" s="62"/>
      <c r="CO75" s="62"/>
      <c r="CP75" s="62"/>
      <c r="CQ75" s="62"/>
      <c r="CR75" s="62"/>
      <c r="CS75" s="62"/>
      <c r="CT75" s="62"/>
      <c r="CU75" s="62"/>
      <c r="CV75" s="62"/>
      <c r="CW75" s="62"/>
      <c r="CX75" s="62"/>
      <c r="CY75" s="67"/>
      <c r="CZ75" s="67"/>
      <c r="DA75" s="67"/>
      <c r="DB75" s="67"/>
      <c r="DC75" s="67"/>
      <c r="DD75" s="67"/>
      <c r="DE75" s="67"/>
      <c r="DF75" s="67"/>
      <c r="DG75" s="67"/>
      <c r="DH75" s="67"/>
      <c r="DI75" s="67"/>
      <c r="DJ75" s="67"/>
      <c r="DW75" s="43">
        <v>1979</v>
      </c>
      <c r="DX75" s="16">
        <v>53400</v>
      </c>
      <c r="DY75" s="47">
        <v>55500</v>
      </c>
      <c r="DZ75" s="47">
        <v>57600</v>
      </c>
      <c r="EA75" s="47">
        <v>60600</v>
      </c>
      <c r="EB75" s="47">
        <v>61200</v>
      </c>
      <c r="EC75" s="47">
        <v>62700</v>
      </c>
      <c r="ED75" s="47">
        <v>65400</v>
      </c>
      <c r="EE75" s="47">
        <v>68400</v>
      </c>
      <c r="EF75" s="47">
        <v>72600</v>
      </c>
      <c r="EG75" s="47">
        <v>76200</v>
      </c>
      <c r="EH75" s="47">
        <v>80400</v>
      </c>
      <c r="EI75" s="47">
        <v>84900</v>
      </c>
      <c r="EJ75" s="47">
        <v>87000</v>
      </c>
      <c r="EK75" s="141">
        <v>87900</v>
      </c>
      <c r="EN75" s="43">
        <v>1979</v>
      </c>
      <c r="EO75" s="106">
        <v>32400</v>
      </c>
      <c r="EP75" s="127">
        <v>35700</v>
      </c>
      <c r="EQ75" s="149">
        <v>37800</v>
      </c>
      <c r="ER75" s="127">
        <v>39600</v>
      </c>
      <c r="ES75" s="127">
        <v>42000</v>
      </c>
      <c r="ET75" s="127">
        <v>43800</v>
      </c>
      <c r="EU75" s="127">
        <v>45000</v>
      </c>
      <c r="EV75" s="41">
        <v>48000</v>
      </c>
      <c r="EW75" s="127">
        <v>51300</v>
      </c>
      <c r="EX75" s="202">
        <v>53400</v>
      </c>
      <c r="EY75" s="47">
        <v>55500</v>
      </c>
      <c r="EZ75" s="47">
        <v>57600</v>
      </c>
      <c r="FA75" s="47">
        <v>60600</v>
      </c>
      <c r="FB75" s="47">
        <v>61200</v>
      </c>
      <c r="FC75" s="47">
        <v>62700</v>
      </c>
      <c r="FD75" s="47">
        <v>65400</v>
      </c>
      <c r="FE75" s="47">
        <v>68400</v>
      </c>
      <c r="FF75" s="47">
        <v>72600</v>
      </c>
      <c r="FG75" s="47">
        <v>76200</v>
      </c>
      <c r="FH75" s="47">
        <v>80400</v>
      </c>
      <c r="FI75" s="47">
        <v>84900</v>
      </c>
      <c r="FJ75" s="47">
        <v>87000</v>
      </c>
      <c r="FK75" s="141">
        <v>87900</v>
      </c>
    </row>
    <row r="76" spans="2:167" ht="16.5" thickBot="1">
      <c r="B76" s="62"/>
      <c r="C76" s="62"/>
      <c r="D76" s="209">
        <f t="shared" si="0"/>
        <v>71</v>
      </c>
      <c r="E76" s="126">
        <f>[1]!PBGCLRF(65+D76/12)</f>
        <v>1.913</v>
      </c>
      <c r="F76" s="62"/>
      <c r="G76" s="62"/>
      <c r="H76" s="62"/>
      <c r="I76" s="62"/>
      <c r="J76" s="19">
        <v>72</v>
      </c>
      <c r="K76" s="122">
        <f t="shared" si="11"/>
        <v>0.60000000000000142</v>
      </c>
      <c r="L76" s="62"/>
      <c r="M76" s="297">
        <v>72</v>
      </c>
      <c r="N76" s="122">
        <f>[1]!LRFAEQ(0.065,"M",65,M76,0,"GM71","GM71","MP","Y","N","",65)</f>
        <v>2.0923088877599207</v>
      </c>
      <c r="O76" s="62"/>
      <c r="P76" s="88">
        <v>72</v>
      </c>
      <c r="Q76" s="48">
        <v>0.69294549654835869</v>
      </c>
      <c r="R76" s="188">
        <v>0.69390063884321385</v>
      </c>
      <c r="S76" s="188">
        <v>0.69489550778382603</v>
      </c>
      <c r="T76" s="188">
        <v>0.69593047661878571</v>
      </c>
      <c r="U76" s="188">
        <v>0.69700579693883691</v>
      </c>
      <c r="V76" s="188">
        <v>0.69812159803581719</v>
      </c>
      <c r="W76" s="188">
        <v>0.69927789541373164</v>
      </c>
      <c r="X76" s="188">
        <v>0.70047460277451812</v>
      </c>
      <c r="Y76" s="188">
        <v>0.7017115443934534</v>
      </c>
      <c r="Z76" s="188">
        <v>0.702988457781896</v>
      </c>
      <c r="AA76" s="188">
        <v>0.70430499430353544</v>
      </c>
      <c r="AB76" s="188">
        <v>0.70566071688840504</v>
      </c>
      <c r="AC76" s="188">
        <v>0.70705511816734956</v>
      </c>
      <c r="AD76" s="188">
        <v>0.70848761349917211</v>
      </c>
      <c r="AE76" s="188">
        <v>0.7099575295694478</v>
      </c>
      <c r="AF76" s="188">
        <v>0.71146408813503614</v>
      </c>
      <c r="AG76" s="188">
        <v>0.71303062773844417</v>
      </c>
      <c r="AH76" s="188">
        <v>0.71469075308976659</v>
      </c>
      <c r="AI76" s="188">
        <v>0.71644891703617142</v>
      </c>
      <c r="AJ76" s="188">
        <v>0.71830939992067133</v>
      </c>
      <c r="AK76" s="188">
        <v>0.72027626267400169</v>
      </c>
      <c r="AL76" s="188">
        <v>0.72235330123938157</v>
      </c>
      <c r="AM76" s="188">
        <v>0.7245440299983541</v>
      </c>
      <c r="AN76" s="188">
        <v>0.72685161958960498</v>
      </c>
      <c r="AO76" s="188">
        <v>0.72927946235331975</v>
      </c>
      <c r="AP76" s="188">
        <v>0.731831412717735</v>
      </c>
      <c r="AQ76" s="188">
        <v>0.73451101110183981</v>
      </c>
      <c r="AR76" s="188">
        <v>0.73732141402674967</v>
      </c>
      <c r="AS76" s="188">
        <v>0.74026533368625536</v>
      </c>
      <c r="AT76" s="188">
        <v>0.74334581959523649</v>
      </c>
      <c r="AU76" s="188">
        <v>0.74656661118877077</v>
      </c>
      <c r="AV76" s="188">
        <v>0.7499311298202016</v>
      </c>
      <c r="AW76" s="188">
        <v>0.75344237808558379</v>
      </c>
      <c r="AX76" s="188">
        <v>0.75710286576912145</v>
      </c>
      <c r="AY76" s="188">
        <v>0.76091536614323663</v>
      </c>
      <c r="AZ76" s="188">
        <v>0.76488332767261558</v>
      </c>
      <c r="BA76" s="188">
        <v>0.76901001827443105</v>
      </c>
      <c r="BB76" s="188">
        <v>0.77329850642491427</v>
      </c>
      <c r="BC76" s="188">
        <v>0.77775166427331544</v>
      </c>
      <c r="BD76" s="188">
        <v>0.78237197476562337</v>
      </c>
      <c r="BE76" s="188">
        <v>0.78716138687992787</v>
      </c>
      <c r="BF76" s="188">
        <v>0.7921215515464618</v>
      </c>
      <c r="BG76" s="188">
        <v>0.79725383599360988</v>
      </c>
      <c r="BH76" s="188">
        <v>0.80255935824391855</v>
      </c>
      <c r="BI76" s="188">
        <v>0.80803872679365707</v>
      </c>
      <c r="BJ76" s="188">
        <v>0.81369188415524929</v>
      </c>
      <c r="BK76" s="188">
        <v>0.81951853301188382</v>
      </c>
      <c r="BL76" s="188">
        <v>0.82551828009064521</v>
      </c>
      <c r="BM76" s="188">
        <v>0.8316905853371438</v>
      </c>
      <c r="BN76" s="188">
        <v>0.83803400491846869</v>
      </c>
      <c r="BO76" s="188">
        <v>0.84454583567635289</v>
      </c>
      <c r="BP76" s="188">
        <v>0.85122287925743834</v>
      </c>
      <c r="BQ76" s="188">
        <v>0.85806190123621873</v>
      </c>
      <c r="BR76" s="188">
        <v>0.86505906689672718</v>
      </c>
      <c r="BS76" s="188">
        <v>0.87220903875323552</v>
      </c>
      <c r="BT76" s="188">
        <v>0.87950455871368149</v>
      </c>
      <c r="BU76" s="188">
        <v>0.88693659734623231</v>
      </c>
      <c r="BV76" s="188">
        <v>0.89449555124783908</v>
      </c>
      <c r="BW76" s="188">
        <v>0.90217146178771157</v>
      </c>
      <c r="BX76" s="188">
        <v>0.90995308511970951</v>
      </c>
      <c r="BY76" s="188">
        <v>0.91782735651768821</v>
      </c>
      <c r="BZ76" s="188">
        <v>0.92578087329027481</v>
      </c>
      <c r="CA76" s="188">
        <v>0.93380026444371145</v>
      </c>
      <c r="CB76" s="188">
        <v>0.94187265857328206</v>
      </c>
      <c r="CC76" s="188">
        <v>0.94998573201124381</v>
      </c>
      <c r="CD76" s="188">
        <v>0.9581280454052471</v>
      </c>
      <c r="CE76" s="188">
        <v>0.96629047287673753</v>
      </c>
      <c r="CF76" s="188">
        <v>0.97446493081797425</v>
      </c>
      <c r="CG76" s="188">
        <v>0.98264035033174357</v>
      </c>
      <c r="CH76" s="188">
        <v>0.99080046685973211</v>
      </c>
      <c r="CI76" s="188">
        <v>0.99892553192679179</v>
      </c>
      <c r="CJ76" s="188">
        <v>1.0069953068017341</v>
      </c>
      <c r="CK76" s="188">
        <v>1.0149891419846915</v>
      </c>
      <c r="CL76" s="188">
        <v>1.0228876790888881</v>
      </c>
      <c r="CM76" s="122">
        <v>1.0306744459770434</v>
      </c>
      <c r="CN76" s="62"/>
      <c r="CO76" s="62"/>
      <c r="CP76" s="62"/>
      <c r="CQ76" s="62"/>
      <c r="CR76" s="62"/>
      <c r="CS76" s="62"/>
      <c r="CT76" s="62"/>
      <c r="CU76" s="62"/>
      <c r="CV76" s="62"/>
      <c r="CW76" s="62"/>
      <c r="CX76" s="62"/>
      <c r="CY76" s="67"/>
      <c r="CZ76" s="67"/>
      <c r="DA76" s="67"/>
      <c r="DB76" s="67"/>
      <c r="DC76" s="67"/>
      <c r="DD76" s="67"/>
      <c r="DE76" s="67"/>
      <c r="DF76" s="67"/>
      <c r="DG76" s="67"/>
      <c r="DH76" s="67"/>
      <c r="DI76" s="67"/>
      <c r="DJ76" s="67"/>
      <c r="DW76" s="96">
        <v>1980</v>
      </c>
      <c r="DX76" s="142">
        <v>53400</v>
      </c>
      <c r="DY76" s="74">
        <v>55500</v>
      </c>
      <c r="DZ76" s="74">
        <v>57600</v>
      </c>
      <c r="EA76" s="74">
        <v>60600</v>
      </c>
      <c r="EB76" s="74">
        <v>61200</v>
      </c>
      <c r="EC76" s="74">
        <v>62700</v>
      </c>
      <c r="ED76" s="74">
        <v>65400</v>
      </c>
      <c r="EE76" s="74">
        <v>68400</v>
      </c>
      <c r="EF76" s="74">
        <v>72600</v>
      </c>
      <c r="EG76" s="74">
        <v>76200</v>
      </c>
      <c r="EH76" s="74">
        <v>80400</v>
      </c>
      <c r="EI76" s="74">
        <v>84900</v>
      </c>
      <c r="EJ76" s="74">
        <v>87000</v>
      </c>
      <c r="EK76" s="191">
        <v>87900</v>
      </c>
      <c r="EN76" s="96">
        <v>1980</v>
      </c>
      <c r="EO76" s="178">
        <v>32400</v>
      </c>
      <c r="EP76" s="143">
        <v>35700</v>
      </c>
      <c r="EQ76" s="135">
        <v>37800</v>
      </c>
      <c r="ER76" s="143">
        <v>39600</v>
      </c>
      <c r="ES76" s="143">
        <v>42000</v>
      </c>
      <c r="ET76" s="143">
        <v>43800</v>
      </c>
      <c r="EU76" s="143">
        <v>45000</v>
      </c>
      <c r="EV76" s="219">
        <v>48000</v>
      </c>
      <c r="EW76" s="143">
        <v>51300</v>
      </c>
      <c r="EX76" s="177">
        <v>53400</v>
      </c>
      <c r="EY76" s="74">
        <v>55500</v>
      </c>
      <c r="EZ76" s="74">
        <v>57600</v>
      </c>
      <c r="FA76" s="74">
        <v>60600</v>
      </c>
      <c r="FB76" s="74">
        <v>61200</v>
      </c>
      <c r="FC76" s="74">
        <v>62700</v>
      </c>
      <c r="FD76" s="74">
        <v>65400</v>
      </c>
      <c r="FE76" s="74">
        <v>68400</v>
      </c>
      <c r="FF76" s="74">
        <v>72600</v>
      </c>
      <c r="FG76" s="74">
        <v>76200</v>
      </c>
      <c r="FH76" s="74">
        <v>80400</v>
      </c>
      <c r="FI76" s="74">
        <v>84900</v>
      </c>
      <c r="FJ76" s="74">
        <v>87000</v>
      </c>
      <c r="FK76" s="191">
        <v>87900</v>
      </c>
    </row>
    <row r="77" spans="2:167" ht="16.5" thickTop="1">
      <c r="B77" s="62"/>
      <c r="C77" s="62"/>
      <c r="D77" s="209">
        <f t="shared" si="0"/>
        <v>72</v>
      </c>
      <c r="E77" s="126">
        <f>[1]!PBGCLRF(65+D77/12)</f>
        <v>1.9359999999999999</v>
      </c>
      <c r="F77" s="62"/>
      <c r="G77" s="62"/>
      <c r="H77" s="62"/>
      <c r="I77" s="62"/>
      <c r="J77" s="19">
        <v>73</v>
      </c>
      <c r="K77" s="122">
        <f t="shared" si="11"/>
        <v>0.59444444444444589</v>
      </c>
      <c r="L77" s="62"/>
      <c r="M77" s="297">
        <v>73</v>
      </c>
      <c r="N77" s="122">
        <f>[1]!LRFAEQ(0.065,"M",65,M77,0,"GM71","GM71","MP","Y","N","",65)</f>
        <v>2.1180669802695395</v>
      </c>
      <c r="O77" s="62"/>
      <c r="P77" s="88">
        <v>73</v>
      </c>
      <c r="Q77" s="48">
        <v>0.68787108231230487</v>
      </c>
      <c r="R77" s="188">
        <v>0.68883534516124967</v>
      </c>
      <c r="S77" s="188">
        <v>0.68984026726861547</v>
      </c>
      <c r="T77" s="188">
        <v>0.69088619653352779</v>
      </c>
      <c r="U77" s="188">
        <v>0.69197333120737103</v>
      </c>
      <c r="V77" s="188">
        <v>0.69310171726755687</v>
      </c>
      <c r="W77" s="188">
        <v>0.69427124665050177</v>
      </c>
      <c r="X77" s="188">
        <v>0.69548166582993309</v>
      </c>
      <c r="Y77" s="188">
        <v>0.69673258824777762</v>
      </c>
      <c r="Z77" s="188">
        <v>0.6980235070609232</v>
      </c>
      <c r="AA77" s="188">
        <v>0.69935379664216912</v>
      </c>
      <c r="AB77" s="188">
        <v>0.70072271156780308</v>
      </c>
      <c r="AC77" s="188">
        <v>0.70212938208696896</v>
      </c>
      <c r="AD77" s="188">
        <v>0.70357283270978999</v>
      </c>
      <c r="AE77" s="188">
        <v>0.70505197184308466</v>
      </c>
      <c r="AF77" s="188">
        <v>0.70656557605559778</v>
      </c>
      <c r="AG77" s="188">
        <v>0.70813821671555088</v>
      </c>
      <c r="AH77" s="188">
        <v>0.70980571295820216</v>
      </c>
      <c r="AI77" s="188">
        <v>0.71157270489145297</v>
      </c>
      <c r="AJ77" s="188">
        <v>0.71344365960034506</v>
      </c>
      <c r="AK77" s="188">
        <v>0.71542281989658218</v>
      </c>
      <c r="AL77" s="188">
        <v>0.71751415466680779</v>
      </c>
      <c r="AM77" s="188">
        <v>0.71972134074239535</v>
      </c>
      <c r="AN77" s="188">
        <v>0.72204769571122152</v>
      </c>
      <c r="AO77" s="188">
        <v>0.72449678314194543</v>
      </c>
      <c r="AP77" s="188">
        <v>0.72707267558076183</v>
      </c>
      <c r="AQ77" s="188">
        <v>0.72977912215505436</v>
      </c>
      <c r="AR77" s="188">
        <v>0.73261947282026174</v>
      </c>
      <c r="AS77" s="188">
        <v>0.73559661235466778</v>
      </c>
      <c r="AT77" s="188">
        <v>0.73871379872637954</v>
      </c>
      <c r="AU77" s="188">
        <v>0.74197505009096898</v>
      </c>
      <c r="AV77" s="188">
        <v>0.74538406349307618</v>
      </c>
      <c r="AW77" s="188">
        <v>0.74894410650469834</v>
      </c>
      <c r="AX77" s="188">
        <v>0.75265793711489493</v>
      </c>
      <c r="AY77" s="188">
        <v>0.75652861729630716</v>
      </c>
      <c r="AZ77" s="188">
        <v>0.760559966703511</v>
      </c>
      <c r="BA77" s="188">
        <v>0.76475564576801935</v>
      </c>
      <c r="BB77" s="188">
        <v>0.76911913821403655</v>
      </c>
      <c r="BC77" s="188">
        <v>0.77365375723762941</v>
      </c>
      <c r="BD77" s="188">
        <v>0.77836244086043904</v>
      </c>
      <c r="BE77" s="188">
        <v>0.78324759693609036</v>
      </c>
      <c r="BF77" s="188">
        <v>0.78831135990123891</v>
      </c>
      <c r="BG77" s="188">
        <v>0.79355560844520223</v>
      </c>
      <c r="BH77" s="188">
        <v>0.79898200475971681</v>
      </c>
      <c r="BI77" s="188">
        <v>0.8045917158844601</v>
      </c>
      <c r="BJ77" s="188">
        <v>0.81038524427210856</v>
      </c>
      <c r="BK77" s="188">
        <v>0.81636289100110537</v>
      </c>
      <c r="BL77" s="188">
        <v>0.82252491449257881</v>
      </c>
      <c r="BM77" s="188">
        <v>0.82887147900285452</v>
      </c>
      <c r="BN77" s="188">
        <v>0.83540183610990049</v>
      </c>
      <c r="BO77" s="188">
        <v>0.84211393304862048</v>
      </c>
      <c r="BP77" s="188">
        <v>0.84900524039689973</v>
      </c>
      <c r="BQ77" s="188">
        <v>0.85607325172622784</v>
      </c>
      <c r="BR77" s="188">
        <v>0.86331487127174467</v>
      </c>
      <c r="BS77" s="188">
        <v>0.87072542132183772</v>
      </c>
      <c r="BT77" s="188">
        <v>0.87829817416321831</v>
      </c>
      <c r="BU77" s="188">
        <v>0.88602449198752886</v>
      </c>
      <c r="BV77" s="188">
        <v>0.89389511949172384</v>
      </c>
      <c r="BW77" s="188">
        <v>0.90190041389681996</v>
      </c>
      <c r="BX77" s="188">
        <v>0.9100293222480873</v>
      </c>
      <c r="BY77" s="188">
        <v>0.91826877288045272</v>
      </c>
      <c r="BZ77" s="188">
        <v>0.92660528275040588</v>
      </c>
      <c r="CA77" s="188">
        <v>0.93502535065498082</v>
      </c>
      <c r="CB77" s="188">
        <v>0.94351596368412871</v>
      </c>
      <c r="CC77" s="188">
        <v>0.95206464901605881</v>
      </c>
      <c r="CD77" s="188">
        <v>0.96065983941388589</v>
      </c>
      <c r="CE77" s="188">
        <v>0.96929244586912622</v>
      </c>
      <c r="CF77" s="188">
        <v>0.97795446810425046</v>
      </c>
      <c r="CG77" s="188">
        <v>0.9866345440775528</v>
      </c>
      <c r="CH77" s="188">
        <v>0.99531546730864295</v>
      </c>
      <c r="CI77" s="188">
        <v>1.0039760230468755</v>
      </c>
      <c r="CJ77" s="188">
        <v>1.0125942694343595</v>
      </c>
      <c r="CK77" s="188">
        <v>1.0211476162498201</v>
      </c>
      <c r="CL77" s="188">
        <v>1.0296147007081269</v>
      </c>
      <c r="CM77" s="122">
        <v>1.0379771850733515</v>
      </c>
      <c r="CN77" s="62"/>
      <c r="CO77" s="62"/>
      <c r="CP77" s="62"/>
      <c r="CQ77" s="62"/>
      <c r="CR77" s="62"/>
      <c r="CS77" s="62"/>
      <c r="CT77" s="62"/>
      <c r="CU77" s="62"/>
      <c r="CV77" s="62"/>
      <c r="CW77" s="62"/>
      <c r="CX77" s="62"/>
      <c r="CY77" s="67"/>
      <c r="CZ77" s="67"/>
      <c r="DA77" s="67"/>
      <c r="DB77" s="67"/>
      <c r="DC77" s="67"/>
      <c r="DD77" s="67"/>
      <c r="DE77" s="67"/>
      <c r="DF77" s="67"/>
      <c r="DG77" s="67"/>
      <c r="DH77" s="67"/>
      <c r="DI77" s="67"/>
      <c r="DJ77" s="67"/>
    </row>
    <row r="78" spans="2:167" ht="15.75">
      <c r="B78" s="62"/>
      <c r="C78" s="62"/>
      <c r="D78" s="209">
        <f t="shared" si="0"/>
        <v>73</v>
      </c>
      <c r="E78" s="126">
        <f>[1]!PBGCLRF(65+D78/12)</f>
        <v>1.9590000000000001</v>
      </c>
      <c r="F78" s="62"/>
      <c r="G78" s="62"/>
      <c r="H78" s="62"/>
      <c r="I78" s="62"/>
      <c r="J78" s="19">
        <v>74</v>
      </c>
      <c r="K78" s="122">
        <f t="shared" si="11"/>
        <v>0.58888888888889035</v>
      </c>
      <c r="L78" s="62"/>
      <c r="M78" s="297">
        <v>74</v>
      </c>
      <c r="N78" s="122">
        <f>[1]!LRFAEQ(0.065,"M",65,M78,0,"GM71","GM71","MP","Y","N","",65)</f>
        <v>2.1438250727791579</v>
      </c>
      <c r="O78" s="62"/>
      <c r="P78" s="88">
        <v>74</v>
      </c>
      <c r="Q78" s="48">
        <v>0.68330506776392641</v>
      </c>
      <c r="R78" s="188">
        <v>0.68427896482541783</v>
      </c>
      <c r="S78" s="188">
        <v>0.68529454302957671</v>
      </c>
      <c r="T78" s="188">
        <v>0.68635213676191964</v>
      </c>
      <c r="U78" s="188">
        <v>0.68745189935152895</v>
      </c>
      <c r="V78" s="188">
        <v>0.6885937977122264</v>
      </c>
      <c r="W78" s="188">
        <v>0.68977760817975908</v>
      </c>
      <c r="X78" s="188">
        <v>0.69100291321078688</v>
      </c>
      <c r="Y78" s="188">
        <v>0.69226910982888157</v>
      </c>
      <c r="Z78" s="188">
        <v>0.69357542234603331</v>
      </c>
      <c r="AA78" s="188">
        <v>0.6949209152780903</v>
      </c>
      <c r="AB78" s="188">
        <v>0.6963044931390735</v>
      </c>
      <c r="AC78" s="188">
        <v>0.69772489711567354</v>
      </c>
      <c r="AD78" s="188">
        <v>0.69918069743002498</v>
      </c>
      <c r="AE78" s="188">
        <v>0.70067031199075536</v>
      </c>
      <c r="AF78" s="188">
        <v>0.70219199141029343</v>
      </c>
      <c r="AG78" s="188">
        <v>0.70377160454308585</v>
      </c>
      <c r="AH78" s="188">
        <v>0.70544737334021779</v>
      </c>
      <c r="AI78" s="188">
        <v>0.70722413084376878</v>
      </c>
      <c r="AJ78" s="188">
        <v>0.70910653649585043</v>
      </c>
      <c r="AK78" s="188">
        <v>0.71109902077433773</v>
      </c>
      <c r="AL78" s="188">
        <v>0.71320573015991162</v>
      </c>
      <c r="AM78" s="188">
        <v>0.71543050668602937</v>
      </c>
      <c r="AN78" s="188">
        <v>0.71777681498344237</v>
      </c>
      <c r="AO78" s="188">
        <v>0.72024839092638249</v>
      </c>
      <c r="AP78" s="188">
        <v>0.72284953103756644</v>
      </c>
      <c r="AQ78" s="188">
        <v>0.72558419765243043</v>
      </c>
      <c r="AR78" s="188">
        <v>0.7284559361587617</v>
      </c>
      <c r="AS78" s="188">
        <v>0.73146780258175981</v>
      </c>
      <c r="AT78" s="188">
        <v>0.73462326333509564</v>
      </c>
      <c r="AU78" s="188">
        <v>0.73792662160966715</v>
      </c>
      <c r="AV78" s="188">
        <v>0.74138185501507614</v>
      </c>
      <c r="AW78" s="188">
        <v>0.74499249861027461</v>
      </c>
      <c r="AX78" s="188">
        <v>0.74876155773853315</v>
      </c>
      <c r="AY78" s="188">
        <v>0.75269238344669387</v>
      </c>
      <c r="AZ78" s="188">
        <v>0.75678917270895085</v>
      </c>
      <c r="BA78" s="188">
        <v>0.76105598488378634</v>
      </c>
      <c r="BB78" s="188">
        <v>0.76549672621489817</v>
      </c>
      <c r="BC78" s="188">
        <v>0.77011515956594068</v>
      </c>
      <c r="BD78" s="188">
        <v>0.77491468707597455</v>
      </c>
      <c r="BE78" s="188">
        <v>0.77989818327356986</v>
      </c>
      <c r="BF78" s="188">
        <v>0.78506827573849869</v>
      </c>
      <c r="BG78" s="188">
        <v>0.79042736761241617</v>
      </c>
      <c r="BH78" s="188">
        <v>0.79597768265193469</v>
      </c>
      <c r="BI78" s="188">
        <v>0.80172096667353032</v>
      </c>
      <c r="BJ78" s="188">
        <v>0.80765830259727844</v>
      </c>
      <c r="BK78" s="188">
        <v>0.81379061586988777</v>
      </c>
      <c r="BL78" s="188">
        <v>0.82011885107086036</v>
      </c>
      <c r="BM78" s="188">
        <v>0.82664392121945152</v>
      </c>
      <c r="BN78" s="188">
        <v>0.83336582094388545</v>
      </c>
      <c r="BO78" s="188">
        <v>0.84028319487905367</v>
      </c>
      <c r="BP78" s="188">
        <v>0.84739423563203353</v>
      </c>
      <c r="BQ78" s="188">
        <v>0.85469723176289336</v>
      </c>
      <c r="BR78" s="188">
        <v>0.86218990499008408</v>
      </c>
      <c r="BS78" s="188">
        <v>0.86986831922468155</v>
      </c>
      <c r="BT78" s="188">
        <v>0.877726356203411</v>
      </c>
      <c r="BU78" s="188">
        <v>0.88575584636911131</v>
      </c>
      <c r="BV78" s="188">
        <v>0.89394796715266034</v>
      </c>
      <c r="BW78" s="188">
        <v>0.90229348481531779</v>
      </c>
      <c r="BX78" s="188">
        <v>0.91078162764711768</v>
      </c>
      <c r="BY78" s="188">
        <v>0.91939939497463019</v>
      </c>
      <c r="BZ78" s="188">
        <v>0.92813330463109955</v>
      </c>
      <c r="CA78" s="188">
        <v>0.93696981450201977</v>
      </c>
      <c r="CB78" s="188">
        <v>0.94589586934840886</v>
      </c>
      <c r="CC78" s="188">
        <v>0.95489895541381742</v>
      </c>
      <c r="CD78" s="188">
        <v>0.96396749848120111</v>
      </c>
      <c r="CE78" s="188">
        <v>0.97309260176656232</v>
      </c>
      <c r="CF78" s="188">
        <v>0.98226652804005821</v>
      </c>
      <c r="CG78" s="188">
        <v>0.99147777224337352</v>
      </c>
      <c r="CH78" s="188">
        <v>1.0007082680557258</v>
      </c>
      <c r="CI78" s="188">
        <v>1.0099353495731658</v>
      </c>
      <c r="CJ78" s="188">
        <v>1.0191353522289066</v>
      </c>
      <c r="CK78" s="188">
        <v>1.0282836855894661</v>
      </c>
      <c r="CL78" s="188">
        <v>1.0373568982781449</v>
      </c>
      <c r="CM78" s="122">
        <v>1.0463346892417011</v>
      </c>
      <c r="CN78" s="62"/>
      <c r="CO78" s="62"/>
      <c r="CP78" s="62"/>
      <c r="CQ78" s="62"/>
      <c r="CR78" s="62"/>
      <c r="CS78" s="62"/>
      <c r="CT78" s="62"/>
      <c r="CU78" s="62"/>
      <c r="CV78" s="62"/>
      <c r="CW78" s="62"/>
      <c r="CX78" s="62"/>
      <c r="CY78" s="67"/>
      <c r="CZ78" s="67"/>
      <c r="DA78" s="67"/>
      <c r="DB78" s="67"/>
      <c r="DC78" s="67"/>
      <c r="DD78" s="67"/>
      <c r="DE78" s="67"/>
      <c r="DF78" s="67"/>
      <c r="DG78" s="67"/>
      <c r="DH78" s="67"/>
      <c r="DI78" s="67"/>
      <c r="DJ78" s="67"/>
    </row>
    <row r="79" spans="2:167" ht="16.5" thickBot="1">
      <c r="B79" s="62"/>
      <c r="C79" s="62"/>
      <c r="D79" s="209">
        <f t="shared" si="0"/>
        <v>74</v>
      </c>
      <c r="E79" s="126">
        <f>[1]!PBGCLRF(65+D79/12)</f>
        <v>1.982</v>
      </c>
      <c r="F79" s="62"/>
      <c r="G79" s="62"/>
      <c r="H79" s="62"/>
      <c r="I79" s="62"/>
      <c r="J79" s="19">
        <v>75</v>
      </c>
      <c r="K79" s="122">
        <f t="shared" si="11"/>
        <v>0.58333333333333481</v>
      </c>
      <c r="L79" s="62"/>
      <c r="M79" s="297">
        <v>75</v>
      </c>
      <c r="N79" s="122">
        <f>[1]!LRFAEQ(0.065,"M",65,M79,0,"GM71","GM71","MP","Y","N","",65)</f>
        <v>2.1695831652887767</v>
      </c>
      <c r="O79" s="62"/>
      <c r="P79" s="247">
        <v>75</v>
      </c>
      <c r="Q79" s="5">
        <v>0.67927920272679809</v>
      </c>
      <c r="R79" s="91">
        <v>0.68026325855836423</v>
      </c>
      <c r="S79" s="91">
        <v>0.68129010669293677</v>
      </c>
      <c r="T79" s="91">
        <v>0.68236008345000643</v>
      </c>
      <c r="U79" s="91">
        <v>0.68347330892729175</v>
      </c>
      <c r="V79" s="91">
        <v>0.68462967813774689</v>
      </c>
      <c r="W79" s="91">
        <v>0.68582885354696166</v>
      </c>
      <c r="X79" s="91">
        <v>0.68707025885072737</v>
      </c>
      <c r="Y79" s="91">
        <v>0.68835307358676634</v>
      </c>
      <c r="Z79" s="91">
        <v>0.68967624114798176</v>
      </c>
      <c r="AA79" s="91">
        <v>0.69103848154155167</v>
      </c>
      <c r="AB79" s="91">
        <v>0.69243830414948182</v>
      </c>
      <c r="AC79" s="91">
        <v>0.69387400505254748</v>
      </c>
      <c r="AD79" s="91">
        <v>0.69534366043838269</v>
      </c>
      <c r="AE79" s="91">
        <v>0.69684511466412724</v>
      </c>
      <c r="AF79" s="91">
        <v>0.69837599834522945</v>
      </c>
      <c r="AG79" s="91">
        <v>0.69996354159615048</v>
      </c>
      <c r="AH79" s="91">
        <v>0.70164857600654296</v>
      </c>
      <c r="AI79" s="91">
        <v>0.70343613402496263</v>
      </c>
      <c r="AJ79" s="91">
        <v>0.70533107360263425</v>
      </c>
      <c r="AK79" s="91">
        <v>0.70733801856477374</v>
      </c>
      <c r="AL79" s="91">
        <v>0.70946129832369942</v>
      </c>
      <c r="AM79" s="91">
        <v>0.71170492380749584</v>
      </c>
      <c r="AN79" s="91">
        <v>0.71407250742350226</v>
      </c>
      <c r="AO79" s="91">
        <v>0.71656795866049372</v>
      </c>
      <c r="AP79" s="91">
        <v>0.71919580361778113</v>
      </c>
      <c r="AQ79" s="91">
        <v>0.72196022294736117</v>
      </c>
      <c r="AR79" s="91">
        <v>0.72486496015071478</v>
      </c>
      <c r="AS79" s="91">
        <v>0.72791324136667623</v>
      </c>
      <c r="AT79" s="91">
        <v>0.7311087417072043</v>
      </c>
      <c r="AU79" s="91">
        <v>0.73445605581403983</v>
      </c>
      <c r="AV79" s="91">
        <v>0.73795944769742117</v>
      </c>
      <c r="AW79" s="91">
        <v>0.74162272298579524</v>
      </c>
      <c r="AX79" s="91">
        <v>0.74544913369558341</v>
      </c>
      <c r="AY79" s="91">
        <v>0.74944232065974947</v>
      </c>
      <c r="AZ79" s="91">
        <v>0.75360686558058276</v>
      </c>
      <c r="BA79" s="91">
        <v>0.75794723415171072</v>
      </c>
      <c r="BB79" s="91">
        <v>0.76246776292331209</v>
      </c>
      <c r="BC79" s="91">
        <v>0.76717267342730688</v>
      </c>
      <c r="BD79" s="91">
        <v>0.77206584125816691</v>
      </c>
      <c r="BE79" s="91">
        <v>0.77715061585919043</v>
      </c>
      <c r="BF79" s="91">
        <v>0.78243012688943925</v>
      </c>
      <c r="BG79" s="91">
        <v>0.78790731342399378</v>
      </c>
      <c r="BH79" s="91">
        <v>0.79358497675891138</v>
      </c>
      <c r="BI79" s="91">
        <v>0.79946546086909265</v>
      </c>
      <c r="BJ79" s="91">
        <v>0.80555044985913837</v>
      </c>
      <c r="BK79" s="91">
        <v>0.81184151879089428</v>
      </c>
      <c r="BL79" s="91">
        <v>0.81834033197923262</v>
      </c>
      <c r="BM79" s="91">
        <v>0.82504859533494868</v>
      </c>
      <c r="BN79" s="91">
        <v>0.83196709594396301</v>
      </c>
      <c r="BO79" s="91">
        <v>0.83909522418534777</v>
      </c>
      <c r="BP79" s="91">
        <v>0.84643194942405109</v>
      </c>
      <c r="BQ79" s="91">
        <v>0.8539764224879387</v>
      </c>
      <c r="BR79" s="91">
        <v>0.86172726211381401</v>
      </c>
      <c r="BS79" s="91">
        <v>0.86968135659228085</v>
      </c>
      <c r="BT79" s="91">
        <v>0.87783327807862765</v>
      </c>
      <c r="BU79" s="91">
        <v>0.88617540077383683</v>
      </c>
      <c r="BV79" s="91">
        <v>0.89469941934441799</v>
      </c>
      <c r="BW79" s="91">
        <v>0.90339660499372854</v>
      </c>
      <c r="BX79" s="91">
        <v>0.9122565630717423</v>
      </c>
      <c r="BY79" s="91">
        <v>0.92126644552688608</v>
      </c>
      <c r="BZ79" s="91">
        <v>0.93041285361257553</v>
      </c>
      <c r="CA79" s="91">
        <v>0.93968229455937458</v>
      </c>
      <c r="CB79" s="91">
        <v>0.94906177648065415</v>
      </c>
      <c r="CC79" s="91">
        <v>0.95853886416687561</v>
      </c>
      <c r="CD79" s="91">
        <v>0.96810211129828416</v>
      </c>
      <c r="CE79" s="91">
        <v>0.97774298521481573</v>
      </c>
      <c r="CF79" s="91">
        <v>0.98745421493512164</v>
      </c>
      <c r="CG79" s="91">
        <v>0.99722433007216349</v>
      </c>
      <c r="CH79" s="91">
        <v>1.0070345075590539</v>
      </c>
      <c r="CI79" s="91">
        <v>1.0168606630293924</v>
      </c>
      <c r="CJ79" s="91">
        <v>1.0266773999553667</v>
      </c>
      <c r="CK79" s="91">
        <v>1.0364580754691997</v>
      </c>
      <c r="CL79" s="91">
        <v>1.0461770713552951</v>
      </c>
      <c r="CM79" s="221">
        <v>1.0558120443280627</v>
      </c>
      <c r="CN79" s="62"/>
      <c r="CO79" s="62"/>
      <c r="CP79" s="62"/>
      <c r="CQ79" s="62"/>
      <c r="CR79" s="62"/>
      <c r="CS79" s="62"/>
      <c r="CT79" s="62"/>
      <c r="CU79" s="62"/>
      <c r="CV79" s="62"/>
      <c r="CW79" s="62"/>
      <c r="CX79" s="62"/>
      <c r="CY79" s="67"/>
      <c r="CZ79" s="67"/>
      <c r="DA79" s="67"/>
      <c r="DB79" s="67"/>
      <c r="DC79" s="67"/>
      <c r="DD79" s="67"/>
      <c r="DE79" s="67"/>
      <c r="DF79" s="67"/>
      <c r="DG79" s="67"/>
      <c r="DH79" s="67"/>
      <c r="DI79" s="67"/>
      <c r="DJ79" s="67"/>
    </row>
    <row r="80" spans="2:167" ht="15.75">
      <c r="B80" s="62"/>
      <c r="C80" s="62"/>
      <c r="D80" s="209">
        <f t="shared" si="0"/>
        <v>75</v>
      </c>
      <c r="E80" s="126">
        <f>[1]!PBGCLRF(65+D80/12)</f>
        <v>2.0049999999999999</v>
      </c>
      <c r="F80" s="62"/>
      <c r="G80" s="62"/>
      <c r="H80" s="62"/>
      <c r="I80" s="62"/>
      <c r="J80" s="19">
        <v>76</v>
      </c>
      <c r="K80" s="122">
        <f t="shared" si="11"/>
        <v>0.57777777777777928</v>
      </c>
      <c r="L80" s="62"/>
      <c r="M80" s="297">
        <v>76</v>
      </c>
      <c r="N80" s="122">
        <f>[1]!LRFAEQ(0.065,"M",65,M80,0,"GM71","GM71","MP","Y","N","",65)</f>
        <v>2.1953412577983951</v>
      </c>
      <c r="O80" s="62"/>
      <c r="P80" s="62"/>
      <c r="Q80" s="62"/>
      <c r="R80" s="62"/>
      <c r="S80" s="62"/>
      <c r="T80" s="62"/>
      <c r="U80" s="62"/>
      <c r="V80" s="62"/>
      <c r="W80" s="62"/>
      <c r="X80" s="62"/>
      <c r="Y80" s="62"/>
      <c r="Z80" s="62"/>
      <c r="AA80" s="62"/>
      <c r="AB80" s="62"/>
      <c r="AC80" s="62"/>
      <c r="AD80" s="62"/>
      <c r="AE80" s="62"/>
      <c r="AF80" s="62"/>
      <c r="AG80" s="62"/>
      <c r="AH80" s="62"/>
      <c r="AI80" s="62"/>
      <c r="AJ80" s="62"/>
      <c r="AK80" s="62"/>
      <c r="AL80" s="62"/>
      <c r="AM80" s="62"/>
      <c r="AN80" s="62"/>
      <c r="AO80" s="62"/>
      <c r="AP80" s="62"/>
      <c r="AQ80" s="62"/>
      <c r="AR80" s="62"/>
      <c r="AS80" s="62"/>
      <c r="AT80" s="62"/>
      <c r="AU80" s="62"/>
      <c r="AV80" s="62"/>
      <c r="AW80" s="62"/>
      <c r="AX80" s="62"/>
      <c r="AY80" s="62"/>
      <c r="AZ80" s="62"/>
      <c r="BA80" s="62"/>
      <c r="BB80" s="62"/>
      <c r="BC80" s="62"/>
      <c r="BD80" s="62"/>
      <c r="BE80" s="62"/>
      <c r="BF80" s="62"/>
      <c r="BG80" s="62"/>
      <c r="BH80" s="62"/>
      <c r="BI80" s="62"/>
      <c r="BJ80" s="62"/>
      <c r="BK80" s="62"/>
      <c r="BL80" s="62"/>
      <c r="BM80" s="62"/>
      <c r="BN80" s="62"/>
      <c r="BO80" s="62"/>
      <c r="BP80" s="62"/>
      <c r="BQ80" s="62"/>
      <c r="BR80" s="62"/>
      <c r="BS80" s="62"/>
      <c r="BT80" s="62"/>
      <c r="BU80" s="62"/>
      <c r="BV80" s="62"/>
      <c r="BW80" s="62"/>
      <c r="BX80" s="62"/>
      <c r="BY80" s="62"/>
      <c r="BZ80" s="62"/>
      <c r="CA80" s="62"/>
      <c r="CB80" s="62"/>
      <c r="CC80" s="62"/>
      <c r="CD80" s="62"/>
      <c r="CE80" s="62"/>
      <c r="CF80" s="62"/>
      <c r="CG80" s="62"/>
      <c r="CH80" s="62"/>
      <c r="CI80" s="62"/>
      <c r="CJ80" s="62"/>
      <c r="CK80" s="62"/>
      <c r="CL80" s="62"/>
      <c r="CM80" s="62"/>
      <c r="CN80" s="62"/>
      <c r="CO80" s="62"/>
      <c r="CP80" s="62"/>
      <c r="CQ80" s="62"/>
      <c r="CR80" s="62"/>
      <c r="CS80" s="62"/>
      <c r="CT80" s="62"/>
      <c r="CU80" s="62"/>
      <c r="CV80" s="62"/>
      <c r="CW80" s="62"/>
      <c r="CX80" s="62"/>
      <c r="CY80" s="67"/>
      <c r="CZ80" s="67"/>
      <c r="DA80" s="67"/>
      <c r="DB80" s="67"/>
      <c r="DC80" s="67"/>
      <c r="DD80" s="67"/>
      <c r="DE80" s="67"/>
      <c r="DF80" s="67"/>
      <c r="DG80" s="67"/>
      <c r="DH80" s="67"/>
      <c r="DI80" s="67"/>
      <c r="DJ80" s="67"/>
    </row>
    <row r="81" spans="2:114" ht="15.75">
      <c r="B81" s="62"/>
      <c r="C81" s="62"/>
      <c r="D81" s="209">
        <f t="shared" si="0"/>
        <v>76</v>
      </c>
      <c r="E81" s="126">
        <f>[1]!PBGCLRF(65+D81/12)</f>
        <v>2.028</v>
      </c>
      <c r="F81" s="62"/>
      <c r="G81" s="62"/>
      <c r="H81" s="62"/>
      <c r="I81" s="62"/>
      <c r="J81" s="19">
        <v>77</v>
      </c>
      <c r="K81" s="122">
        <f t="shared" si="11"/>
        <v>0.57222222222222374</v>
      </c>
      <c r="L81" s="62"/>
      <c r="M81" s="297">
        <v>77</v>
      </c>
      <c r="N81" s="122">
        <f>[1]!LRFAEQ(0.065,"M",65,M81,0,"GM71","GM71","MP","Y","N","",65)</f>
        <v>2.2210993503080139</v>
      </c>
      <c r="O81" s="62"/>
      <c r="P81" s="62"/>
      <c r="Q81" s="62"/>
      <c r="R81" s="62"/>
      <c r="S81" s="62"/>
      <c r="T81" s="62"/>
      <c r="U81" s="62"/>
      <c r="V81" s="62"/>
      <c r="W81" s="62"/>
      <c r="X81" s="62"/>
      <c r="Y81" s="62"/>
      <c r="Z81" s="62"/>
      <c r="AA81" s="62"/>
      <c r="AB81" s="62"/>
      <c r="AC81" s="62"/>
      <c r="AD81" s="62"/>
      <c r="AE81" s="62"/>
      <c r="AF81" s="62"/>
      <c r="AG81" s="62"/>
      <c r="AH81" s="62"/>
      <c r="AI81" s="62"/>
      <c r="AJ81" s="62"/>
      <c r="AK81" s="62"/>
      <c r="AL81" s="62"/>
      <c r="AM81" s="62"/>
      <c r="AN81" s="62"/>
      <c r="AO81" s="62"/>
      <c r="AP81" s="62"/>
      <c r="AQ81" s="62"/>
      <c r="AR81" s="62"/>
      <c r="AS81" s="62"/>
      <c r="AT81" s="62"/>
      <c r="AU81" s="62"/>
      <c r="AV81" s="62"/>
      <c r="AW81" s="62"/>
      <c r="AX81" s="62"/>
      <c r="AY81" s="62"/>
      <c r="AZ81" s="62"/>
      <c r="BA81" s="62"/>
      <c r="BB81" s="62"/>
      <c r="BC81" s="62"/>
      <c r="BD81" s="62"/>
      <c r="BE81" s="62"/>
      <c r="BF81" s="62"/>
      <c r="BG81" s="62"/>
      <c r="BH81" s="62"/>
      <c r="BI81" s="62"/>
      <c r="BJ81" s="62"/>
      <c r="BK81" s="62"/>
      <c r="BL81" s="62"/>
      <c r="BM81" s="62"/>
      <c r="BN81" s="62"/>
      <c r="BO81" s="62"/>
      <c r="BP81" s="62"/>
      <c r="BQ81" s="62"/>
      <c r="BR81" s="62"/>
      <c r="BS81" s="62"/>
      <c r="BT81" s="62"/>
      <c r="BU81" s="62"/>
      <c r="BV81" s="62"/>
      <c r="BW81" s="62"/>
      <c r="BX81" s="62"/>
      <c r="BY81" s="62"/>
      <c r="BZ81" s="62"/>
      <c r="CA81" s="62"/>
      <c r="CB81" s="62"/>
      <c r="CC81" s="62"/>
      <c r="CD81" s="62"/>
      <c r="CE81" s="62"/>
      <c r="CF81" s="62"/>
      <c r="CG81" s="62"/>
      <c r="CH81" s="62"/>
      <c r="CI81" s="62"/>
      <c r="CJ81" s="62"/>
      <c r="CK81" s="62"/>
      <c r="CL81" s="62"/>
      <c r="CM81" s="62"/>
      <c r="CN81" s="62"/>
      <c r="CO81" s="62"/>
      <c r="CP81" s="62"/>
      <c r="CQ81" s="62"/>
      <c r="CR81" s="62"/>
      <c r="CS81" s="62"/>
      <c r="CT81" s="62"/>
      <c r="CU81" s="62"/>
      <c r="CV81" s="62"/>
      <c r="CW81" s="62"/>
      <c r="CX81" s="62"/>
      <c r="CY81" s="67"/>
      <c r="CZ81" s="67"/>
      <c r="DA81" s="67"/>
      <c r="DB81" s="67"/>
      <c r="DC81" s="67"/>
      <c r="DD81" s="67"/>
      <c r="DE81" s="67"/>
      <c r="DF81" s="67"/>
      <c r="DG81" s="67"/>
      <c r="DH81" s="67"/>
      <c r="DI81" s="67"/>
      <c r="DJ81" s="67"/>
    </row>
    <row r="82" spans="2:114" ht="15.75">
      <c r="B82" s="62"/>
      <c r="C82" s="62"/>
      <c r="D82" s="209">
        <f t="shared" si="0"/>
        <v>77</v>
      </c>
      <c r="E82" s="126">
        <f>[1]!PBGCLRF(65+D82/12)</f>
        <v>2.0510000000000002</v>
      </c>
      <c r="F82" s="62"/>
      <c r="G82" s="62"/>
      <c r="H82" s="62"/>
      <c r="I82" s="62"/>
      <c r="J82" s="19">
        <v>78</v>
      </c>
      <c r="K82" s="122">
        <f t="shared" si="11"/>
        <v>0.56666666666666821</v>
      </c>
      <c r="L82" s="62"/>
      <c r="M82" s="297">
        <v>78</v>
      </c>
      <c r="N82" s="122">
        <f>[1]!LRFAEQ(0.065,"M",65,M82,0,"GM71","GM71","MP","Y","N","",65)</f>
        <v>2.2468574428176327</v>
      </c>
      <c r="O82" s="62"/>
      <c r="P82" s="62"/>
      <c r="Q82" s="62"/>
      <c r="R82" s="62"/>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c r="BW82" s="62"/>
      <c r="BX82" s="62"/>
      <c r="BY82" s="62"/>
      <c r="BZ82" s="62"/>
      <c r="CA82" s="62"/>
      <c r="CB82" s="62"/>
      <c r="CC82" s="62"/>
      <c r="CD82" s="62"/>
      <c r="CE82" s="62"/>
      <c r="CF82" s="62"/>
      <c r="CG82" s="62"/>
      <c r="CH82" s="62"/>
      <c r="CI82" s="62"/>
      <c r="CJ82" s="62"/>
      <c r="CK82" s="62"/>
      <c r="CL82" s="62"/>
      <c r="CM82" s="62"/>
      <c r="CN82" s="62"/>
      <c r="CO82" s="62"/>
      <c r="CP82" s="62"/>
      <c r="CQ82" s="62"/>
      <c r="CR82" s="62"/>
      <c r="CS82" s="62"/>
      <c r="CT82" s="62"/>
      <c r="CU82" s="62"/>
      <c r="CV82" s="62"/>
      <c r="CW82" s="62"/>
      <c r="CX82" s="62"/>
      <c r="CY82" s="67"/>
      <c r="CZ82" s="67"/>
      <c r="DA82" s="67"/>
      <c r="DB82" s="67"/>
      <c r="DC82" s="67"/>
      <c r="DD82" s="67"/>
      <c r="DE82" s="67"/>
      <c r="DF82" s="67"/>
      <c r="DG82" s="67"/>
      <c r="DH82" s="67"/>
      <c r="DI82" s="67"/>
      <c r="DJ82" s="67"/>
    </row>
    <row r="83" spans="2:114" ht="15.75">
      <c r="B83" s="62"/>
      <c r="C83" s="62"/>
      <c r="D83" s="209">
        <f t="shared" si="0"/>
        <v>78</v>
      </c>
      <c r="E83" s="126">
        <f>[1]!PBGCLRF(65+D83/12)</f>
        <v>2.0739999999999998</v>
      </c>
      <c r="F83" s="62"/>
      <c r="G83" s="62"/>
      <c r="H83" s="62"/>
      <c r="I83" s="62"/>
      <c r="J83" s="19">
        <v>79</v>
      </c>
      <c r="K83" s="122">
        <f t="shared" si="11"/>
        <v>0.56111111111111267</v>
      </c>
      <c r="L83" s="62"/>
      <c r="M83" s="297">
        <v>79</v>
      </c>
      <c r="N83" s="122">
        <f>[1]!LRFAEQ(0.065,"M",65,M83,0,"GM71","GM71","MP","Y","N","",65)</f>
        <v>2.272615535327251</v>
      </c>
      <c r="O83" s="62"/>
      <c r="P83" s="62"/>
      <c r="Q83" s="62"/>
      <c r="R83" s="62"/>
      <c r="S83" s="62"/>
      <c r="T83" s="62"/>
      <c r="U83" s="62"/>
      <c r="V83" s="62"/>
      <c r="W83" s="62"/>
      <c r="X83" s="62"/>
      <c r="Y83" s="62"/>
      <c r="Z83" s="62"/>
      <c r="AA83" s="62"/>
      <c r="AB83" s="62"/>
      <c r="AC83" s="62"/>
      <c r="AD83" s="62"/>
      <c r="AE83" s="62"/>
      <c r="AF83" s="62"/>
      <c r="AG83" s="62"/>
      <c r="AH83" s="62"/>
      <c r="AI83" s="62"/>
      <c r="AJ83" s="62"/>
      <c r="AK83" s="62"/>
      <c r="AL83" s="62"/>
      <c r="AM83" s="62"/>
      <c r="AN83" s="62"/>
      <c r="AO83" s="62"/>
      <c r="AP83" s="62"/>
      <c r="AQ83" s="62"/>
      <c r="AR83" s="62"/>
      <c r="AS83" s="62"/>
      <c r="AT83" s="62"/>
      <c r="AU83" s="62"/>
      <c r="AV83" s="62"/>
      <c r="AW83" s="62"/>
      <c r="AX83" s="62"/>
      <c r="AY83" s="62"/>
      <c r="AZ83" s="62"/>
      <c r="BA83" s="62"/>
      <c r="BB83" s="62"/>
      <c r="BC83" s="62"/>
      <c r="BD83" s="62"/>
      <c r="BE83" s="62"/>
      <c r="BF83" s="62"/>
      <c r="BG83" s="62"/>
      <c r="BH83" s="62"/>
      <c r="BI83" s="62"/>
      <c r="BJ83" s="62"/>
      <c r="BK83" s="62"/>
      <c r="BL83" s="62"/>
      <c r="BM83" s="62"/>
      <c r="BN83" s="62"/>
      <c r="BO83" s="62"/>
      <c r="BP83" s="62"/>
      <c r="BQ83" s="62"/>
      <c r="BR83" s="62"/>
      <c r="BS83" s="62"/>
      <c r="BT83" s="62"/>
      <c r="BU83" s="62"/>
      <c r="BV83" s="62"/>
      <c r="BW83" s="62"/>
      <c r="BX83" s="62"/>
      <c r="BY83" s="62"/>
      <c r="BZ83" s="62"/>
      <c r="CA83" s="62"/>
      <c r="CB83" s="62"/>
      <c r="CC83" s="62"/>
      <c r="CD83" s="62"/>
      <c r="CE83" s="62"/>
      <c r="CF83" s="62"/>
      <c r="CG83" s="62"/>
      <c r="CH83" s="62"/>
      <c r="CI83" s="62"/>
      <c r="CJ83" s="62"/>
      <c r="CK83" s="62"/>
      <c r="CL83" s="62"/>
      <c r="CM83" s="62"/>
      <c r="CN83" s="62"/>
      <c r="CO83" s="62"/>
      <c r="CP83" s="62"/>
      <c r="CQ83" s="62"/>
      <c r="CR83" s="62"/>
      <c r="CS83" s="62"/>
      <c r="CT83" s="62"/>
      <c r="CU83" s="62"/>
      <c r="CV83" s="62"/>
      <c r="CW83" s="62"/>
      <c r="CX83" s="62"/>
      <c r="CY83" s="67"/>
      <c r="CZ83" s="67"/>
      <c r="DA83" s="67"/>
      <c r="DB83" s="67"/>
      <c r="DC83" s="67"/>
      <c r="DD83" s="67"/>
      <c r="DE83" s="67"/>
      <c r="DF83" s="67"/>
      <c r="DG83" s="67"/>
      <c r="DH83" s="67"/>
      <c r="DI83" s="67"/>
      <c r="DJ83" s="67"/>
    </row>
    <row r="84" spans="2:114" ht="15.75">
      <c r="B84" s="62"/>
      <c r="C84" s="62"/>
      <c r="D84" s="209">
        <f t="shared" si="0"/>
        <v>79</v>
      </c>
      <c r="E84" s="126">
        <f>[1]!PBGCLRF(65+D84/12)</f>
        <v>2.097</v>
      </c>
      <c r="F84" s="62"/>
      <c r="G84" s="62"/>
      <c r="H84" s="62"/>
      <c r="I84" s="62"/>
      <c r="J84" s="19">
        <v>80</v>
      </c>
      <c r="K84" s="122">
        <f t="shared" si="11"/>
        <v>0.55555555555555713</v>
      </c>
      <c r="L84" s="62"/>
      <c r="M84" s="297">
        <v>80</v>
      </c>
      <c r="N84" s="122">
        <f>[1]!LRFAEQ(0.065,"M",65,M84,0,"GM71","GM71","MP","Y","N","",65)</f>
        <v>2.2983736278368694</v>
      </c>
      <c r="O84" s="62"/>
      <c r="P84" s="62"/>
      <c r="Q84" s="62"/>
      <c r="R84" s="62"/>
      <c r="S84" s="62"/>
      <c r="T84" s="62"/>
      <c r="U84" s="62"/>
      <c r="V84" s="62"/>
      <c r="W84" s="62"/>
      <c r="X84" s="62"/>
      <c r="Y84" s="62"/>
      <c r="Z84" s="62"/>
      <c r="AA84" s="62"/>
      <c r="AB84" s="62"/>
      <c r="AC84" s="62"/>
      <c r="AD84" s="62"/>
      <c r="AE84" s="62"/>
      <c r="AF84" s="62"/>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c r="BM84" s="62"/>
      <c r="BN84" s="62"/>
      <c r="BO84" s="62"/>
      <c r="BP84" s="62"/>
      <c r="BQ84" s="62"/>
      <c r="BR84" s="62"/>
      <c r="BS84" s="62"/>
      <c r="BT84" s="62"/>
      <c r="BU84" s="62"/>
      <c r="BV84" s="62"/>
      <c r="BW84" s="62"/>
      <c r="BX84" s="62"/>
      <c r="BY84" s="62"/>
      <c r="BZ84" s="62"/>
      <c r="CA84" s="62"/>
      <c r="CB84" s="62"/>
      <c r="CC84" s="62"/>
      <c r="CD84" s="62"/>
      <c r="CE84" s="62"/>
      <c r="CF84" s="62"/>
      <c r="CG84" s="62"/>
      <c r="CH84" s="62"/>
      <c r="CI84" s="62"/>
      <c r="CJ84" s="62"/>
      <c r="CK84" s="62"/>
      <c r="CL84" s="62"/>
      <c r="CM84" s="62"/>
      <c r="CN84" s="62"/>
      <c r="CO84" s="62"/>
      <c r="CP84" s="62"/>
      <c r="CQ84" s="62"/>
      <c r="CR84" s="62"/>
      <c r="CS84" s="62"/>
      <c r="CT84" s="62"/>
      <c r="CU84" s="62"/>
      <c r="CV84" s="62"/>
      <c r="CW84" s="62"/>
      <c r="CX84" s="62"/>
      <c r="CY84" s="67"/>
      <c r="CZ84" s="67"/>
      <c r="DA84" s="67"/>
      <c r="DB84" s="67"/>
      <c r="DC84" s="67"/>
      <c r="DD84" s="67"/>
      <c r="DE84" s="67"/>
      <c r="DF84" s="67"/>
      <c r="DG84" s="67"/>
      <c r="DH84" s="67"/>
      <c r="DI84" s="67"/>
      <c r="DJ84" s="67"/>
    </row>
    <row r="85" spans="2:114" ht="15.75">
      <c r="B85" s="62"/>
      <c r="C85" s="62"/>
      <c r="D85" s="209">
        <f t="shared" si="0"/>
        <v>80</v>
      </c>
      <c r="E85" s="126">
        <f>[1]!PBGCLRF(65+D85/12)</f>
        <v>2.12</v>
      </c>
      <c r="F85" s="62"/>
      <c r="G85" s="62"/>
      <c r="H85" s="62"/>
      <c r="I85" s="62"/>
      <c r="J85" s="19">
        <v>81</v>
      </c>
      <c r="K85" s="122">
        <f t="shared" si="11"/>
        <v>0.5500000000000016</v>
      </c>
      <c r="L85" s="62"/>
      <c r="M85" s="297">
        <v>81</v>
      </c>
      <c r="N85" s="122">
        <f>[1]!LRFAEQ(0.065,"M",65,M85,0,"GM71","GM71","MP","Y","N","",65)</f>
        <v>2.3241317203464886</v>
      </c>
      <c r="O85" s="62"/>
      <c r="P85" s="62"/>
      <c r="Q85" s="62"/>
      <c r="R85" s="62"/>
      <c r="S85" s="62"/>
      <c r="T85" s="62"/>
      <c r="U85" s="62"/>
      <c r="V85" s="62"/>
      <c r="W85" s="62"/>
      <c r="X85" s="62"/>
      <c r="Y85" s="62"/>
      <c r="Z85" s="62"/>
      <c r="AA85" s="62"/>
      <c r="AB85" s="62"/>
      <c r="AC85" s="62"/>
      <c r="AD85" s="62"/>
      <c r="AE85" s="62"/>
      <c r="AF85" s="62"/>
      <c r="AG85" s="62"/>
      <c r="AH85" s="62"/>
      <c r="AI85" s="62"/>
      <c r="AJ85" s="62"/>
      <c r="AK85" s="62"/>
      <c r="AL85" s="62"/>
      <c r="AM85" s="62"/>
      <c r="AN85" s="62"/>
      <c r="AO85" s="62"/>
      <c r="AP85" s="62"/>
      <c r="AQ85" s="62"/>
      <c r="AR85" s="62"/>
      <c r="AS85" s="62"/>
      <c r="AT85" s="62"/>
      <c r="AU85" s="62"/>
      <c r="AV85" s="62"/>
      <c r="AW85" s="62"/>
      <c r="AX85" s="62"/>
      <c r="AY85" s="62"/>
      <c r="AZ85" s="62"/>
      <c r="BA85" s="62"/>
      <c r="BB85" s="62"/>
      <c r="BC85" s="62"/>
      <c r="BD85" s="62"/>
      <c r="BE85" s="62"/>
      <c r="BF85" s="62"/>
      <c r="BG85" s="62"/>
      <c r="BH85" s="62"/>
      <c r="BI85" s="62"/>
      <c r="BJ85" s="62"/>
      <c r="BK85" s="62"/>
      <c r="BL85" s="62"/>
      <c r="BM85" s="62"/>
      <c r="BN85" s="62"/>
      <c r="BO85" s="62"/>
      <c r="BP85" s="62"/>
      <c r="BQ85" s="62"/>
      <c r="BR85" s="62"/>
      <c r="BS85" s="62"/>
      <c r="BT85" s="62"/>
      <c r="BU85" s="62"/>
      <c r="BV85" s="62"/>
      <c r="BW85" s="62"/>
      <c r="BX85" s="62"/>
      <c r="BY85" s="62"/>
      <c r="BZ85" s="62"/>
      <c r="CA85" s="62"/>
      <c r="CB85" s="62"/>
      <c r="CC85" s="62"/>
      <c r="CD85" s="62"/>
      <c r="CE85" s="62"/>
      <c r="CF85" s="62"/>
      <c r="CG85" s="62"/>
      <c r="CH85" s="62"/>
      <c r="CI85" s="62"/>
      <c r="CJ85" s="62"/>
      <c r="CK85" s="62"/>
      <c r="CL85" s="62"/>
      <c r="CM85" s="62"/>
      <c r="CN85" s="62"/>
      <c r="CO85" s="62"/>
      <c r="CP85" s="62"/>
      <c r="CQ85" s="62"/>
      <c r="CR85" s="62"/>
      <c r="CS85" s="62"/>
      <c r="CT85" s="62"/>
      <c r="CU85" s="62"/>
      <c r="CV85" s="62"/>
      <c r="CW85" s="62"/>
      <c r="CX85" s="62"/>
      <c r="CY85" s="67"/>
      <c r="CZ85" s="67"/>
      <c r="DA85" s="67"/>
      <c r="DB85" s="67"/>
      <c r="DC85" s="67"/>
      <c r="DD85" s="67"/>
      <c r="DE85" s="67"/>
      <c r="DF85" s="67"/>
      <c r="DG85" s="67"/>
      <c r="DH85" s="67"/>
      <c r="DI85" s="67"/>
      <c r="DJ85" s="67"/>
    </row>
    <row r="86" spans="2:114" ht="15.75">
      <c r="B86" s="62"/>
      <c r="C86" s="62"/>
      <c r="D86" s="209">
        <f t="shared" si="0"/>
        <v>81</v>
      </c>
      <c r="E86" s="126">
        <f>[1]!PBGCLRF(65+D86/12)</f>
        <v>2.1429999999999998</v>
      </c>
      <c r="F86" s="62"/>
      <c r="G86" s="62"/>
      <c r="H86" s="62"/>
      <c r="I86" s="62"/>
      <c r="J86" s="19">
        <v>82</v>
      </c>
      <c r="K86" s="122">
        <f t="shared" si="11"/>
        <v>0.54444444444444606</v>
      </c>
      <c r="L86" s="62"/>
      <c r="M86" s="297">
        <v>82</v>
      </c>
      <c r="N86" s="122">
        <f>[1]!LRFAEQ(0.065,"M",65,M86,0,"GM71","GM71","MP","Y","N","",65)</f>
        <v>2.349889812856107</v>
      </c>
      <c r="O86" s="62"/>
      <c r="P86" s="62"/>
      <c r="Q86" s="62"/>
      <c r="R86" s="62"/>
      <c r="S86" s="62"/>
      <c r="T86" s="62"/>
      <c r="U86" s="62"/>
      <c r="V86" s="62"/>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c r="BM86" s="62"/>
      <c r="BN86" s="62"/>
      <c r="BO86" s="62"/>
      <c r="BP86" s="62"/>
      <c r="BQ86" s="62"/>
      <c r="BR86" s="62"/>
      <c r="BS86" s="62"/>
      <c r="BT86" s="62"/>
      <c r="BU86" s="62"/>
      <c r="BV86" s="62"/>
      <c r="BW86" s="62"/>
      <c r="BX86" s="62"/>
      <c r="BY86" s="62"/>
      <c r="BZ86" s="62"/>
      <c r="CA86" s="62"/>
      <c r="CB86" s="62"/>
      <c r="CC86" s="62"/>
      <c r="CD86" s="62"/>
      <c r="CE86" s="62"/>
      <c r="CF86" s="62"/>
      <c r="CG86" s="62"/>
      <c r="CH86" s="62"/>
      <c r="CI86" s="62"/>
      <c r="CJ86" s="62"/>
      <c r="CK86" s="62"/>
      <c r="CL86" s="62"/>
      <c r="CM86" s="62"/>
      <c r="CN86" s="62"/>
      <c r="CO86" s="62"/>
      <c r="CP86" s="62"/>
      <c r="CQ86" s="62"/>
      <c r="CR86" s="62"/>
      <c r="CS86" s="62"/>
      <c r="CT86" s="62"/>
      <c r="CU86" s="62"/>
      <c r="CV86" s="62"/>
      <c r="CW86" s="62"/>
      <c r="CX86" s="62"/>
      <c r="CY86" s="67"/>
      <c r="CZ86" s="67"/>
      <c r="DA86" s="67"/>
      <c r="DB86" s="67"/>
      <c r="DC86" s="67"/>
      <c r="DD86" s="67"/>
      <c r="DE86" s="67"/>
      <c r="DF86" s="67"/>
      <c r="DG86" s="67"/>
      <c r="DH86" s="67"/>
      <c r="DI86" s="67"/>
      <c r="DJ86" s="67"/>
    </row>
    <row r="87" spans="2:114" ht="15.75">
      <c r="B87" s="62"/>
      <c r="C87" s="62"/>
      <c r="D87" s="209">
        <f t="shared" si="0"/>
        <v>82</v>
      </c>
      <c r="E87" s="126">
        <f>[1]!PBGCLRF(65+D87/12)</f>
        <v>2.1659999999999999</v>
      </c>
      <c r="F87" s="62"/>
      <c r="G87" s="62"/>
      <c r="H87" s="62"/>
      <c r="I87" s="62"/>
      <c r="J87" s="19">
        <v>83</v>
      </c>
      <c r="K87" s="122">
        <f t="shared" si="11"/>
        <v>0.53888888888889053</v>
      </c>
      <c r="L87" s="62"/>
      <c r="M87" s="297">
        <v>83</v>
      </c>
      <c r="N87" s="122">
        <f>[1]!LRFAEQ(0.065,"M",65,M87,0,"GM71","GM71","MP","Y","N","",65)</f>
        <v>2.3756479053657253</v>
      </c>
      <c r="O87" s="62"/>
      <c r="P87" s="62"/>
      <c r="Q87" s="62"/>
      <c r="R87" s="62"/>
      <c r="S87" s="62"/>
      <c r="T87" s="62"/>
      <c r="U87" s="62"/>
      <c r="V87" s="62"/>
      <c r="W87" s="62"/>
      <c r="X87" s="62"/>
      <c r="Y87" s="62"/>
      <c r="Z87" s="62"/>
      <c r="AA87" s="62"/>
      <c r="AB87" s="62"/>
      <c r="AC87" s="62"/>
      <c r="AD87" s="62"/>
      <c r="AE87" s="62"/>
      <c r="AF87" s="62"/>
      <c r="AG87" s="62"/>
      <c r="AH87" s="62"/>
      <c r="AI87" s="62"/>
      <c r="AJ87" s="62"/>
      <c r="AK87" s="62"/>
      <c r="AL87" s="62"/>
      <c r="AM87" s="62"/>
      <c r="AN87" s="62"/>
      <c r="AO87" s="62"/>
      <c r="AP87" s="62"/>
      <c r="AQ87" s="62"/>
      <c r="AR87" s="62"/>
      <c r="AS87" s="62"/>
      <c r="AT87" s="62"/>
      <c r="AU87" s="62"/>
      <c r="AV87" s="62"/>
      <c r="AW87" s="62"/>
      <c r="AX87" s="62"/>
      <c r="AY87" s="62"/>
      <c r="AZ87" s="62"/>
      <c r="BA87" s="62"/>
      <c r="BB87" s="62"/>
      <c r="BC87" s="62"/>
      <c r="BD87" s="62"/>
      <c r="BE87" s="62"/>
      <c r="BF87" s="62"/>
      <c r="BG87" s="62"/>
      <c r="BH87" s="62"/>
      <c r="BI87" s="62"/>
      <c r="BJ87" s="62"/>
      <c r="BK87" s="62"/>
      <c r="BL87" s="62"/>
      <c r="BM87" s="62"/>
      <c r="BN87" s="62"/>
      <c r="BO87" s="62"/>
      <c r="BP87" s="62"/>
      <c r="BQ87" s="62"/>
      <c r="BR87" s="62"/>
      <c r="BS87" s="62"/>
      <c r="BT87" s="62"/>
      <c r="BU87" s="62"/>
      <c r="BV87" s="62"/>
      <c r="BW87" s="62"/>
      <c r="BX87" s="62"/>
      <c r="BY87" s="62"/>
      <c r="BZ87" s="62"/>
      <c r="CA87" s="62"/>
      <c r="CB87" s="62"/>
      <c r="CC87" s="62"/>
      <c r="CD87" s="62"/>
      <c r="CE87" s="62"/>
      <c r="CF87" s="62"/>
      <c r="CG87" s="62"/>
      <c r="CH87" s="62"/>
      <c r="CI87" s="62"/>
      <c r="CJ87" s="62"/>
      <c r="CK87" s="62"/>
      <c r="CL87" s="62"/>
      <c r="CM87" s="62"/>
      <c r="CN87" s="62"/>
      <c r="CO87" s="62"/>
      <c r="CP87" s="62"/>
      <c r="CQ87" s="62"/>
      <c r="CR87" s="62"/>
      <c r="CS87" s="62"/>
      <c r="CT87" s="62"/>
      <c r="CU87" s="62"/>
      <c r="CV87" s="62"/>
      <c r="CW87" s="62"/>
      <c r="CX87" s="62"/>
      <c r="CY87" s="67"/>
      <c r="CZ87" s="67"/>
      <c r="DA87" s="67"/>
      <c r="DB87" s="67"/>
      <c r="DC87" s="67"/>
      <c r="DD87" s="67"/>
      <c r="DE87" s="67"/>
      <c r="DF87" s="67"/>
      <c r="DG87" s="67"/>
      <c r="DH87" s="67"/>
      <c r="DI87" s="67"/>
      <c r="DJ87" s="67"/>
    </row>
    <row r="88" spans="2:114" ht="15.75">
      <c r="B88" s="62"/>
      <c r="C88" s="62"/>
      <c r="D88" s="209">
        <f t="shared" si="0"/>
        <v>83</v>
      </c>
      <c r="E88" s="126">
        <f>[1]!PBGCLRF(65+D88/12)</f>
        <v>2.1890000000000001</v>
      </c>
      <c r="F88" s="62"/>
      <c r="G88" s="62"/>
      <c r="H88" s="62"/>
      <c r="I88" s="62"/>
      <c r="J88" s="19">
        <v>84</v>
      </c>
      <c r="K88" s="122">
        <f t="shared" si="11"/>
        <v>0.53333333333333499</v>
      </c>
      <c r="L88" s="62"/>
      <c r="M88" s="297">
        <v>84</v>
      </c>
      <c r="N88" s="122">
        <f>[1]!LRFAEQ(0.065,"M",65,M88,0,"GM71","GM71","MP","Y","N","",65)</f>
        <v>2.4014059978753441</v>
      </c>
      <c r="O88" s="62"/>
      <c r="P88" s="62"/>
      <c r="Q88" s="62"/>
      <c r="R88" s="62"/>
      <c r="S88" s="62"/>
      <c r="T88" s="62"/>
      <c r="U88" s="62"/>
      <c r="V88" s="62"/>
      <c r="W88" s="62"/>
      <c r="X88" s="62"/>
      <c r="Y88" s="62"/>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c r="BM88" s="62"/>
      <c r="BN88" s="62"/>
      <c r="BO88" s="62"/>
      <c r="BP88" s="62"/>
      <c r="BQ88" s="62"/>
      <c r="BR88" s="62"/>
      <c r="BS88" s="62"/>
      <c r="BT88" s="62"/>
      <c r="BU88" s="62"/>
      <c r="BV88" s="62"/>
      <c r="BW88" s="62"/>
      <c r="BX88" s="62"/>
      <c r="BY88" s="62"/>
      <c r="BZ88" s="62"/>
      <c r="CA88" s="62"/>
      <c r="CB88" s="62"/>
      <c r="CC88" s="62"/>
      <c r="CD88" s="62"/>
      <c r="CE88" s="62"/>
      <c r="CF88" s="62"/>
      <c r="CG88" s="62"/>
      <c r="CH88" s="62"/>
      <c r="CI88" s="62"/>
      <c r="CJ88" s="62"/>
      <c r="CK88" s="62"/>
      <c r="CL88" s="62"/>
      <c r="CM88" s="62"/>
      <c r="CN88" s="62"/>
      <c r="CO88" s="62"/>
      <c r="CP88" s="62"/>
      <c r="CQ88" s="62"/>
      <c r="CR88" s="62"/>
      <c r="CS88" s="62"/>
      <c r="CT88" s="62"/>
      <c r="CU88" s="62"/>
      <c r="CV88" s="62"/>
      <c r="CW88" s="62"/>
      <c r="CX88" s="62"/>
      <c r="CY88" s="67"/>
      <c r="CZ88" s="67"/>
      <c r="DA88" s="67"/>
      <c r="DB88" s="67"/>
      <c r="DC88" s="67"/>
      <c r="DD88" s="67"/>
      <c r="DE88" s="67"/>
      <c r="DF88" s="67"/>
      <c r="DG88" s="67"/>
      <c r="DH88" s="67"/>
      <c r="DI88" s="67"/>
      <c r="DJ88" s="67"/>
    </row>
    <row r="89" spans="2:114" ht="15.75">
      <c r="B89" s="62"/>
      <c r="C89" s="62"/>
      <c r="D89" s="209">
        <f t="shared" si="0"/>
        <v>84</v>
      </c>
      <c r="E89" s="126">
        <f>[1]!PBGCLRF(65+D89/12)</f>
        <v>2.2120000000000002</v>
      </c>
      <c r="F89" s="62"/>
      <c r="G89" s="62"/>
      <c r="H89" s="62"/>
      <c r="I89" s="62"/>
      <c r="J89" s="19">
        <v>85</v>
      </c>
      <c r="K89" s="122">
        <f t="shared" si="11"/>
        <v>0.52777777777777946</v>
      </c>
      <c r="L89" s="62"/>
      <c r="M89" s="297">
        <v>85</v>
      </c>
      <c r="N89" s="122">
        <f>[1]!LRFAEQ(0.065,"M",65,M89,0,"GM71","GM71","MP","Y","N","",65)</f>
        <v>2.4320871432888334</v>
      </c>
      <c r="O89" s="62"/>
      <c r="P89" s="62"/>
      <c r="Q89" s="62"/>
      <c r="R89" s="62"/>
      <c r="S89" s="62"/>
      <c r="T89" s="62"/>
      <c r="U89" s="62"/>
      <c r="V89" s="62"/>
      <c r="W89" s="62"/>
      <c r="X89" s="62"/>
      <c r="Y89" s="62"/>
      <c r="Z89" s="62"/>
      <c r="AA89" s="62"/>
      <c r="AB89" s="62"/>
      <c r="AC89" s="62"/>
      <c r="AD89" s="62"/>
      <c r="AE89" s="62"/>
      <c r="AF89" s="62"/>
      <c r="AG89" s="62"/>
      <c r="AH89" s="62"/>
      <c r="AI89" s="62"/>
      <c r="AJ89" s="62"/>
      <c r="AK89" s="62"/>
      <c r="AL89" s="62"/>
      <c r="AM89" s="62"/>
      <c r="AN89" s="62"/>
      <c r="AO89" s="62"/>
      <c r="AP89" s="62"/>
      <c r="AQ89" s="62"/>
      <c r="AR89" s="62"/>
      <c r="AS89" s="62"/>
      <c r="AT89" s="62"/>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c r="BW89" s="62"/>
      <c r="BX89" s="62"/>
      <c r="BY89" s="62"/>
      <c r="BZ89" s="62"/>
      <c r="CA89" s="62"/>
      <c r="CB89" s="62"/>
      <c r="CC89" s="62"/>
      <c r="CD89" s="62"/>
      <c r="CE89" s="62"/>
      <c r="CF89" s="62"/>
      <c r="CG89" s="62"/>
      <c r="CH89" s="62"/>
      <c r="CI89" s="62"/>
      <c r="CJ89" s="62"/>
      <c r="CK89" s="62"/>
      <c r="CL89" s="62"/>
      <c r="CM89" s="62"/>
      <c r="CN89" s="62"/>
      <c r="CO89" s="62"/>
      <c r="CP89" s="62"/>
      <c r="CQ89" s="62"/>
      <c r="CR89" s="62"/>
      <c r="CS89" s="62"/>
      <c r="CT89" s="62"/>
      <c r="CU89" s="62"/>
      <c r="CV89" s="62"/>
      <c r="CW89" s="62"/>
      <c r="CX89" s="62"/>
      <c r="CY89" s="67"/>
      <c r="CZ89" s="67"/>
      <c r="DA89" s="67"/>
      <c r="DB89" s="67"/>
      <c r="DC89" s="67"/>
      <c r="DD89" s="67"/>
      <c r="DE89" s="67"/>
      <c r="DF89" s="67"/>
      <c r="DG89" s="67"/>
      <c r="DH89" s="67"/>
      <c r="DI89" s="67"/>
      <c r="DJ89" s="67"/>
    </row>
    <row r="90" spans="2:114" ht="15.75">
      <c r="B90" s="62"/>
      <c r="C90" s="62"/>
      <c r="D90" s="209">
        <f t="shared" si="0"/>
        <v>85</v>
      </c>
      <c r="E90" s="126">
        <f>[1]!PBGCLRF(65+D90/12)</f>
        <v>2.2349999999999999</v>
      </c>
      <c r="F90" s="62"/>
      <c r="G90" s="62"/>
      <c r="H90" s="62"/>
      <c r="I90" s="62"/>
      <c r="J90" s="19">
        <v>86</v>
      </c>
      <c r="K90" s="122">
        <f t="shared" si="11"/>
        <v>0.52222222222222392</v>
      </c>
      <c r="L90" s="62"/>
      <c r="M90" s="297">
        <v>86</v>
      </c>
      <c r="N90" s="122">
        <f>[1]!LRFAEQ(0.065,"M",65,M90,0,"GM71","GM71","MP","Y","N","",65)</f>
        <v>2.4627682887023221</v>
      </c>
      <c r="O90" s="62"/>
      <c r="P90" s="62"/>
      <c r="Q90" s="62"/>
      <c r="R90" s="62"/>
      <c r="S90" s="62"/>
      <c r="T90" s="62"/>
      <c r="U90" s="62"/>
      <c r="V90" s="62"/>
      <c r="W90" s="62"/>
      <c r="X90" s="62"/>
      <c r="Y90" s="62"/>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62"/>
      <c r="BL90" s="62"/>
      <c r="BM90" s="62"/>
      <c r="BN90" s="62"/>
      <c r="BO90" s="62"/>
      <c r="BP90" s="62"/>
      <c r="BQ90" s="62"/>
      <c r="BR90" s="62"/>
      <c r="BS90" s="62"/>
      <c r="BT90" s="62"/>
      <c r="BU90" s="62"/>
      <c r="BV90" s="62"/>
      <c r="BW90" s="62"/>
      <c r="BX90" s="62"/>
      <c r="BY90" s="62"/>
      <c r="BZ90" s="62"/>
      <c r="CA90" s="62"/>
      <c r="CB90" s="62"/>
      <c r="CC90" s="62"/>
      <c r="CD90" s="62"/>
      <c r="CE90" s="62"/>
      <c r="CF90" s="62"/>
      <c r="CG90" s="62"/>
      <c r="CH90" s="62"/>
      <c r="CI90" s="62"/>
      <c r="CJ90" s="62"/>
      <c r="CK90" s="62"/>
      <c r="CL90" s="62"/>
      <c r="CM90" s="62"/>
      <c r="CN90" s="62"/>
      <c r="CO90" s="62"/>
      <c r="CP90" s="62"/>
      <c r="CQ90" s="62"/>
      <c r="CR90" s="62"/>
      <c r="CS90" s="62"/>
      <c r="CT90" s="62"/>
      <c r="CU90" s="62"/>
      <c r="CV90" s="62"/>
      <c r="CW90" s="62"/>
      <c r="CX90" s="62"/>
      <c r="CY90" s="67"/>
      <c r="CZ90" s="67"/>
      <c r="DA90" s="67"/>
      <c r="DB90" s="67"/>
      <c r="DC90" s="67"/>
      <c r="DD90" s="67"/>
      <c r="DE90" s="67"/>
      <c r="DF90" s="67"/>
      <c r="DG90" s="67"/>
      <c r="DH90" s="67"/>
      <c r="DI90" s="67"/>
      <c r="DJ90" s="67"/>
    </row>
    <row r="91" spans="2:114" ht="15.75">
      <c r="B91" s="62"/>
      <c r="C91" s="62"/>
      <c r="D91" s="209">
        <f t="shared" si="0"/>
        <v>86</v>
      </c>
      <c r="E91" s="126">
        <f>[1]!PBGCLRF(65+D91/12)</f>
        <v>2.258</v>
      </c>
      <c r="F91" s="62"/>
      <c r="G91" s="62"/>
      <c r="H91" s="62"/>
      <c r="I91" s="62"/>
      <c r="J91" s="19">
        <v>87</v>
      </c>
      <c r="K91" s="122">
        <f t="shared" si="11"/>
        <v>0.51666666666666838</v>
      </c>
      <c r="L91" s="62"/>
      <c r="M91" s="297">
        <v>87</v>
      </c>
      <c r="N91" s="122">
        <f>[1]!LRFAEQ(0.065,"M",65,M91,0,"GM71","GM71","MP","Y","N","",65)</f>
        <v>2.4934494341158109</v>
      </c>
      <c r="O91" s="62"/>
      <c r="P91" s="62"/>
      <c r="Q91" s="62"/>
      <c r="R91" s="62"/>
      <c r="S91" s="62"/>
      <c r="T91" s="62"/>
      <c r="U91" s="62"/>
      <c r="V91" s="62"/>
      <c r="W91" s="62"/>
      <c r="X91" s="62"/>
      <c r="Y91" s="62"/>
      <c r="Z91" s="62"/>
      <c r="AA91" s="62"/>
      <c r="AB91" s="62"/>
      <c r="AC91" s="62"/>
      <c r="AD91" s="62"/>
      <c r="AE91" s="62"/>
      <c r="AF91" s="62"/>
      <c r="AG91" s="62"/>
      <c r="AH91" s="62"/>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c r="BG91" s="62"/>
      <c r="BH91" s="62"/>
      <c r="BI91" s="62"/>
      <c r="BJ91" s="62"/>
      <c r="BK91" s="62"/>
      <c r="BL91" s="62"/>
      <c r="BM91" s="62"/>
      <c r="BN91" s="62"/>
      <c r="BO91" s="62"/>
      <c r="BP91" s="62"/>
      <c r="BQ91" s="62"/>
      <c r="BR91" s="62"/>
      <c r="BS91" s="62"/>
      <c r="BT91" s="62"/>
      <c r="BU91" s="62"/>
      <c r="BV91" s="62"/>
      <c r="BW91" s="62"/>
      <c r="BX91" s="62"/>
      <c r="BY91" s="62"/>
      <c r="BZ91" s="62"/>
      <c r="CA91" s="62"/>
      <c r="CB91" s="62"/>
      <c r="CC91" s="62"/>
      <c r="CD91" s="62"/>
      <c r="CE91" s="62"/>
      <c r="CF91" s="62"/>
      <c r="CG91" s="62"/>
      <c r="CH91" s="62"/>
      <c r="CI91" s="62"/>
      <c r="CJ91" s="62"/>
      <c r="CK91" s="62"/>
      <c r="CL91" s="62"/>
      <c r="CM91" s="62"/>
      <c r="CN91" s="62"/>
      <c r="CO91" s="62"/>
      <c r="CP91" s="62"/>
      <c r="CQ91" s="62"/>
      <c r="CR91" s="62"/>
      <c r="CS91" s="62"/>
      <c r="CT91" s="62"/>
      <c r="CU91" s="62"/>
      <c r="CV91" s="62"/>
      <c r="CW91" s="62"/>
      <c r="CX91" s="62"/>
      <c r="CY91" s="67"/>
      <c r="CZ91" s="67"/>
      <c r="DA91" s="67"/>
      <c r="DB91" s="67"/>
      <c r="DC91" s="67"/>
      <c r="DD91" s="67"/>
      <c r="DE91" s="67"/>
      <c r="DF91" s="67"/>
      <c r="DG91" s="67"/>
      <c r="DH91" s="67"/>
      <c r="DI91" s="67"/>
      <c r="DJ91" s="67"/>
    </row>
    <row r="92" spans="2:114" ht="15.75">
      <c r="B92" s="62"/>
      <c r="C92" s="62"/>
      <c r="D92" s="209">
        <f t="shared" si="0"/>
        <v>87</v>
      </c>
      <c r="E92" s="126">
        <f>[1]!PBGCLRF(65+D92/12)</f>
        <v>2.2810000000000001</v>
      </c>
      <c r="F92" s="62"/>
      <c r="G92" s="62"/>
      <c r="H92" s="62"/>
      <c r="I92" s="62"/>
      <c r="J92" s="19">
        <v>88</v>
      </c>
      <c r="K92" s="122">
        <f t="shared" si="11"/>
        <v>0.51111111111111285</v>
      </c>
      <c r="L92" s="62"/>
      <c r="M92" s="297">
        <v>88</v>
      </c>
      <c r="N92" s="122">
        <f>[1]!LRFAEQ(0.065,"M",65,M92,0,"GM71","GM71","MP","Y","N","",65)</f>
        <v>2.5241305795292996</v>
      </c>
      <c r="O92" s="62"/>
      <c r="P92" s="62"/>
      <c r="Q92" s="62"/>
      <c r="R92" s="62"/>
      <c r="S92" s="62"/>
      <c r="T92" s="62"/>
      <c r="U92" s="62"/>
      <c r="V92" s="62"/>
      <c r="W92" s="62"/>
      <c r="X92" s="62"/>
      <c r="Y92" s="62"/>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62"/>
      <c r="BJ92" s="62"/>
      <c r="BK92" s="62"/>
      <c r="BL92" s="62"/>
      <c r="BM92" s="62"/>
      <c r="BN92" s="62"/>
      <c r="BO92" s="62"/>
      <c r="BP92" s="62"/>
      <c r="BQ92" s="62"/>
      <c r="BR92" s="62"/>
      <c r="BS92" s="62"/>
      <c r="BT92" s="62"/>
      <c r="BU92" s="62"/>
      <c r="BV92" s="62"/>
      <c r="BW92" s="62"/>
      <c r="BX92" s="62"/>
      <c r="BY92" s="62"/>
      <c r="BZ92" s="62"/>
      <c r="CA92" s="62"/>
      <c r="CB92" s="62"/>
      <c r="CC92" s="62"/>
      <c r="CD92" s="62"/>
      <c r="CE92" s="62"/>
      <c r="CF92" s="62"/>
      <c r="CG92" s="62"/>
      <c r="CH92" s="62"/>
      <c r="CI92" s="62"/>
      <c r="CJ92" s="62"/>
      <c r="CK92" s="62"/>
      <c r="CL92" s="62"/>
      <c r="CM92" s="62"/>
      <c r="CN92" s="62"/>
      <c r="CO92" s="62"/>
      <c r="CP92" s="62"/>
      <c r="CQ92" s="62"/>
      <c r="CR92" s="62"/>
      <c r="CS92" s="62"/>
      <c r="CT92" s="62"/>
      <c r="CU92" s="62"/>
      <c r="CV92" s="62"/>
      <c r="CW92" s="62"/>
      <c r="CX92" s="62"/>
      <c r="CY92" s="67"/>
      <c r="CZ92" s="67"/>
      <c r="DA92" s="67"/>
      <c r="DB92" s="67"/>
      <c r="DC92" s="67"/>
      <c r="DD92" s="67"/>
      <c r="DE92" s="67"/>
      <c r="DF92" s="67"/>
      <c r="DG92" s="67"/>
      <c r="DH92" s="67"/>
      <c r="DI92" s="67"/>
      <c r="DJ92" s="67"/>
    </row>
    <row r="93" spans="2:114" ht="15.75">
      <c r="B93" s="62"/>
      <c r="C93" s="62"/>
      <c r="D93" s="209">
        <f t="shared" si="0"/>
        <v>88</v>
      </c>
      <c r="E93" s="126">
        <f>[1]!PBGCLRF(65+D93/12)</f>
        <v>2.3039999999999998</v>
      </c>
      <c r="F93" s="62"/>
      <c r="G93" s="62"/>
      <c r="H93" s="62"/>
      <c r="I93" s="62"/>
      <c r="J93" s="19">
        <v>89</v>
      </c>
      <c r="K93" s="122">
        <f t="shared" si="11"/>
        <v>0.50555555555555731</v>
      </c>
      <c r="L93" s="62"/>
      <c r="M93" s="297">
        <v>89</v>
      </c>
      <c r="N93" s="122">
        <f>[1]!LRFAEQ(0.065,"M",65,M93,0,"GM71","GM71","MP","Y","N","",65)</f>
        <v>2.5548117249427893</v>
      </c>
      <c r="O93" s="62"/>
      <c r="P93" s="62"/>
      <c r="Q93" s="62"/>
      <c r="R93" s="62"/>
      <c r="S93" s="62"/>
      <c r="T93" s="62"/>
      <c r="U93" s="62"/>
      <c r="V93" s="62"/>
      <c r="W93" s="62"/>
      <c r="X93" s="62"/>
      <c r="Y93" s="62"/>
      <c r="Z93" s="62"/>
      <c r="AA93" s="62"/>
      <c r="AB93" s="62"/>
      <c r="AC93" s="62"/>
      <c r="AD93" s="62"/>
      <c r="AE93" s="62"/>
      <c r="AF93" s="62"/>
      <c r="AG93" s="62"/>
      <c r="AH93" s="62"/>
      <c r="AI93" s="62"/>
      <c r="AJ93" s="62"/>
      <c r="AK93" s="62"/>
      <c r="AL93" s="62"/>
      <c r="AM93" s="62"/>
      <c r="AN93" s="62"/>
      <c r="AO93" s="62"/>
      <c r="AP93" s="62"/>
      <c r="AQ93" s="62"/>
      <c r="AR93" s="62"/>
      <c r="AS93" s="62"/>
      <c r="AT93" s="62"/>
      <c r="AU93" s="62"/>
      <c r="AV93" s="62"/>
      <c r="AW93" s="62"/>
      <c r="AX93" s="62"/>
      <c r="AY93" s="62"/>
      <c r="AZ93" s="62"/>
      <c r="BA93" s="62"/>
      <c r="BB93" s="62"/>
      <c r="BC93" s="62"/>
      <c r="BD93" s="62"/>
      <c r="BE93" s="62"/>
      <c r="BF93" s="62"/>
      <c r="BG93" s="62"/>
      <c r="BH93" s="62"/>
      <c r="BI93" s="62"/>
      <c r="BJ93" s="62"/>
      <c r="BK93" s="62"/>
      <c r="BL93" s="62"/>
      <c r="BM93" s="62"/>
      <c r="BN93" s="62"/>
      <c r="BO93" s="62"/>
      <c r="BP93" s="62"/>
      <c r="BQ93" s="62"/>
      <c r="BR93" s="62"/>
      <c r="BS93" s="62"/>
      <c r="BT93" s="62"/>
      <c r="BU93" s="62"/>
      <c r="BV93" s="62"/>
      <c r="BW93" s="62"/>
      <c r="BX93" s="62"/>
      <c r="BY93" s="62"/>
      <c r="BZ93" s="62"/>
      <c r="CA93" s="62"/>
      <c r="CB93" s="62"/>
      <c r="CC93" s="62"/>
      <c r="CD93" s="62"/>
      <c r="CE93" s="62"/>
      <c r="CF93" s="62"/>
      <c r="CG93" s="62"/>
      <c r="CH93" s="62"/>
      <c r="CI93" s="62"/>
      <c r="CJ93" s="62"/>
      <c r="CK93" s="62"/>
      <c r="CL93" s="62"/>
      <c r="CM93" s="62"/>
      <c r="CN93" s="62"/>
      <c r="CO93" s="62"/>
      <c r="CP93" s="62"/>
      <c r="CQ93" s="62"/>
      <c r="CR93" s="62"/>
      <c r="CS93" s="62"/>
      <c r="CT93" s="62"/>
      <c r="CU93" s="62"/>
      <c r="CV93" s="62"/>
      <c r="CW93" s="62"/>
      <c r="CX93" s="62"/>
      <c r="CY93" s="67"/>
      <c r="CZ93" s="67"/>
      <c r="DA93" s="67"/>
      <c r="DB93" s="67"/>
      <c r="DC93" s="67"/>
      <c r="DD93" s="67"/>
      <c r="DE93" s="67"/>
      <c r="DF93" s="67"/>
      <c r="DG93" s="67"/>
      <c r="DH93" s="67"/>
      <c r="DI93" s="67"/>
      <c r="DJ93" s="67"/>
    </row>
    <row r="94" spans="2:114" ht="15.75">
      <c r="B94" s="62"/>
      <c r="C94" s="62"/>
      <c r="D94" s="209">
        <f t="shared" si="0"/>
        <v>89</v>
      </c>
      <c r="E94" s="126">
        <f>[1]!PBGCLRF(65+D94/12)</f>
        <v>2.327</v>
      </c>
      <c r="F94" s="62"/>
      <c r="G94" s="62"/>
      <c r="H94" s="62"/>
      <c r="I94" s="62"/>
      <c r="J94" s="19">
        <v>90</v>
      </c>
      <c r="K94" s="122">
        <f t="shared" si="11"/>
        <v>0.50000000000000178</v>
      </c>
      <c r="L94" s="62"/>
      <c r="M94" s="297">
        <v>90</v>
      </c>
      <c r="N94" s="122">
        <f>[1]!LRFAEQ(0.065,"M",65,M94,0,"GM71","GM71","MP","Y","N","",65)</f>
        <v>2.5854928703562781</v>
      </c>
      <c r="O94" s="62"/>
      <c r="P94" s="62"/>
      <c r="Q94" s="62"/>
      <c r="R94" s="62"/>
      <c r="S94" s="62"/>
      <c r="T94" s="62"/>
      <c r="U94" s="62"/>
      <c r="V94" s="62"/>
      <c r="W94" s="62"/>
      <c r="X94" s="62"/>
      <c r="Y94" s="62"/>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c r="CH94" s="62"/>
      <c r="CI94" s="62"/>
      <c r="CJ94" s="62"/>
      <c r="CK94" s="62"/>
      <c r="CL94" s="62"/>
      <c r="CM94" s="62"/>
      <c r="CN94" s="62"/>
      <c r="CO94" s="62"/>
      <c r="CP94" s="62"/>
      <c r="CQ94" s="62"/>
      <c r="CR94" s="62"/>
      <c r="CS94" s="62"/>
      <c r="CT94" s="62"/>
      <c r="CU94" s="62"/>
      <c r="CV94" s="62"/>
      <c r="CW94" s="62"/>
      <c r="CX94" s="62"/>
      <c r="CY94" s="67"/>
      <c r="CZ94" s="67"/>
      <c r="DA94" s="67"/>
      <c r="DB94" s="67"/>
      <c r="DC94" s="67"/>
      <c r="DD94" s="67"/>
      <c r="DE94" s="67"/>
      <c r="DF94" s="67"/>
      <c r="DG94" s="67"/>
      <c r="DH94" s="67"/>
      <c r="DI94" s="67"/>
      <c r="DJ94" s="67"/>
    </row>
    <row r="95" spans="2:114" ht="15.75">
      <c r="B95" s="62"/>
      <c r="C95" s="62"/>
      <c r="D95" s="209">
        <f t="shared" si="0"/>
        <v>90</v>
      </c>
      <c r="E95" s="126">
        <f>[1]!PBGCLRF(65+D95/12)</f>
        <v>2.35</v>
      </c>
      <c r="F95" s="62"/>
      <c r="G95" s="62"/>
      <c r="H95" s="62"/>
      <c r="I95" s="62"/>
      <c r="J95" s="19">
        <v>91</v>
      </c>
      <c r="K95" s="122">
        <f t="shared" si="11"/>
        <v>0.49444444444444624</v>
      </c>
      <c r="L95" s="62"/>
      <c r="M95" s="297">
        <v>91</v>
      </c>
      <c r="N95" s="122">
        <f>[1]!LRFAEQ(0.065,"M",65,M95,0,"GM71","GM71","MP","Y","N","",65)</f>
        <v>2.6161740157697668</v>
      </c>
      <c r="O95" s="62"/>
      <c r="P95" s="62"/>
      <c r="Q95" s="62"/>
      <c r="R95" s="62">
        <f>([1]!NPVF2("MP","SLA","N",AEQ_Rates,"M",55,55,0,0,120,0,"UP84","UP84","P","","")/[1]!NPVF2("MP","SLA","N",AEQ_Rates,"M",55,55,0,0,0,0,"UP84","UP84","P","",""))</f>
        <v>1.0317507540605562</v>
      </c>
      <c r="S95" s="62"/>
      <c r="T95" s="62"/>
      <c r="U95" s="62"/>
      <c r="V95" s="62"/>
      <c r="W95" s="62"/>
      <c r="X95" s="62"/>
      <c r="Y95" s="62"/>
      <c r="Z95" s="62"/>
      <c r="AA95" s="62"/>
      <c r="AB95" s="62"/>
      <c r="AC95" s="62"/>
      <c r="AD95" s="62"/>
      <c r="AE95" s="62"/>
      <c r="AF95" s="62"/>
      <c r="AG95" s="62"/>
      <c r="AH95" s="62"/>
      <c r="AI95" s="62"/>
      <c r="AJ95" s="62"/>
      <c r="AK95" s="62"/>
      <c r="AL95" s="62"/>
      <c r="AM95" s="62"/>
      <c r="AN95" s="62"/>
      <c r="AO95" s="62"/>
      <c r="AP95" s="62"/>
      <c r="AQ95" s="62"/>
      <c r="AR95" s="62"/>
      <c r="AS95" s="62"/>
      <c r="AT95" s="62"/>
      <c r="AU95" s="62"/>
      <c r="AV95" s="62"/>
      <c r="AW95" s="62"/>
      <c r="AX95" s="62"/>
      <c r="AY95" s="62"/>
      <c r="AZ95" s="62"/>
      <c r="BA95" s="62"/>
      <c r="BB95" s="62"/>
      <c r="BC95" s="62"/>
      <c r="BD95" s="62"/>
      <c r="BE95" s="62"/>
      <c r="BF95" s="62"/>
      <c r="BG95" s="62"/>
      <c r="BH95" s="62"/>
      <c r="BI95" s="62"/>
      <c r="BJ95" s="62"/>
      <c r="BK95" s="62"/>
      <c r="BL95" s="62"/>
      <c r="BM95" s="62"/>
      <c r="BN95" s="62"/>
      <c r="BO95" s="62"/>
      <c r="BP95" s="62"/>
      <c r="BQ95" s="62"/>
      <c r="BR95" s="62"/>
      <c r="BS95" s="62"/>
      <c r="BT95" s="62"/>
      <c r="BU95" s="62"/>
      <c r="BV95" s="62"/>
      <c r="BW95" s="62"/>
      <c r="BX95" s="62"/>
      <c r="BY95" s="62"/>
      <c r="BZ95" s="62"/>
      <c r="CA95" s="62"/>
      <c r="CB95" s="62"/>
      <c r="CC95" s="62"/>
      <c r="CD95" s="62"/>
      <c r="CE95" s="62"/>
      <c r="CF95" s="62"/>
      <c r="CG95" s="62"/>
      <c r="CH95" s="62"/>
      <c r="CI95" s="62"/>
      <c r="CJ95" s="62"/>
      <c r="CK95" s="62"/>
      <c r="CL95" s="62"/>
      <c r="CM95" s="62"/>
      <c r="CN95" s="62"/>
      <c r="CO95" s="62"/>
      <c r="CP95" s="62"/>
      <c r="CQ95" s="62"/>
      <c r="CR95" s="62"/>
      <c r="CS95" s="62"/>
      <c r="CT95" s="62"/>
      <c r="CU95" s="62"/>
      <c r="CV95" s="62"/>
      <c r="CW95" s="62"/>
      <c r="CX95" s="62"/>
      <c r="CY95" s="67"/>
      <c r="CZ95" s="67"/>
      <c r="DA95" s="67"/>
      <c r="DB95" s="67"/>
      <c r="DC95" s="67"/>
      <c r="DD95" s="67"/>
      <c r="DE95" s="67"/>
      <c r="DF95" s="67"/>
      <c r="DG95" s="67"/>
      <c r="DH95" s="67"/>
      <c r="DI95" s="67"/>
      <c r="DJ95" s="67"/>
    </row>
    <row r="96" spans="2:114" ht="15.75">
      <c r="B96" s="62"/>
      <c r="C96" s="62"/>
      <c r="D96" s="209">
        <f t="shared" si="0"/>
        <v>91</v>
      </c>
      <c r="E96" s="126">
        <f>[1]!PBGCLRF(65+D96/12)</f>
        <v>2.3730000000000002</v>
      </c>
      <c r="F96" s="62"/>
      <c r="G96" s="62"/>
      <c r="H96" s="62"/>
      <c r="I96" s="62"/>
      <c r="J96" s="19">
        <v>92</v>
      </c>
      <c r="K96" s="122">
        <f t="shared" si="11"/>
        <v>0.4888888888888907</v>
      </c>
      <c r="L96" s="62"/>
      <c r="M96" s="297">
        <v>92</v>
      </c>
      <c r="N96" s="122">
        <f>[1]!LRFAEQ(0.065,"M",65,M96,0,"GM71","GM71","MP","Y","N","",65)</f>
        <v>2.6468551611832556</v>
      </c>
      <c r="O96" s="62"/>
      <c r="P96" s="62"/>
      <c r="Q96" s="62"/>
      <c r="R96" s="62">
        <f>([1]!NPVF2("MP","SLA","N",AEQ_Rates,"M",55,55,0,0,120,0,"UP84","UP84","P","","")/[1]!NPVF2("MP","SLA","N",AEQ_Rates,"M",55,55,0,0,0,0,"UP84","UP84","P","",""))*([1]!NPVF2("MP","JSJ","N",AEQ_Rates,"M",55,55,51,0,0,0,"UP84","UP84","P","","")/([1]!NPVF2("MP","JSC","N",AEQ_Rates,"M",55,55,51,0.5,0,0,"UP84","UP84","P","","")-[1]!NPVF2("MP","SLA","N",AEQ_Rates,"M",55,55,0,0,0,0,"UP84","UP84","P","","")+[1]!NPVF2("MP","JSJ","N",AEQ_Rates,"M",55,55,51,0,0,0,"UP84","UP84","P","","")))</f>
        <v>0.92294819756907309</v>
      </c>
      <c r="S96" s="62"/>
      <c r="T96" s="62"/>
      <c r="U96" s="62"/>
      <c r="V96" s="62"/>
      <c r="W96" s="62"/>
      <c r="X96" s="62"/>
      <c r="Y96" s="62"/>
      <c r="Z96" s="62"/>
      <c r="AA96" s="62"/>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c r="BM96" s="62"/>
      <c r="BN96" s="62"/>
      <c r="BO96" s="62"/>
      <c r="BP96" s="62"/>
      <c r="BQ96" s="62"/>
      <c r="BR96" s="62"/>
      <c r="BS96" s="62"/>
      <c r="BT96" s="62"/>
      <c r="BU96" s="62"/>
      <c r="BV96" s="62"/>
      <c r="BW96" s="62"/>
      <c r="BX96" s="62"/>
      <c r="BY96" s="62"/>
      <c r="BZ96" s="62"/>
      <c r="CA96" s="62"/>
      <c r="CB96" s="62"/>
      <c r="CC96" s="62"/>
      <c r="CD96" s="62"/>
      <c r="CE96" s="62"/>
      <c r="CF96" s="62"/>
      <c r="CG96" s="62"/>
      <c r="CH96" s="62"/>
      <c r="CI96" s="62"/>
      <c r="CJ96" s="62"/>
      <c r="CK96" s="62"/>
      <c r="CL96" s="62"/>
      <c r="CM96" s="62"/>
      <c r="CN96" s="62"/>
      <c r="CO96" s="62"/>
      <c r="CP96" s="62"/>
      <c r="CQ96" s="62"/>
      <c r="CR96" s="62"/>
      <c r="CS96" s="62"/>
      <c r="CT96" s="62"/>
      <c r="CU96" s="62"/>
      <c r="CV96" s="62"/>
      <c r="CW96" s="62"/>
      <c r="CX96" s="62"/>
      <c r="CY96" s="67"/>
      <c r="CZ96" s="67"/>
      <c r="DA96" s="67"/>
      <c r="DB96" s="67"/>
      <c r="DC96" s="67"/>
      <c r="DD96" s="67"/>
      <c r="DE96" s="67"/>
      <c r="DF96" s="67"/>
      <c r="DG96" s="67"/>
      <c r="DH96" s="67"/>
      <c r="DI96" s="67"/>
      <c r="DJ96" s="67"/>
    </row>
    <row r="97" spans="2:114" ht="15.75">
      <c r="B97" s="62"/>
      <c r="C97" s="62"/>
      <c r="D97" s="209">
        <f t="shared" si="0"/>
        <v>92</v>
      </c>
      <c r="E97" s="126">
        <f>[1]!PBGCLRF(65+D97/12)</f>
        <v>2.3959999999999999</v>
      </c>
      <c r="F97" s="62"/>
      <c r="G97" s="62"/>
      <c r="H97" s="62"/>
      <c r="I97" s="62"/>
      <c r="J97" s="19">
        <v>93</v>
      </c>
      <c r="K97" s="122">
        <f t="shared" si="11"/>
        <v>0.48333333333333517</v>
      </c>
      <c r="L97" s="62"/>
      <c r="M97" s="297">
        <v>93</v>
      </c>
      <c r="N97" s="122">
        <f>[1]!LRFAEQ(0.065,"M",65,M97,0,"GM71","GM71","MP","Y","N","",65)</f>
        <v>2.6775363065967444</v>
      </c>
      <c r="O97" s="62"/>
      <c r="P97" s="62"/>
      <c r="Q97" s="62"/>
      <c r="R97" s="62">
        <f>100</f>
        <v>100</v>
      </c>
      <c r="S97" s="62">
        <f>100*R96</f>
        <v>92.294819756907316</v>
      </c>
      <c r="T97" s="62"/>
      <c r="U97" s="62"/>
      <c r="V97" s="62"/>
      <c r="W97" s="62"/>
      <c r="X97" s="62"/>
      <c r="Y97" s="62"/>
      <c r="Z97" s="62"/>
      <c r="AA97" s="62"/>
      <c r="AB97" s="62"/>
      <c r="AC97" s="62"/>
      <c r="AD97" s="62"/>
      <c r="AE97" s="62"/>
      <c r="AF97" s="62"/>
      <c r="AG97" s="62"/>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c r="BJ97" s="62"/>
      <c r="BK97" s="62"/>
      <c r="BL97" s="62"/>
      <c r="BM97" s="62"/>
      <c r="BN97" s="62"/>
      <c r="BO97" s="62"/>
      <c r="BP97" s="62"/>
      <c r="BQ97" s="62"/>
      <c r="BR97" s="62"/>
      <c r="BS97" s="62"/>
      <c r="BT97" s="62"/>
      <c r="BU97" s="62"/>
      <c r="BV97" s="62"/>
      <c r="BW97" s="62"/>
      <c r="BX97" s="62"/>
      <c r="BY97" s="62"/>
      <c r="BZ97" s="62"/>
      <c r="CA97" s="62"/>
      <c r="CB97" s="62"/>
      <c r="CC97" s="62"/>
      <c r="CD97" s="62"/>
      <c r="CE97" s="62"/>
      <c r="CF97" s="62"/>
      <c r="CG97" s="62"/>
      <c r="CH97" s="62"/>
      <c r="CI97" s="62"/>
      <c r="CJ97" s="62"/>
      <c r="CK97" s="62"/>
      <c r="CL97" s="62"/>
      <c r="CM97" s="62"/>
      <c r="CN97" s="62"/>
      <c r="CO97" s="62"/>
      <c r="CP97" s="62"/>
      <c r="CQ97" s="62"/>
      <c r="CR97" s="62"/>
      <c r="CS97" s="62"/>
      <c r="CT97" s="62"/>
      <c r="CU97" s="62"/>
      <c r="CV97" s="62"/>
      <c r="CW97" s="62"/>
      <c r="CX97" s="62"/>
      <c r="CY97" s="67"/>
      <c r="CZ97" s="67"/>
      <c r="DA97" s="67"/>
      <c r="DB97" s="67"/>
      <c r="DC97" s="67"/>
      <c r="DD97" s="67"/>
      <c r="DE97" s="67"/>
      <c r="DF97" s="67"/>
      <c r="DG97" s="67"/>
      <c r="DH97" s="67"/>
      <c r="DI97" s="67"/>
      <c r="DJ97" s="67"/>
    </row>
    <row r="98" spans="2:114" ht="15.75">
      <c r="B98" s="62"/>
      <c r="C98" s="62"/>
      <c r="D98" s="209">
        <f t="shared" si="0"/>
        <v>93</v>
      </c>
      <c r="E98" s="126">
        <f>[1]!PBGCLRF(65+D98/12)</f>
        <v>2.419</v>
      </c>
      <c r="F98" s="62"/>
      <c r="G98" s="62"/>
      <c r="H98" s="62"/>
      <c r="I98" s="62"/>
      <c r="J98" s="19">
        <v>94</v>
      </c>
      <c r="K98" s="122">
        <f t="shared" si="11"/>
        <v>0.47777777777777963</v>
      </c>
      <c r="L98" s="62"/>
      <c r="M98" s="297">
        <v>94</v>
      </c>
      <c r="N98" s="122">
        <f>[1]!LRFAEQ(0.065,"M",65,M98,0,"GM71","GM71","MP","Y","N","",65)</f>
        <v>2.7082174520102336</v>
      </c>
      <c r="O98" s="62"/>
      <c r="P98" s="62"/>
      <c r="Q98" s="62"/>
      <c r="R98" s="62"/>
      <c r="S98" s="62"/>
      <c r="T98" s="62"/>
      <c r="U98" s="62"/>
      <c r="V98" s="62"/>
      <c r="W98" s="62"/>
      <c r="X98" s="62"/>
      <c r="Y98" s="62"/>
      <c r="Z98" s="62"/>
      <c r="AA98" s="62"/>
      <c r="AB98" s="62"/>
      <c r="AC98" s="62"/>
      <c r="AD98" s="62"/>
      <c r="AE98" s="62"/>
      <c r="AF98" s="62"/>
      <c r="AG98" s="62"/>
      <c r="AH98" s="62"/>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62"/>
      <c r="BJ98" s="62"/>
      <c r="BK98" s="62"/>
      <c r="BL98" s="62"/>
      <c r="BM98" s="62"/>
      <c r="BN98" s="62"/>
      <c r="BO98" s="62"/>
      <c r="BP98" s="62"/>
      <c r="BQ98" s="62"/>
      <c r="BR98" s="62"/>
      <c r="BS98" s="62"/>
      <c r="BT98" s="62"/>
      <c r="BU98" s="62"/>
      <c r="BV98" s="62"/>
      <c r="BW98" s="62"/>
      <c r="BX98" s="62"/>
      <c r="BY98" s="62"/>
      <c r="BZ98" s="62"/>
      <c r="CA98" s="62"/>
      <c r="CB98" s="62"/>
      <c r="CC98" s="62"/>
      <c r="CD98" s="62"/>
      <c r="CE98" s="62"/>
      <c r="CF98" s="62"/>
      <c r="CG98" s="62"/>
      <c r="CH98" s="62"/>
      <c r="CI98" s="62"/>
      <c r="CJ98" s="62"/>
      <c r="CK98" s="62"/>
      <c r="CL98" s="62"/>
      <c r="CM98" s="62"/>
      <c r="CN98" s="62"/>
      <c r="CO98" s="62"/>
      <c r="CP98" s="62"/>
      <c r="CQ98" s="62"/>
      <c r="CR98" s="62"/>
      <c r="CS98" s="62"/>
      <c r="CT98" s="62"/>
      <c r="CU98" s="62"/>
      <c r="CV98" s="62"/>
      <c r="CW98" s="62"/>
      <c r="CX98" s="62"/>
      <c r="CY98" s="67"/>
      <c r="CZ98" s="67"/>
      <c r="DA98" s="67"/>
      <c r="DB98" s="67"/>
      <c r="DC98" s="67"/>
      <c r="DD98" s="67"/>
      <c r="DE98" s="67"/>
      <c r="DF98" s="67"/>
      <c r="DG98" s="67"/>
      <c r="DH98" s="67"/>
      <c r="DI98" s="67"/>
      <c r="DJ98" s="67"/>
    </row>
    <row r="99" spans="2:114" ht="15.75">
      <c r="B99" s="62"/>
      <c r="C99" s="62"/>
      <c r="D99" s="209">
        <f t="shared" si="0"/>
        <v>94</v>
      </c>
      <c r="E99" s="126">
        <f>[1]!PBGCLRF(65+D99/12)</f>
        <v>2.4420000000000002</v>
      </c>
      <c r="F99" s="62"/>
      <c r="G99" s="62"/>
      <c r="H99" s="62"/>
      <c r="I99" s="62"/>
      <c r="J99" s="19">
        <v>95</v>
      </c>
      <c r="K99" s="122">
        <f t="shared" si="11"/>
        <v>0.4722222222222241</v>
      </c>
      <c r="L99" s="62"/>
      <c r="M99" s="297">
        <v>95</v>
      </c>
      <c r="N99" s="122">
        <f>[1]!LRFAEQ(0.065,"M",65,M99,0,"GM71","GM71","MP","Y","N","",65)</f>
        <v>2.7388985974237223</v>
      </c>
      <c r="O99" s="62"/>
      <c r="P99" s="62"/>
      <c r="Q99" s="62"/>
      <c r="R99" s="62">
        <f>R97*[1]!NPVF2("MP","SLA","N",AEQ_Rates,"M",55,55,0,0,120,0,"UP84","UP84","P","","")*12</f>
        <v>15933.453457232106</v>
      </c>
      <c r="S99" s="62">
        <f>S97*[1]!NPVF2("MP","JSC","N",AEQ_Rates,"M",55,55,51,0.5,0,0,"UP84","UP84","P","","")*12+(R97*R95-S97)*([1]!NPVF2("MP","SLA","N",AEQ_Rates,"M",55,55,0,0,0,0,"UP84","UP84","P","","")-[1]!NPVF2("MP","JSJ","N",AEQ_Rates,"M",55,55,51,0,0,0,"UP84","UP84","P","",""))*12</f>
        <v>15933.453457232108</v>
      </c>
      <c r="T99" s="62"/>
      <c r="U99" s="62"/>
      <c r="V99" s="62"/>
      <c r="W99" s="62"/>
      <c r="X99" s="62"/>
      <c r="Y99" s="62"/>
      <c r="Z99" s="62"/>
      <c r="AA99" s="62"/>
      <c r="AB99" s="62"/>
      <c r="AC99" s="62"/>
      <c r="AD99" s="62"/>
      <c r="AE99" s="62"/>
      <c r="AF99" s="62"/>
      <c r="AG99" s="62"/>
      <c r="AH99" s="62"/>
      <c r="AI99" s="62"/>
      <c r="AJ99" s="62"/>
      <c r="AK99" s="62"/>
      <c r="AL99" s="62"/>
      <c r="AM99" s="62"/>
      <c r="AN99" s="62"/>
      <c r="AO99" s="62"/>
      <c r="AP99" s="62"/>
      <c r="AQ99" s="62"/>
      <c r="AR99" s="62"/>
      <c r="AS99" s="62"/>
      <c r="AT99" s="62"/>
      <c r="AU99" s="62"/>
      <c r="AV99" s="62"/>
      <c r="AW99" s="62"/>
      <c r="AX99" s="62"/>
      <c r="AY99" s="62"/>
      <c r="AZ99" s="62"/>
      <c r="BA99" s="62"/>
      <c r="BB99" s="62"/>
      <c r="BC99" s="62"/>
      <c r="BD99" s="62"/>
      <c r="BE99" s="62"/>
      <c r="BF99" s="62"/>
      <c r="BG99" s="62"/>
      <c r="BH99" s="62"/>
      <c r="BI99" s="62"/>
      <c r="BJ99" s="62"/>
      <c r="BK99" s="62"/>
      <c r="BL99" s="62"/>
      <c r="BM99" s="62"/>
      <c r="BN99" s="62"/>
      <c r="BO99" s="62"/>
      <c r="BP99" s="62"/>
      <c r="BQ99" s="62"/>
      <c r="BR99" s="62"/>
      <c r="BS99" s="62"/>
      <c r="BT99" s="62"/>
      <c r="BU99" s="62"/>
      <c r="BV99" s="62"/>
      <c r="BW99" s="62"/>
      <c r="BX99" s="62"/>
      <c r="BY99" s="62"/>
      <c r="BZ99" s="62"/>
      <c r="CA99" s="62"/>
      <c r="CB99" s="62"/>
      <c r="CC99" s="62"/>
      <c r="CD99" s="62"/>
      <c r="CE99" s="62"/>
      <c r="CF99" s="62"/>
      <c r="CG99" s="62"/>
      <c r="CH99" s="62"/>
      <c r="CI99" s="62"/>
      <c r="CJ99" s="62"/>
      <c r="CK99" s="62"/>
      <c r="CL99" s="62"/>
      <c r="CM99" s="62"/>
      <c r="CN99" s="62"/>
      <c r="CO99" s="62"/>
      <c r="CP99" s="62"/>
      <c r="CQ99" s="62"/>
      <c r="CR99" s="62"/>
      <c r="CS99" s="62"/>
      <c r="CT99" s="62"/>
      <c r="CU99" s="62"/>
      <c r="CV99" s="62"/>
      <c r="CW99" s="62"/>
      <c r="CX99" s="62"/>
      <c r="CY99" s="67"/>
      <c r="CZ99" s="67"/>
      <c r="DA99" s="67"/>
      <c r="DB99" s="67"/>
      <c r="DC99" s="67"/>
      <c r="DD99" s="67"/>
      <c r="DE99" s="67"/>
      <c r="DF99" s="67"/>
      <c r="DG99" s="67"/>
      <c r="DH99" s="67"/>
      <c r="DI99" s="67"/>
      <c r="DJ99" s="67"/>
    </row>
    <row r="100" spans="2:114" ht="15.75">
      <c r="B100" s="62"/>
      <c r="C100" s="62"/>
      <c r="D100" s="209">
        <f t="shared" si="0"/>
        <v>95</v>
      </c>
      <c r="E100" s="126">
        <f>[1]!PBGCLRF(65+D100/12)</f>
        <v>2.4649999999999999</v>
      </c>
      <c r="F100" s="62"/>
      <c r="G100" s="62"/>
      <c r="H100" s="62"/>
      <c r="I100" s="62"/>
      <c r="J100" s="19">
        <v>96</v>
      </c>
      <c r="K100" s="122">
        <f t="shared" si="11"/>
        <v>0.46666666666666856</v>
      </c>
      <c r="L100" s="62"/>
      <c r="M100" s="297">
        <v>96</v>
      </c>
      <c r="N100" s="122">
        <f>[1]!LRFAEQ(0.065,"M",65,M100,0,"GM71","GM71","MP","Y","N","",65)</f>
        <v>2.7695797428372115</v>
      </c>
      <c r="O100" s="62"/>
      <c r="P100" s="62"/>
      <c r="Q100" s="62"/>
      <c r="R100" s="62"/>
      <c r="S100" s="62"/>
      <c r="T100" s="62"/>
      <c r="U100" s="62"/>
      <c r="V100" s="62"/>
      <c r="W100" s="62"/>
      <c r="X100" s="62"/>
      <c r="Y100" s="62"/>
      <c r="Z100" s="62"/>
      <c r="AA100" s="62"/>
      <c r="AB100" s="62"/>
      <c r="AC100" s="62"/>
      <c r="AD100" s="62"/>
      <c r="AE100" s="62"/>
      <c r="AF100" s="62"/>
      <c r="AG100" s="62"/>
      <c r="AH100" s="62"/>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62"/>
      <c r="BJ100" s="62"/>
      <c r="BK100" s="62"/>
      <c r="BL100" s="62"/>
      <c r="BM100" s="62"/>
      <c r="BN100" s="62"/>
      <c r="BO100" s="62"/>
      <c r="BP100" s="62"/>
      <c r="BQ100" s="62"/>
      <c r="BR100" s="62"/>
      <c r="BS100" s="62"/>
      <c r="BT100" s="62"/>
      <c r="BU100" s="62"/>
      <c r="BV100" s="62"/>
      <c r="BW100" s="62"/>
      <c r="BX100" s="62"/>
      <c r="BY100" s="62"/>
      <c r="BZ100" s="62"/>
      <c r="CA100" s="62"/>
      <c r="CB100" s="62"/>
      <c r="CC100" s="62"/>
      <c r="CD100" s="62"/>
      <c r="CE100" s="62"/>
      <c r="CF100" s="62"/>
      <c r="CG100" s="62"/>
      <c r="CH100" s="62"/>
      <c r="CI100" s="62"/>
      <c r="CJ100" s="62"/>
      <c r="CK100" s="62"/>
      <c r="CL100" s="62"/>
      <c r="CM100" s="62"/>
      <c r="CN100" s="62"/>
      <c r="CO100" s="62"/>
      <c r="CP100" s="62"/>
      <c r="CQ100" s="62"/>
      <c r="CR100" s="62"/>
      <c r="CS100" s="62"/>
      <c r="CT100" s="62"/>
      <c r="CU100" s="62"/>
      <c r="CV100" s="62"/>
      <c r="CW100" s="62"/>
      <c r="CX100" s="62"/>
      <c r="CY100" s="67"/>
      <c r="CZ100" s="67"/>
      <c r="DA100" s="67"/>
      <c r="DB100" s="67"/>
      <c r="DC100" s="67"/>
      <c r="DD100" s="67"/>
      <c r="DE100" s="67"/>
      <c r="DF100" s="67"/>
      <c r="DG100" s="67"/>
      <c r="DH100" s="67"/>
      <c r="DI100" s="67"/>
      <c r="DJ100" s="67"/>
    </row>
    <row r="101" spans="2:114" ht="15.75">
      <c r="B101" s="62"/>
      <c r="C101" s="62"/>
      <c r="D101" s="209">
        <f t="shared" si="0"/>
        <v>96</v>
      </c>
      <c r="E101" s="126">
        <f>[1]!PBGCLRF(65+D101/12)</f>
        <v>2.488</v>
      </c>
      <c r="F101" s="62"/>
      <c r="G101" s="62"/>
      <c r="H101" s="62"/>
      <c r="I101" s="62"/>
      <c r="J101" s="19">
        <v>97</v>
      </c>
      <c r="K101" s="122">
        <f t="shared" si="11"/>
        <v>0.46111111111111303</v>
      </c>
      <c r="L101" s="62"/>
      <c r="M101" s="297">
        <v>97</v>
      </c>
      <c r="N101" s="122">
        <f>[1]!LRFAEQ(0.065,"M",65,M101,0,"GM71","GM71","MP","Y","N","",65)</f>
        <v>2.8063493971086375</v>
      </c>
      <c r="O101" s="62"/>
      <c r="P101" s="62"/>
      <c r="Q101" s="62"/>
      <c r="R101" s="62"/>
      <c r="S101" s="62"/>
      <c r="T101" s="62"/>
      <c r="U101" s="62"/>
      <c r="V101" s="62"/>
      <c r="W101" s="62"/>
      <c r="X101" s="62"/>
      <c r="Y101" s="62"/>
      <c r="Z101" s="62"/>
      <c r="AA101" s="62"/>
      <c r="AB101" s="62"/>
      <c r="AC101" s="62"/>
      <c r="AD101" s="62"/>
      <c r="AE101" s="62"/>
      <c r="AF101" s="62"/>
      <c r="AG101" s="62"/>
      <c r="AH101" s="62"/>
      <c r="AI101" s="62"/>
      <c r="AJ101" s="62"/>
      <c r="AK101" s="62"/>
      <c r="AL101" s="62"/>
      <c r="AM101" s="62"/>
      <c r="AN101" s="62"/>
      <c r="AO101" s="62"/>
      <c r="AP101" s="62"/>
      <c r="AQ101" s="62"/>
      <c r="AR101" s="62"/>
      <c r="AS101" s="62"/>
      <c r="AT101" s="62"/>
      <c r="AU101" s="62"/>
      <c r="AV101" s="62"/>
      <c r="AW101" s="62"/>
      <c r="AX101" s="62"/>
      <c r="AY101" s="62"/>
      <c r="AZ101" s="62"/>
      <c r="BA101" s="62"/>
      <c r="BB101" s="62"/>
      <c r="BC101" s="62"/>
      <c r="BD101" s="62"/>
      <c r="BE101" s="62"/>
      <c r="BF101" s="62"/>
      <c r="BG101" s="62"/>
      <c r="BH101" s="62"/>
      <c r="BI101" s="62"/>
      <c r="BJ101" s="62"/>
      <c r="BK101" s="62"/>
      <c r="BL101" s="62"/>
      <c r="BM101" s="62"/>
      <c r="BN101" s="62"/>
      <c r="BO101" s="62"/>
      <c r="BP101" s="62"/>
      <c r="BQ101" s="62"/>
      <c r="BR101" s="62"/>
      <c r="BS101" s="62"/>
      <c r="BT101" s="62"/>
      <c r="BU101" s="62"/>
      <c r="BV101" s="62"/>
      <c r="BW101" s="62"/>
      <c r="BX101" s="62"/>
      <c r="BY101" s="62"/>
      <c r="BZ101" s="62"/>
      <c r="CA101" s="62"/>
      <c r="CB101" s="62"/>
      <c r="CC101" s="62"/>
      <c r="CD101" s="62"/>
      <c r="CE101" s="62"/>
      <c r="CF101" s="62"/>
      <c r="CG101" s="62"/>
      <c r="CH101" s="62"/>
      <c r="CI101" s="62"/>
      <c r="CJ101" s="62"/>
      <c r="CK101" s="62"/>
      <c r="CL101" s="62"/>
      <c r="CM101" s="62"/>
      <c r="CN101" s="62"/>
      <c r="CO101" s="62"/>
      <c r="CP101" s="62"/>
      <c r="CQ101" s="62"/>
      <c r="CR101" s="62"/>
      <c r="CS101" s="62"/>
      <c r="CT101" s="62"/>
      <c r="CU101" s="62"/>
      <c r="CV101" s="62"/>
      <c r="CW101" s="62"/>
      <c r="CX101" s="62"/>
      <c r="CY101" s="67"/>
      <c r="CZ101" s="67"/>
      <c r="DA101" s="67"/>
      <c r="DB101" s="67"/>
      <c r="DC101" s="67"/>
      <c r="DD101" s="67"/>
      <c r="DE101" s="67"/>
      <c r="DF101" s="67"/>
      <c r="DG101" s="67"/>
      <c r="DH101" s="67"/>
      <c r="DI101" s="67"/>
      <c r="DJ101" s="67"/>
    </row>
    <row r="102" spans="2:114" ht="15.75">
      <c r="B102" s="62"/>
      <c r="C102" s="62"/>
      <c r="D102" s="209">
        <f t="shared" si="0"/>
        <v>97</v>
      </c>
      <c r="E102" s="126">
        <f>[1]!PBGCLRF(65+D102/12)</f>
        <v>2.5110000000000001</v>
      </c>
      <c r="F102" s="62"/>
      <c r="G102" s="62"/>
      <c r="H102" s="62"/>
      <c r="I102" s="62"/>
      <c r="J102" s="19">
        <v>98</v>
      </c>
      <c r="K102" s="122">
        <f t="shared" si="11"/>
        <v>0.45555555555555749</v>
      </c>
      <c r="L102" s="62"/>
      <c r="M102" s="297">
        <v>98</v>
      </c>
      <c r="N102" s="122">
        <f>[1]!LRFAEQ(0.065,"M",65,M102,0,"GM71","GM71","MP","Y","N","",65)</f>
        <v>2.8431190513800635</v>
      </c>
      <c r="O102" s="62"/>
      <c r="P102" s="62"/>
      <c r="Q102" s="62"/>
      <c r="R102" s="62"/>
      <c r="S102" s="62"/>
      <c r="T102" s="62"/>
      <c r="U102" s="62"/>
      <c r="V102" s="62"/>
      <c r="W102" s="62"/>
      <c r="X102" s="62"/>
      <c r="Y102" s="62"/>
      <c r="Z102" s="62"/>
      <c r="AA102" s="62"/>
      <c r="AB102" s="62"/>
      <c r="AC102" s="62"/>
      <c r="AD102" s="62"/>
      <c r="AE102" s="62"/>
      <c r="AF102" s="62"/>
      <c r="AG102" s="62"/>
      <c r="AH102" s="62"/>
      <c r="AI102" s="62"/>
      <c r="AJ102" s="62"/>
      <c r="AK102" s="62"/>
      <c r="AL102" s="62"/>
      <c r="AM102" s="62"/>
      <c r="AN102" s="62"/>
      <c r="AO102" s="62"/>
      <c r="AP102" s="62"/>
      <c r="AQ102" s="62"/>
      <c r="AR102" s="62"/>
      <c r="AS102" s="62"/>
      <c r="AT102" s="62"/>
      <c r="AU102" s="62"/>
      <c r="AV102" s="62"/>
      <c r="AW102" s="62"/>
      <c r="AX102" s="62"/>
      <c r="AY102" s="62"/>
      <c r="AZ102" s="62"/>
      <c r="BA102" s="62"/>
      <c r="BB102" s="62"/>
      <c r="BC102" s="62"/>
      <c r="BD102" s="62"/>
      <c r="BE102" s="62"/>
      <c r="BF102" s="62"/>
      <c r="BG102" s="62"/>
      <c r="BH102" s="62"/>
      <c r="BI102" s="62"/>
      <c r="BJ102" s="62"/>
      <c r="BK102" s="62"/>
      <c r="BL102" s="62"/>
      <c r="BM102" s="62"/>
      <c r="BN102" s="62"/>
      <c r="BO102" s="62"/>
      <c r="BP102" s="62"/>
      <c r="BQ102" s="62"/>
      <c r="BR102" s="62"/>
      <c r="BS102" s="62"/>
      <c r="BT102" s="62"/>
      <c r="BU102" s="62"/>
      <c r="BV102" s="62"/>
      <c r="BW102" s="62"/>
      <c r="BX102" s="62"/>
      <c r="BY102" s="62"/>
      <c r="BZ102" s="62"/>
      <c r="CA102" s="62"/>
      <c r="CB102" s="62"/>
      <c r="CC102" s="62"/>
      <c r="CD102" s="62"/>
      <c r="CE102" s="62"/>
      <c r="CF102" s="62"/>
      <c r="CG102" s="62"/>
      <c r="CH102" s="62"/>
      <c r="CI102" s="62"/>
      <c r="CJ102" s="62"/>
      <c r="CK102" s="62"/>
      <c r="CL102" s="62"/>
      <c r="CM102" s="62"/>
      <c r="CN102" s="62"/>
      <c r="CO102" s="62"/>
      <c r="CP102" s="62"/>
      <c r="CQ102" s="62"/>
      <c r="CR102" s="62"/>
      <c r="CS102" s="62"/>
      <c r="CT102" s="62"/>
      <c r="CU102" s="62"/>
      <c r="CV102" s="62"/>
      <c r="CW102" s="62"/>
      <c r="CX102" s="62"/>
      <c r="CY102" s="67"/>
      <c r="CZ102" s="67"/>
      <c r="DA102" s="67"/>
      <c r="DB102" s="67"/>
      <c r="DC102" s="67"/>
      <c r="DD102" s="67"/>
      <c r="DE102" s="67"/>
      <c r="DF102" s="67"/>
      <c r="DG102" s="67"/>
      <c r="DH102" s="67"/>
      <c r="DI102" s="67"/>
      <c r="DJ102" s="67"/>
    </row>
    <row r="103" spans="2:114" ht="15.75">
      <c r="B103" s="62"/>
      <c r="C103" s="62"/>
      <c r="D103" s="209">
        <f t="shared" si="0"/>
        <v>98</v>
      </c>
      <c r="E103" s="126">
        <f>[1]!PBGCLRF(65+D103/12)</f>
        <v>2.5339999999999998</v>
      </c>
      <c r="F103" s="62"/>
      <c r="G103" s="62"/>
      <c r="H103" s="62"/>
      <c r="I103" s="62"/>
      <c r="J103" s="19">
        <v>99</v>
      </c>
      <c r="K103" s="122">
        <f t="shared" si="11"/>
        <v>0.45000000000000195</v>
      </c>
      <c r="L103" s="62"/>
      <c r="M103" s="297">
        <v>99</v>
      </c>
      <c r="N103" s="122">
        <f>[1]!LRFAEQ(0.065,"M",65,M103,0,"GM71","GM71","MP","Y","N","",65)</f>
        <v>2.8798887056514895</v>
      </c>
      <c r="O103" s="62"/>
      <c r="P103" s="62"/>
      <c r="Q103" s="62"/>
      <c r="R103" s="62"/>
      <c r="S103" s="62"/>
      <c r="T103" s="62"/>
      <c r="U103" s="62"/>
      <c r="V103" s="62"/>
      <c r="W103" s="62"/>
      <c r="X103" s="62"/>
      <c r="Y103" s="62"/>
      <c r="Z103" s="62"/>
      <c r="AA103" s="62"/>
      <c r="AB103" s="62"/>
      <c r="AC103" s="62"/>
      <c r="AD103" s="62"/>
      <c r="AE103" s="62"/>
      <c r="AF103" s="62"/>
      <c r="AG103" s="62"/>
      <c r="AH103" s="62"/>
      <c r="AI103" s="62"/>
      <c r="AJ103" s="62"/>
      <c r="AK103" s="62"/>
      <c r="AL103" s="62"/>
      <c r="AM103" s="62"/>
      <c r="AN103" s="62"/>
      <c r="AO103" s="62"/>
      <c r="AP103" s="62"/>
      <c r="AQ103" s="62"/>
      <c r="AR103" s="62"/>
      <c r="AS103" s="62"/>
      <c r="AT103" s="62"/>
      <c r="AU103" s="62"/>
      <c r="AV103" s="62"/>
      <c r="AW103" s="62"/>
      <c r="AX103" s="62"/>
      <c r="AY103" s="62"/>
      <c r="AZ103" s="62"/>
      <c r="BA103" s="62"/>
      <c r="BB103" s="62"/>
      <c r="BC103" s="62"/>
      <c r="BD103" s="62"/>
      <c r="BE103" s="62"/>
      <c r="BF103" s="62"/>
      <c r="BG103" s="62"/>
      <c r="BH103" s="62"/>
      <c r="BI103" s="62"/>
      <c r="BJ103" s="62"/>
      <c r="BK103" s="62"/>
      <c r="BL103" s="62"/>
      <c r="BM103" s="62"/>
      <c r="BN103" s="62"/>
      <c r="BO103" s="62"/>
      <c r="BP103" s="62"/>
      <c r="BQ103" s="62"/>
      <c r="BR103" s="62"/>
      <c r="BS103" s="62"/>
      <c r="BT103" s="62"/>
      <c r="BU103" s="62"/>
      <c r="BV103" s="62"/>
      <c r="BW103" s="62"/>
      <c r="BX103" s="62"/>
      <c r="BY103" s="62"/>
      <c r="BZ103" s="62"/>
      <c r="CA103" s="62"/>
      <c r="CB103" s="62"/>
      <c r="CC103" s="62"/>
      <c r="CD103" s="62"/>
      <c r="CE103" s="62"/>
      <c r="CF103" s="62"/>
      <c r="CG103" s="62"/>
      <c r="CH103" s="62"/>
      <c r="CI103" s="62"/>
      <c r="CJ103" s="62"/>
      <c r="CK103" s="62"/>
      <c r="CL103" s="62"/>
      <c r="CM103" s="62"/>
      <c r="CN103" s="62"/>
      <c r="CO103" s="62"/>
      <c r="CP103" s="62"/>
      <c r="CQ103" s="62"/>
      <c r="CR103" s="62"/>
      <c r="CS103" s="62"/>
      <c r="CT103" s="62"/>
      <c r="CU103" s="62"/>
      <c r="CV103" s="62"/>
      <c r="CW103" s="62"/>
      <c r="CX103" s="62"/>
      <c r="CY103" s="67"/>
      <c r="CZ103" s="67"/>
      <c r="DA103" s="67"/>
      <c r="DB103" s="67"/>
      <c r="DC103" s="67"/>
      <c r="DD103" s="67"/>
      <c r="DE103" s="67"/>
      <c r="DF103" s="67"/>
      <c r="DG103" s="67"/>
      <c r="DH103" s="67"/>
      <c r="DI103" s="67"/>
      <c r="DJ103" s="67"/>
    </row>
    <row r="104" spans="2:114" ht="15.75">
      <c r="B104" s="62"/>
      <c r="C104" s="62"/>
      <c r="D104" s="209">
        <f t="shared" si="0"/>
        <v>99</v>
      </c>
      <c r="E104" s="126">
        <f>[1]!PBGCLRF(65+D104/12)</f>
        <v>2.5569999999999999</v>
      </c>
      <c r="F104" s="62"/>
      <c r="G104" s="62"/>
      <c r="H104" s="62"/>
      <c r="I104" s="62"/>
      <c r="J104" s="19">
        <v>100</v>
      </c>
      <c r="K104" s="122">
        <f t="shared" si="11"/>
        <v>0.44444444444444642</v>
      </c>
      <c r="L104" s="62"/>
      <c r="M104" s="297">
        <v>100</v>
      </c>
      <c r="N104" s="122">
        <f>[1]!LRFAEQ(0.065,"M",65,M104,0,"GM71","GM71","MP","Y","N","",65)</f>
        <v>2.9166583599229159</v>
      </c>
      <c r="O104" s="62"/>
      <c r="P104" s="62"/>
      <c r="Q104" s="62"/>
      <c r="R104" s="62"/>
      <c r="S104" s="62"/>
      <c r="T104" s="62"/>
      <c r="U104" s="62"/>
      <c r="V104" s="62"/>
      <c r="W104" s="62"/>
      <c r="X104" s="62"/>
      <c r="Y104" s="62"/>
      <c r="Z104" s="62"/>
      <c r="AA104" s="62"/>
      <c r="AB104" s="62"/>
      <c r="AC104" s="62"/>
      <c r="AD104" s="62"/>
      <c r="AE104" s="62"/>
      <c r="AF104" s="62"/>
      <c r="AG104" s="62"/>
      <c r="AH104" s="62"/>
      <c r="AI104" s="62"/>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62"/>
      <c r="BJ104" s="62"/>
      <c r="BK104" s="62"/>
      <c r="BL104" s="62"/>
      <c r="BM104" s="62"/>
      <c r="BN104" s="62"/>
      <c r="BO104" s="62"/>
      <c r="BP104" s="62"/>
      <c r="BQ104" s="62"/>
      <c r="BR104" s="62"/>
      <c r="BS104" s="62"/>
      <c r="BT104" s="62"/>
      <c r="BU104" s="62"/>
      <c r="BV104" s="62"/>
      <c r="BW104" s="62"/>
      <c r="BX104" s="62"/>
      <c r="BY104" s="62"/>
      <c r="BZ104" s="62"/>
      <c r="CA104" s="62"/>
      <c r="CB104" s="62"/>
      <c r="CC104" s="62"/>
      <c r="CD104" s="62"/>
      <c r="CE104" s="62"/>
      <c r="CF104" s="62"/>
      <c r="CG104" s="62"/>
      <c r="CH104" s="62"/>
      <c r="CI104" s="62"/>
      <c r="CJ104" s="62"/>
      <c r="CK104" s="62"/>
      <c r="CL104" s="62"/>
      <c r="CM104" s="62"/>
      <c r="CN104" s="62"/>
      <c r="CO104" s="62"/>
      <c r="CP104" s="62"/>
      <c r="CQ104" s="62"/>
      <c r="CR104" s="62"/>
      <c r="CS104" s="62"/>
      <c r="CT104" s="62"/>
      <c r="CU104" s="62"/>
      <c r="CV104" s="62"/>
      <c r="CW104" s="62"/>
      <c r="CX104" s="62"/>
      <c r="CY104" s="67"/>
      <c r="CZ104" s="67"/>
      <c r="DA104" s="67"/>
      <c r="DB104" s="67"/>
      <c r="DC104" s="67"/>
      <c r="DD104" s="67"/>
      <c r="DE104" s="67"/>
      <c r="DF104" s="67"/>
      <c r="DG104" s="67"/>
      <c r="DH104" s="67"/>
      <c r="DI104" s="67"/>
      <c r="DJ104" s="67"/>
    </row>
    <row r="105" spans="2:114" ht="15.75">
      <c r="B105" s="62"/>
      <c r="C105" s="62"/>
      <c r="D105" s="209">
        <f t="shared" si="0"/>
        <v>100</v>
      </c>
      <c r="E105" s="126">
        <f>[1]!PBGCLRF(65+D105/12)</f>
        <v>2.58</v>
      </c>
      <c r="F105" s="62"/>
      <c r="G105" s="62"/>
      <c r="H105" s="62"/>
      <c r="I105" s="62"/>
      <c r="J105" s="19">
        <v>101</v>
      </c>
      <c r="K105" s="122">
        <f t="shared" si="11"/>
        <v>0.43888888888889088</v>
      </c>
      <c r="L105" s="62"/>
      <c r="M105" s="297">
        <v>101</v>
      </c>
      <c r="N105" s="122">
        <f>[1]!LRFAEQ(0.065,"M",65,M105,0,"GM71","GM71","MP","Y","N","",65)</f>
        <v>2.9534280141943423</v>
      </c>
      <c r="O105" s="62"/>
      <c r="P105" s="62"/>
      <c r="Q105" s="62"/>
      <c r="R105" s="62"/>
      <c r="S105" s="62"/>
      <c r="T105" s="62"/>
      <c r="U105" s="62"/>
      <c r="V105" s="62"/>
      <c r="W105" s="62"/>
      <c r="X105" s="62"/>
      <c r="Y105" s="62"/>
      <c r="Z105" s="62"/>
      <c r="AA105" s="62"/>
      <c r="AB105" s="62"/>
      <c r="AC105" s="62"/>
      <c r="AD105" s="62"/>
      <c r="AE105" s="62"/>
      <c r="AF105" s="62"/>
      <c r="AG105" s="62"/>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c r="BJ105" s="62"/>
      <c r="BK105" s="62"/>
      <c r="BL105" s="62"/>
      <c r="BM105" s="62"/>
      <c r="BN105" s="62"/>
      <c r="BO105" s="62"/>
      <c r="BP105" s="62"/>
      <c r="BQ105" s="62"/>
      <c r="BR105" s="62"/>
      <c r="BS105" s="62"/>
      <c r="BT105" s="62"/>
      <c r="BU105" s="62"/>
      <c r="BV105" s="62"/>
      <c r="BW105" s="62"/>
      <c r="BX105" s="62"/>
      <c r="BY105" s="62"/>
      <c r="BZ105" s="62"/>
      <c r="CA105" s="62"/>
      <c r="CB105" s="62"/>
      <c r="CC105" s="62"/>
      <c r="CD105" s="62"/>
      <c r="CE105" s="62"/>
      <c r="CF105" s="62"/>
      <c r="CG105" s="62"/>
      <c r="CH105" s="62"/>
      <c r="CI105" s="62"/>
      <c r="CJ105" s="62"/>
      <c r="CK105" s="62"/>
      <c r="CL105" s="62"/>
      <c r="CM105" s="62"/>
      <c r="CN105" s="62"/>
      <c r="CO105" s="62"/>
      <c r="CP105" s="62"/>
      <c r="CQ105" s="62"/>
      <c r="CR105" s="62"/>
      <c r="CS105" s="62"/>
      <c r="CT105" s="62"/>
      <c r="CU105" s="62"/>
      <c r="CV105" s="62"/>
      <c r="CW105" s="62"/>
      <c r="CX105" s="62"/>
      <c r="CY105" s="67"/>
      <c r="CZ105" s="67"/>
      <c r="DA105" s="67"/>
      <c r="DB105" s="67"/>
      <c r="DC105" s="67"/>
      <c r="DD105" s="67"/>
      <c r="DE105" s="67"/>
      <c r="DF105" s="67"/>
      <c r="DG105" s="67"/>
      <c r="DH105" s="67"/>
      <c r="DI105" s="67"/>
      <c r="DJ105" s="67"/>
    </row>
    <row r="106" spans="2:114" ht="15.75">
      <c r="B106" s="62"/>
      <c r="C106" s="62"/>
      <c r="D106" s="209">
        <f t="shared" si="0"/>
        <v>101</v>
      </c>
      <c r="E106" s="126">
        <f>[1]!PBGCLRF(65+D106/12)</f>
        <v>2.6030000000000002</v>
      </c>
      <c r="F106" s="62"/>
      <c r="G106" s="62"/>
      <c r="H106" s="62"/>
      <c r="I106" s="62"/>
      <c r="J106" s="19">
        <v>102</v>
      </c>
      <c r="K106" s="122">
        <f t="shared" si="11"/>
        <v>0.43333333333333535</v>
      </c>
      <c r="L106" s="62"/>
      <c r="M106" s="297">
        <v>102</v>
      </c>
      <c r="N106" s="122">
        <f>[1]!LRFAEQ(0.065,"M",65,M106,0,"GM71","GM71","MP","Y","N","",65)</f>
        <v>2.9901976684657683</v>
      </c>
      <c r="O106" s="62"/>
      <c r="P106" s="62"/>
      <c r="Q106" s="62"/>
      <c r="R106" s="62"/>
      <c r="S106" s="62"/>
      <c r="T106" s="62"/>
      <c r="U106" s="62"/>
      <c r="V106" s="62"/>
      <c r="W106" s="62"/>
      <c r="X106" s="62"/>
      <c r="Y106" s="62"/>
      <c r="Z106" s="62"/>
      <c r="AA106" s="62"/>
      <c r="AB106" s="62"/>
      <c r="AC106" s="62"/>
      <c r="AD106" s="62"/>
      <c r="AE106" s="62"/>
      <c r="AF106" s="62"/>
      <c r="AG106" s="62"/>
      <c r="AH106" s="62"/>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c r="BM106" s="62"/>
      <c r="BN106" s="62"/>
      <c r="BO106" s="62"/>
      <c r="BP106" s="62"/>
      <c r="BQ106" s="62"/>
      <c r="BR106" s="62"/>
      <c r="BS106" s="62"/>
      <c r="BT106" s="62"/>
      <c r="BU106" s="62"/>
      <c r="BV106" s="62"/>
      <c r="BW106" s="62"/>
      <c r="BX106" s="62"/>
      <c r="BY106" s="62"/>
      <c r="BZ106" s="62"/>
      <c r="CA106" s="62"/>
      <c r="CB106" s="62"/>
      <c r="CC106" s="62"/>
      <c r="CD106" s="62"/>
      <c r="CE106" s="62"/>
      <c r="CF106" s="62"/>
      <c r="CG106" s="62"/>
      <c r="CH106" s="62"/>
      <c r="CI106" s="62"/>
      <c r="CJ106" s="62"/>
      <c r="CK106" s="62"/>
      <c r="CL106" s="62"/>
      <c r="CM106" s="62"/>
      <c r="CN106" s="62"/>
      <c r="CO106" s="62"/>
      <c r="CP106" s="62"/>
      <c r="CQ106" s="62"/>
      <c r="CR106" s="62"/>
      <c r="CS106" s="62"/>
      <c r="CT106" s="62"/>
      <c r="CU106" s="62"/>
      <c r="CV106" s="62"/>
      <c r="CW106" s="62"/>
      <c r="CX106" s="62"/>
      <c r="CY106" s="67"/>
      <c r="CZ106" s="67"/>
      <c r="DA106" s="67"/>
      <c r="DB106" s="67"/>
      <c r="DC106" s="67"/>
      <c r="DD106" s="67"/>
      <c r="DE106" s="67"/>
      <c r="DF106" s="67"/>
      <c r="DG106" s="67"/>
      <c r="DH106" s="67"/>
      <c r="DI106" s="67"/>
      <c r="DJ106" s="67"/>
    </row>
    <row r="107" spans="2:114" ht="15.75">
      <c r="B107" s="62"/>
      <c r="C107" s="62"/>
      <c r="D107" s="209">
        <f t="shared" si="0"/>
        <v>102</v>
      </c>
      <c r="E107" s="126">
        <f>[1]!PBGCLRF(65+D107/12)</f>
        <v>2.6259999999999999</v>
      </c>
      <c r="F107" s="62"/>
      <c r="G107" s="62"/>
      <c r="H107" s="62"/>
      <c r="I107" s="62"/>
      <c r="J107" s="19">
        <v>103</v>
      </c>
      <c r="K107" s="122">
        <f t="shared" si="11"/>
        <v>0.42777777777777981</v>
      </c>
      <c r="L107" s="62"/>
      <c r="M107" s="297">
        <v>103</v>
      </c>
      <c r="N107" s="122">
        <f>[1]!LRFAEQ(0.065,"M",65,M107,0,"GM71","GM71","MP","Y","N","",65)</f>
        <v>3.0269673227371943</v>
      </c>
      <c r="O107" s="62"/>
      <c r="P107" s="62"/>
      <c r="Q107" s="62"/>
      <c r="R107" s="62"/>
      <c r="S107" s="62"/>
      <c r="T107" s="62"/>
      <c r="U107" s="62"/>
      <c r="V107" s="62"/>
      <c r="W107" s="62"/>
      <c r="X107" s="62"/>
      <c r="Y107" s="62"/>
      <c r="Z107" s="62"/>
      <c r="AA107" s="62"/>
      <c r="AB107" s="62"/>
      <c r="AC107" s="62"/>
      <c r="AD107" s="62"/>
      <c r="AE107" s="62"/>
      <c r="AF107" s="62"/>
      <c r="AG107" s="62"/>
      <c r="AH107" s="62"/>
      <c r="AI107" s="62"/>
      <c r="AJ107" s="62"/>
      <c r="AK107" s="62"/>
      <c r="AL107" s="62"/>
      <c r="AM107" s="62"/>
      <c r="AN107" s="62"/>
      <c r="AO107" s="62"/>
      <c r="AP107" s="62"/>
      <c r="AQ107" s="62"/>
      <c r="AR107" s="62"/>
      <c r="AS107" s="62"/>
      <c r="AT107" s="62"/>
      <c r="AU107" s="62"/>
      <c r="AV107" s="62"/>
      <c r="AW107" s="62"/>
      <c r="AX107" s="62"/>
      <c r="AY107" s="62"/>
      <c r="AZ107" s="62"/>
      <c r="BA107" s="62"/>
      <c r="BB107" s="62"/>
      <c r="BC107" s="62"/>
      <c r="BD107" s="62"/>
      <c r="BE107" s="62"/>
      <c r="BF107" s="62"/>
      <c r="BG107" s="62"/>
      <c r="BH107" s="62"/>
      <c r="BI107" s="62"/>
      <c r="BJ107" s="62"/>
      <c r="BK107" s="62"/>
      <c r="BL107" s="62"/>
      <c r="BM107" s="62"/>
      <c r="BN107" s="62"/>
      <c r="BO107" s="62"/>
      <c r="BP107" s="62"/>
      <c r="BQ107" s="62"/>
      <c r="BR107" s="62"/>
      <c r="BS107" s="62"/>
      <c r="BT107" s="62"/>
      <c r="BU107" s="62"/>
      <c r="BV107" s="62"/>
      <c r="BW107" s="62"/>
      <c r="BX107" s="62"/>
      <c r="BY107" s="62"/>
      <c r="BZ107" s="62"/>
      <c r="CA107" s="62"/>
      <c r="CB107" s="62"/>
      <c r="CC107" s="62"/>
      <c r="CD107" s="62"/>
      <c r="CE107" s="62"/>
      <c r="CF107" s="62"/>
      <c r="CG107" s="62"/>
      <c r="CH107" s="62"/>
      <c r="CI107" s="62"/>
      <c r="CJ107" s="62"/>
      <c r="CK107" s="62"/>
      <c r="CL107" s="62"/>
      <c r="CM107" s="62"/>
      <c r="CN107" s="62"/>
      <c r="CO107" s="62"/>
      <c r="CP107" s="62"/>
      <c r="CQ107" s="62"/>
      <c r="CR107" s="62"/>
      <c r="CS107" s="62"/>
      <c r="CT107" s="62"/>
      <c r="CU107" s="62"/>
      <c r="CV107" s="62"/>
      <c r="CW107" s="62"/>
      <c r="CX107" s="62"/>
      <c r="CY107" s="67"/>
      <c r="CZ107" s="67"/>
      <c r="DA107" s="67"/>
      <c r="DB107" s="67"/>
      <c r="DC107" s="67"/>
      <c r="DD107" s="67"/>
      <c r="DE107" s="67"/>
      <c r="DF107" s="67"/>
      <c r="DG107" s="67"/>
      <c r="DH107" s="67"/>
      <c r="DI107" s="67"/>
      <c r="DJ107" s="67"/>
    </row>
    <row r="108" spans="2:114" ht="15.75">
      <c r="B108" s="62"/>
      <c r="C108" s="62"/>
      <c r="D108" s="209">
        <f t="shared" si="0"/>
        <v>103</v>
      </c>
      <c r="E108" s="126">
        <f>[1]!PBGCLRF(65+D108/12)</f>
        <v>2.649</v>
      </c>
      <c r="F108" s="62"/>
      <c r="G108" s="62"/>
      <c r="H108" s="62"/>
      <c r="I108" s="62"/>
      <c r="J108" s="19">
        <v>104</v>
      </c>
      <c r="K108" s="122">
        <f t="shared" si="11"/>
        <v>0.42222222222222427</v>
      </c>
      <c r="L108" s="62"/>
      <c r="M108" s="297">
        <v>104</v>
      </c>
      <c r="N108" s="122">
        <f>[1]!LRFAEQ(0.065,"M",65,M108,0,"GM71","GM71","MP","Y","N","",65)</f>
        <v>3.0637369770086202</v>
      </c>
      <c r="O108" s="62"/>
      <c r="P108" s="62"/>
      <c r="Q108" s="62"/>
      <c r="R108" s="62"/>
      <c r="S108" s="62"/>
      <c r="T108" s="62"/>
      <c r="U108" s="62"/>
      <c r="V108" s="62"/>
      <c r="W108" s="62"/>
      <c r="X108" s="62"/>
      <c r="Y108" s="62"/>
      <c r="Z108" s="62"/>
      <c r="AA108" s="62"/>
      <c r="AB108" s="62"/>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c r="BM108" s="62"/>
      <c r="BN108" s="62"/>
      <c r="BO108" s="62"/>
      <c r="BP108" s="62"/>
      <c r="BQ108" s="62"/>
      <c r="BR108" s="62"/>
      <c r="BS108" s="62"/>
      <c r="BT108" s="62"/>
      <c r="BU108" s="62"/>
      <c r="BV108" s="62"/>
      <c r="BW108" s="62"/>
      <c r="BX108" s="62"/>
      <c r="BY108" s="62"/>
      <c r="BZ108" s="62"/>
      <c r="CA108" s="62"/>
      <c r="CB108" s="62"/>
      <c r="CC108" s="62"/>
      <c r="CD108" s="62"/>
      <c r="CE108" s="62"/>
      <c r="CF108" s="62"/>
      <c r="CG108" s="62"/>
      <c r="CH108" s="62"/>
      <c r="CI108" s="62"/>
      <c r="CJ108" s="62"/>
      <c r="CK108" s="62"/>
      <c r="CL108" s="62"/>
      <c r="CM108" s="62"/>
      <c r="CN108" s="62"/>
      <c r="CO108" s="62"/>
      <c r="CP108" s="62"/>
      <c r="CQ108" s="62"/>
      <c r="CR108" s="62"/>
      <c r="CS108" s="62"/>
      <c r="CT108" s="62"/>
      <c r="CU108" s="62"/>
      <c r="CV108" s="62"/>
      <c r="CW108" s="62"/>
      <c r="CX108" s="62"/>
      <c r="CY108" s="67"/>
      <c r="CZ108" s="67"/>
      <c r="DA108" s="67"/>
      <c r="DB108" s="67"/>
      <c r="DC108" s="67"/>
      <c r="DD108" s="67"/>
      <c r="DE108" s="67"/>
      <c r="DF108" s="67"/>
      <c r="DG108" s="67"/>
      <c r="DH108" s="67"/>
      <c r="DI108" s="67"/>
      <c r="DJ108" s="67"/>
    </row>
    <row r="109" spans="2:114" ht="15.75">
      <c r="B109" s="62"/>
      <c r="C109" s="62"/>
      <c r="D109" s="209">
        <f t="shared" si="0"/>
        <v>104</v>
      </c>
      <c r="E109" s="126">
        <f>[1]!PBGCLRF(65+D109/12)</f>
        <v>2.6720000000000002</v>
      </c>
      <c r="F109" s="62"/>
      <c r="G109" s="62"/>
      <c r="H109" s="62"/>
      <c r="I109" s="62"/>
      <c r="J109" s="19">
        <v>105</v>
      </c>
      <c r="K109" s="122">
        <f t="shared" si="11"/>
        <v>0.41666666666666874</v>
      </c>
      <c r="L109" s="62"/>
      <c r="M109" s="297">
        <v>105</v>
      </c>
      <c r="N109" s="122">
        <f>[1]!LRFAEQ(0.065,"M",65,M109,0,"GM71","GM71","MP","Y","N","",65)</f>
        <v>3.1005066312800471</v>
      </c>
      <c r="O109" s="62"/>
      <c r="P109" s="62"/>
      <c r="Q109" s="62"/>
      <c r="R109" s="62"/>
      <c r="S109" s="62"/>
      <c r="T109" s="62"/>
      <c r="U109" s="62"/>
      <c r="V109" s="62"/>
      <c r="W109" s="62"/>
      <c r="X109" s="62"/>
      <c r="Y109" s="62"/>
      <c r="Z109" s="62"/>
      <c r="AA109" s="62"/>
      <c r="AB109" s="62"/>
      <c r="AC109" s="62"/>
      <c r="AD109" s="62"/>
      <c r="AE109" s="62"/>
      <c r="AF109" s="62"/>
      <c r="AG109" s="62"/>
      <c r="AH109" s="62"/>
      <c r="AI109" s="62"/>
      <c r="AJ109" s="62"/>
      <c r="AK109" s="62"/>
      <c r="AL109" s="62"/>
      <c r="AM109" s="62"/>
      <c r="AN109" s="62"/>
      <c r="AO109" s="62"/>
      <c r="AP109" s="62"/>
      <c r="AQ109" s="62"/>
      <c r="AR109" s="62"/>
      <c r="AS109" s="62"/>
      <c r="AT109" s="62"/>
      <c r="AU109" s="62"/>
      <c r="AV109" s="62"/>
      <c r="AW109" s="62"/>
      <c r="AX109" s="62"/>
      <c r="AY109" s="62"/>
      <c r="AZ109" s="62"/>
      <c r="BA109" s="62"/>
      <c r="BB109" s="62"/>
      <c r="BC109" s="62"/>
      <c r="BD109" s="62"/>
      <c r="BE109" s="62"/>
      <c r="BF109" s="62"/>
      <c r="BG109" s="62"/>
      <c r="BH109" s="62"/>
      <c r="BI109" s="62"/>
      <c r="BJ109" s="62"/>
      <c r="BK109" s="62"/>
      <c r="BL109" s="62"/>
      <c r="BM109" s="62"/>
      <c r="BN109" s="62"/>
      <c r="BO109" s="62"/>
      <c r="BP109" s="62"/>
      <c r="BQ109" s="62"/>
      <c r="BR109" s="62"/>
      <c r="BS109" s="62"/>
      <c r="BT109" s="62"/>
      <c r="BU109" s="62"/>
      <c r="BV109" s="62"/>
      <c r="BW109" s="62"/>
      <c r="BX109" s="62"/>
      <c r="BY109" s="62"/>
      <c r="BZ109" s="62"/>
      <c r="CA109" s="62"/>
      <c r="CB109" s="62"/>
      <c r="CC109" s="62"/>
      <c r="CD109" s="62"/>
      <c r="CE109" s="62"/>
      <c r="CF109" s="62"/>
      <c r="CG109" s="62"/>
      <c r="CH109" s="62"/>
      <c r="CI109" s="62"/>
      <c r="CJ109" s="62"/>
      <c r="CK109" s="62"/>
      <c r="CL109" s="62"/>
      <c r="CM109" s="62"/>
      <c r="CN109" s="62"/>
      <c r="CO109" s="62"/>
      <c r="CP109" s="62"/>
      <c r="CQ109" s="62"/>
      <c r="CR109" s="62"/>
      <c r="CS109" s="62"/>
      <c r="CT109" s="62"/>
      <c r="CU109" s="62"/>
      <c r="CV109" s="62"/>
      <c r="CW109" s="62"/>
      <c r="CX109" s="62"/>
      <c r="CY109" s="67"/>
      <c r="CZ109" s="67"/>
      <c r="DA109" s="67"/>
      <c r="DB109" s="67"/>
      <c r="DC109" s="67"/>
      <c r="DD109" s="67"/>
      <c r="DE109" s="67"/>
      <c r="DF109" s="67"/>
      <c r="DG109" s="67"/>
      <c r="DH109" s="67"/>
      <c r="DI109" s="67"/>
      <c r="DJ109" s="67"/>
    </row>
    <row r="110" spans="2:114" ht="15.75">
      <c r="B110" s="62"/>
      <c r="C110" s="62"/>
      <c r="D110" s="209">
        <f t="shared" si="0"/>
        <v>105</v>
      </c>
      <c r="E110" s="126">
        <f>[1]!PBGCLRF(65+D110/12)</f>
        <v>2.6949999999999998</v>
      </c>
      <c r="F110" s="62"/>
      <c r="G110" s="62"/>
      <c r="H110" s="62"/>
      <c r="I110" s="62"/>
      <c r="J110" s="19">
        <v>106</v>
      </c>
      <c r="K110" s="122">
        <f t="shared" si="11"/>
        <v>0.4111111111111132</v>
      </c>
      <c r="L110" s="62"/>
      <c r="M110" s="297">
        <v>106</v>
      </c>
      <c r="N110" s="122">
        <f>[1]!LRFAEQ(0.065,"M",65,M110,0,"GM71","GM71","MP","Y","N","",65)</f>
        <v>3.1372762855514731</v>
      </c>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c r="CH110" s="62"/>
      <c r="CI110" s="62"/>
      <c r="CJ110" s="62"/>
      <c r="CK110" s="62"/>
      <c r="CL110" s="62"/>
      <c r="CM110" s="62"/>
      <c r="CN110" s="62"/>
      <c r="CO110" s="62"/>
      <c r="CP110" s="62"/>
      <c r="CQ110" s="62"/>
      <c r="CR110" s="62"/>
      <c r="CS110" s="62"/>
      <c r="CT110" s="62"/>
      <c r="CU110" s="62"/>
      <c r="CV110" s="62"/>
      <c r="CW110" s="62"/>
      <c r="CX110" s="62"/>
      <c r="CY110" s="67"/>
      <c r="CZ110" s="67"/>
      <c r="DA110" s="67"/>
      <c r="DB110" s="67"/>
      <c r="DC110" s="67"/>
      <c r="DD110" s="67"/>
      <c r="DE110" s="67"/>
      <c r="DF110" s="67"/>
      <c r="DG110" s="67"/>
      <c r="DH110" s="67"/>
      <c r="DI110" s="67"/>
      <c r="DJ110" s="67"/>
    </row>
    <row r="111" spans="2:114" ht="15.75">
      <c r="B111" s="62"/>
      <c r="C111" s="62"/>
      <c r="D111" s="209">
        <f t="shared" si="0"/>
        <v>106</v>
      </c>
      <c r="E111" s="126">
        <f>[1]!PBGCLRF(65+D111/12)</f>
        <v>2.718</v>
      </c>
      <c r="F111" s="62"/>
      <c r="G111" s="62"/>
      <c r="H111" s="62"/>
      <c r="I111" s="62"/>
      <c r="J111" s="19">
        <v>107</v>
      </c>
      <c r="K111" s="122">
        <f t="shared" si="11"/>
        <v>0.40555555555555767</v>
      </c>
      <c r="L111" s="62"/>
      <c r="M111" s="297">
        <v>107</v>
      </c>
      <c r="N111" s="122">
        <f>[1]!LRFAEQ(0.065,"M",65,M111,0,"GM71","GM71","MP","Y","N","",65)</f>
        <v>3.1740459398228991</v>
      </c>
      <c r="O111" s="62"/>
      <c r="P111" s="62"/>
      <c r="Q111" s="62"/>
      <c r="R111" s="62"/>
      <c r="S111" s="62"/>
      <c r="T111" s="62"/>
      <c r="U111" s="62"/>
      <c r="V111" s="62"/>
      <c r="W111" s="62"/>
      <c r="X111" s="62"/>
      <c r="Y111" s="62"/>
      <c r="Z111" s="62"/>
      <c r="AA111" s="62"/>
      <c r="AB111" s="62"/>
      <c r="AC111" s="62"/>
      <c r="AD111" s="62"/>
      <c r="AE111" s="62"/>
      <c r="AF111" s="62"/>
      <c r="AG111" s="62"/>
      <c r="AH111" s="62"/>
      <c r="AI111" s="62"/>
      <c r="AJ111" s="62"/>
      <c r="AK111" s="62"/>
      <c r="AL111" s="62"/>
      <c r="AM111" s="62"/>
      <c r="AN111" s="62"/>
      <c r="AO111" s="62"/>
      <c r="AP111" s="62"/>
      <c r="AQ111" s="62"/>
      <c r="AR111" s="62"/>
      <c r="AS111" s="62"/>
      <c r="AT111" s="62"/>
      <c r="AU111" s="62"/>
      <c r="AV111" s="62"/>
      <c r="AW111" s="62"/>
      <c r="AX111" s="62"/>
      <c r="AY111" s="62"/>
      <c r="AZ111" s="62"/>
      <c r="BA111" s="62"/>
      <c r="BB111" s="62"/>
      <c r="BC111" s="62"/>
      <c r="BD111" s="62"/>
      <c r="BE111" s="62"/>
      <c r="BF111" s="62"/>
      <c r="BG111" s="62"/>
      <c r="BH111" s="62"/>
      <c r="BI111" s="62"/>
      <c r="BJ111" s="62"/>
      <c r="BK111" s="62"/>
      <c r="BL111" s="62"/>
      <c r="BM111" s="62"/>
      <c r="BN111" s="62"/>
      <c r="BO111" s="62"/>
      <c r="BP111" s="62"/>
      <c r="BQ111" s="62"/>
      <c r="BR111" s="62"/>
      <c r="BS111" s="62"/>
      <c r="BT111" s="62"/>
      <c r="BU111" s="62"/>
      <c r="BV111" s="62"/>
      <c r="BW111" s="62"/>
      <c r="BX111" s="62"/>
      <c r="BY111" s="62"/>
      <c r="BZ111" s="62"/>
      <c r="CA111" s="62"/>
      <c r="CB111" s="62"/>
      <c r="CC111" s="62"/>
      <c r="CD111" s="62"/>
      <c r="CE111" s="62"/>
      <c r="CF111" s="62"/>
      <c r="CG111" s="62"/>
      <c r="CH111" s="62"/>
      <c r="CI111" s="62"/>
      <c r="CJ111" s="62"/>
      <c r="CK111" s="62"/>
      <c r="CL111" s="62"/>
      <c r="CM111" s="62"/>
      <c r="CN111" s="62"/>
      <c r="CO111" s="62"/>
      <c r="CP111" s="62"/>
      <c r="CQ111" s="62"/>
      <c r="CR111" s="62"/>
      <c r="CS111" s="62"/>
      <c r="CT111" s="62"/>
      <c r="CU111" s="62"/>
      <c r="CV111" s="62"/>
      <c r="CW111" s="62"/>
      <c r="CX111" s="62"/>
      <c r="CY111" s="67"/>
      <c r="CZ111" s="67"/>
      <c r="DA111" s="67"/>
      <c r="DB111" s="67"/>
      <c r="DC111" s="67"/>
      <c r="DD111" s="67"/>
      <c r="DE111" s="67"/>
      <c r="DF111" s="67"/>
      <c r="DG111" s="67"/>
      <c r="DH111" s="67"/>
      <c r="DI111" s="67"/>
      <c r="DJ111" s="67"/>
    </row>
    <row r="112" spans="2:114" ht="15.75">
      <c r="B112" s="62"/>
      <c r="C112" s="62"/>
      <c r="D112" s="209">
        <f t="shared" si="0"/>
        <v>107</v>
      </c>
      <c r="E112" s="126">
        <f>[1]!PBGCLRF(65+D112/12)</f>
        <v>2.7410000000000001</v>
      </c>
      <c r="F112" s="62"/>
      <c r="G112" s="62"/>
      <c r="H112" s="62"/>
      <c r="I112" s="62"/>
      <c r="J112" s="19">
        <v>108</v>
      </c>
      <c r="K112" s="122">
        <f t="shared" si="11"/>
        <v>0.40000000000000213</v>
      </c>
      <c r="L112" s="62"/>
      <c r="M112" s="297">
        <v>108</v>
      </c>
      <c r="N112" s="122">
        <f>[1]!LRFAEQ(0.065,"M",65,M112,0,"GM71","GM71","MP","Y","N","",65)</f>
        <v>3.210815594094325</v>
      </c>
      <c r="O112" s="62"/>
      <c r="P112" s="62"/>
      <c r="Q112" s="62"/>
      <c r="R112" s="62"/>
      <c r="S112" s="62"/>
      <c r="T112" s="62"/>
      <c r="U112" s="62"/>
      <c r="V112" s="62"/>
      <c r="W112" s="62"/>
      <c r="X112" s="62"/>
      <c r="Y112" s="62"/>
      <c r="Z112" s="62"/>
      <c r="AA112" s="62"/>
      <c r="AB112" s="62"/>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c r="BM112" s="62"/>
      <c r="BN112" s="62"/>
      <c r="BO112" s="62"/>
      <c r="BP112" s="62"/>
      <c r="BQ112" s="62"/>
      <c r="BR112" s="62"/>
      <c r="BS112" s="62"/>
      <c r="BT112" s="62"/>
      <c r="BU112" s="62"/>
      <c r="BV112" s="62"/>
      <c r="BW112" s="62"/>
      <c r="BX112" s="62"/>
      <c r="BY112" s="62"/>
      <c r="BZ112" s="62"/>
      <c r="CA112" s="62"/>
      <c r="CB112" s="62"/>
      <c r="CC112" s="62"/>
      <c r="CD112" s="62"/>
      <c r="CE112" s="62"/>
      <c r="CF112" s="62"/>
      <c r="CG112" s="62"/>
      <c r="CH112" s="62"/>
      <c r="CI112" s="62"/>
      <c r="CJ112" s="62"/>
      <c r="CK112" s="62"/>
      <c r="CL112" s="62"/>
      <c r="CM112" s="62"/>
      <c r="CN112" s="62"/>
      <c r="CO112" s="62"/>
      <c r="CP112" s="62"/>
      <c r="CQ112" s="62"/>
      <c r="CR112" s="62"/>
      <c r="CS112" s="62"/>
      <c r="CT112" s="62"/>
      <c r="CU112" s="62"/>
      <c r="CV112" s="62"/>
      <c r="CW112" s="62"/>
      <c r="CX112" s="62"/>
      <c r="CY112" s="67"/>
      <c r="CZ112" s="67"/>
      <c r="DA112" s="67"/>
      <c r="DB112" s="67"/>
      <c r="DC112" s="67"/>
      <c r="DD112" s="67"/>
      <c r="DE112" s="67"/>
      <c r="DF112" s="67"/>
      <c r="DG112" s="67"/>
      <c r="DH112" s="67"/>
      <c r="DI112" s="67"/>
      <c r="DJ112" s="67"/>
    </row>
    <row r="113" spans="2:114" ht="15.75">
      <c r="B113" s="62"/>
      <c r="C113" s="62"/>
      <c r="D113" s="209">
        <f t="shared" si="0"/>
        <v>108</v>
      </c>
      <c r="E113" s="126">
        <f>[1]!PBGCLRF(65+D113/12)</f>
        <v>2.7639999999999998</v>
      </c>
      <c r="F113" s="62"/>
      <c r="G113" s="62"/>
      <c r="H113" s="62"/>
      <c r="I113" s="62"/>
      <c r="J113" s="19">
        <v>109</v>
      </c>
      <c r="K113" s="122">
        <f t="shared" si="11"/>
        <v>0.3944444444444466</v>
      </c>
      <c r="L113" s="62"/>
      <c r="M113" s="297">
        <v>109</v>
      </c>
      <c r="N113" s="122">
        <f>[1]!LRFAEQ(0.065,"M",65,M113,0,"GM71","GM71","MP","Y","N","",65)</f>
        <v>3.2551882730870374</v>
      </c>
      <c r="O113" s="62"/>
      <c r="P113" s="62"/>
      <c r="Q113" s="62"/>
      <c r="R113" s="62"/>
      <c r="S113" s="62"/>
      <c r="T113" s="62"/>
      <c r="U113" s="62"/>
      <c r="V113" s="62"/>
      <c r="W113" s="62"/>
      <c r="X113" s="62"/>
      <c r="Y113" s="62"/>
      <c r="Z113" s="62"/>
      <c r="AA113" s="62"/>
      <c r="AB113" s="62"/>
      <c r="AC113" s="62"/>
      <c r="AD113" s="62"/>
      <c r="AE113" s="62"/>
      <c r="AF113" s="62"/>
      <c r="AG113" s="62"/>
      <c r="AH113" s="62"/>
      <c r="AI113" s="62"/>
      <c r="AJ113" s="62"/>
      <c r="AK113" s="62"/>
      <c r="AL113" s="62"/>
      <c r="AM113" s="62"/>
      <c r="AN113" s="62"/>
      <c r="AO113" s="62"/>
      <c r="AP113" s="62"/>
      <c r="AQ113" s="62"/>
      <c r="AR113" s="62"/>
      <c r="AS113" s="62"/>
      <c r="AT113" s="62"/>
      <c r="AU113" s="62"/>
      <c r="AV113" s="62"/>
      <c r="AW113" s="62"/>
      <c r="AX113" s="62"/>
      <c r="AY113" s="62"/>
      <c r="AZ113" s="62"/>
      <c r="BA113" s="62"/>
      <c r="BB113" s="62"/>
      <c r="BC113" s="62"/>
      <c r="BD113" s="62"/>
      <c r="BE113" s="62"/>
      <c r="BF113" s="62"/>
      <c r="BG113" s="62"/>
      <c r="BH113" s="62"/>
      <c r="BI113" s="62"/>
      <c r="BJ113" s="62"/>
      <c r="BK113" s="62"/>
      <c r="BL113" s="62"/>
      <c r="BM113" s="62"/>
      <c r="BN113" s="62"/>
      <c r="BO113" s="62"/>
      <c r="BP113" s="62"/>
      <c r="BQ113" s="62"/>
      <c r="BR113" s="62"/>
      <c r="BS113" s="62"/>
      <c r="BT113" s="62"/>
      <c r="BU113" s="62"/>
      <c r="BV113" s="62"/>
      <c r="BW113" s="62"/>
      <c r="BX113" s="62"/>
      <c r="BY113" s="62"/>
      <c r="BZ113" s="62"/>
      <c r="CA113" s="62"/>
      <c r="CB113" s="62"/>
      <c r="CC113" s="62"/>
      <c r="CD113" s="62"/>
      <c r="CE113" s="62"/>
      <c r="CF113" s="62"/>
      <c r="CG113" s="62"/>
      <c r="CH113" s="62"/>
      <c r="CI113" s="62"/>
      <c r="CJ113" s="62"/>
      <c r="CK113" s="62"/>
      <c r="CL113" s="62"/>
      <c r="CM113" s="62"/>
      <c r="CN113" s="62"/>
      <c r="CO113" s="62"/>
      <c r="CP113" s="62"/>
      <c r="CQ113" s="62"/>
      <c r="CR113" s="62"/>
      <c r="CS113" s="62"/>
      <c r="CT113" s="62"/>
      <c r="CU113" s="62"/>
      <c r="CV113" s="62"/>
      <c r="CW113" s="62"/>
      <c r="CX113" s="62"/>
      <c r="CY113" s="67"/>
      <c r="CZ113" s="67"/>
      <c r="DA113" s="67"/>
      <c r="DB113" s="67"/>
      <c r="DC113" s="67"/>
      <c r="DD113" s="67"/>
      <c r="DE113" s="67"/>
      <c r="DF113" s="67"/>
      <c r="DG113" s="67"/>
      <c r="DH113" s="67"/>
      <c r="DI113" s="67"/>
      <c r="DJ113" s="67"/>
    </row>
    <row r="114" spans="2:114" ht="15.75">
      <c r="B114" s="62"/>
      <c r="C114" s="62"/>
      <c r="D114" s="209">
        <f t="shared" si="0"/>
        <v>109</v>
      </c>
      <c r="E114" s="126">
        <f>[1]!PBGCLRF(65+D114/12)</f>
        <v>2.7869999999999999</v>
      </c>
      <c r="F114" s="62"/>
      <c r="G114" s="62"/>
      <c r="H114" s="62"/>
      <c r="I114" s="62"/>
      <c r="J114" s="19">
        <v>110</v>
      </c>
      <c r="K114" s="122">
        <f t="shared" si="11"/>
        <v>0.38888888888889106</v>
      </c>
      <c r="L114" s="62"/>
      <c r="M114" s="297">
        <v>110</v>
      </c>
      <c r="N114" s="122">
        <f>[1]!LRFAEQ(0.065,"M",65,M114,0,"GM71","GM71","MP","Y","N","",65)</f>
        <v>3.2995609520797506</v>
      </c>
      <c r="O114" s="62"/>
      <c r="P114" s="62"/>
      <c r="Q114" s="62"/>
      <c r="R114" s="62"/>
      <c r="S114" s="62"/>
      <c r="T114" s="62"/>
      <c r="U114" s="62"/>
      <c r="V114" s="62"/>
      <c r="W114" s="62"/>
      <c r="X114" s="62"/>
      <c r="Y114" s="62"/>
      <c r="Z114" s="62"/>
      <c r="AA114" s="62"/>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c r="BM114" s="62"/>
      <c r="BN114" s="62"/>
      <c r="BO114" s="62"/>
      <c r="BP114" s="62"/>
      <c r="BQ114" s="62"/>
      <c r="BR114" s="62"/>
      <c r="BS114" s="62"/>
      <c r="BT114" s="62"/>
      <c r="BU114" s="62"/>
      <c r="BV114" s="62"/>
      <c r="BW114" s="62"/>
      <c r="BX114" s="62"/>
      <c r="BY114" s="62"/>
      <c r="BZ114" s="62"/>
      <c r="CA114" s="62"/>
      <c r="CB114" s="62"/>
      <c r="CC114" s="62"/>
      <c r="CD114" s="62"/>
      <c r="CE114" s="62"/>
      <c r="CF114" s="62"/>
      <c r="CG114" s="62"/>
      <c r="CH114" s="62"/>
      <c r="CI114" s="62"/>
      <c r="CJ114" s="62"/>
      <c r="CK114" s="62"/>
      <c r="CL114" s="62"/>
      <c r="CM114" s="62"/>
      <c r="CN114" s="62"/>
      <c r="CO114" s="62"/>
      <c r="CP114" s="62"/>
      <c r="CQ114" s="62"/>
      <c r="CR114" s="62"/>
      <c r="CS114" s="62"/>
      <c r="CT114" s="62"/>
      <c r="CU114" s="62"/>
      <c r="CV114" s="62"/>
      <c r="CW114" s="62"/>
      <c r="CX114" s="62"/>
      <c r="CY114" s="67"/>
      <c r="CZ114" s="67"/>
      <c r="DA114" s="67"/>
      <c r="DB114" s="67"/>
      <c r="DC114" s="67"/>
      <c r="DD114" s="67"/>
      <c r="DE114" s="67"/>
      <c r="DF114" s="67"/>
      <c r="DG114" s="67"/>
      <c r="DH114" s="67"/>
      <c r="DI114" s="67"/>
      <c r="DJ114" s="67"/>
    </row>
    <row r="115" spans="2:114" ht="15.75">
      <c r="B115" s="62"/>
      <c r="C115" s="62"/>
      <c r="D115" s="209">
        <f t="shared" si="0"/>
        <v>110</v>
      </c>
      <c r="E115" s="126">
        <f>[1]!PBGCLRF(65+D115/12)</f>
        <v>2.81</v>
      </c>
      <c r="F115" s="62"/>
      <c r="G115" s="62"/>
      <c r="H115" s="62"/>
      <c r="I115" s="62"/>
      <c r="J115" s="19">
        <v>111</v>
      </c>
      <c r="K115" s="122">
        <f t="shared" si="11"/>
        <v>0.38333333333333552</v>
      </c>
      <c r="L115" s="62"/>
      <c r="M115" s="297">
        <v>111</v>
      </c>
      <c r="N115" s="122">
        <f>[1]!LRFAEQ(0.065,"M",65,M115,0,"GM71","GM71","MP","Y","N","",65)</f>
        <v>3.343933631072463</v>
      </c>
      <c r="O115" s="62"/>
      <c r="P115" s="62"/>
      <c r="Q115" s="62"/>
      <c r="R115" s="62"/>
      <c r="S115" s="62"/>
      <c r="T115" s="62"/>
      <c r="U115" s="62"/>
      <c r="V115" s="62"/>
      <c r="W115" s="62"/>
      <c r="X115" s="62"/>
      <c r="Y115" s="62"/>
      <c r="Z115" s="62"/>
      <c r="AA115" s="62"/>
      <c r="AB115" s="62"/>
      <c r="AC115" s="62"/>
      <c r="AD115" s="62"/>
      <c r="AE115" s="62"/>
      <c r="AF115" s="62"/>
      <c r="AG115" s="62"/>
      <c r="AH115" s="62"/>
      <c r="AI115" s="62"/>
      <c r="AJ115" s="62"/>
      <c r="AK115" s="62"/>
      <c r="AL115" s="62"/>
      <c r="AM115" s="62"/>
      <c r="AN115" s="62"/>
      <c r="AO115" s="62"/>
      <c r="AP115" s="62"/>
      <c r="AQ115" s="62"/>
      <c r="AR115" s="62"/>
      <c r="AS115" s="62"/>
      <c r="AT115" s="62"/>
      <c r="AU115" s="62"/>
      <c r="AV115" s="62"/>
      <c r="AW115" s="62"/>
      <c r="AX115" s="62"/>
      <c r="AY115" s="62"/>
      <c r="AZ115" s="62"/>
      <c r="BA115" s="62"/>
      <c r="BB115" s="62"/>
      <c r="BC115" s="62"/>
      <c r="BD115" s="62"/>
      <c r="BE115" s="62"/>
      <c r="BF115" s="62"/>
      <c r="BG115" s="62"/>
      <c r="BH115" s="62"/>
      <c r="BI115" s="62"/>
      <c r="BJ115" s="62"/>
      <c r="BK115" s="62"/>
      <c r="BL115" s="62"/>
      <c r="BM115" s="62"/>
      <c r="BN115" s="62"/>
      <c r="BO115" s="62"/>
      <c r="BP115" s="62"/>
      <c r="BQ115" s="62"/>
      <c r="BR115" s="62"/>
      <c r="BS115" s="62"/>
      <c r="BT115" s="62"/>
      <c r="BU115" s="62"/>
      <c r="BV115" s="62"/>
      <c r="BW115" s="62"/>
      <c r="BX115" s="62"/>
      <c r="BY115" s="62"/>
      <c r="BZ115" s="62"/>
      <c r="CA115" s="62"/>
      <c r="CB115" s="62"/>
      <c r="CC115" s="62"/>
      <c r="CD115" s="62"/>
      <c r="CE115" s="62"/>
      <c r="CF115" s="62"/>
      <c r="CG115" s="62"/>
      <c r="CH115" s="62"/>
      <c r="CI115" s="62"/>
      <c r="CJ115" s="62"/>
      <c r="CK115" s="62"/>
      <c r="CL115" s="62"/>
      <c r="CM115" s="62"/>
      <c r="CN115" s="62"/>
      <c r="CO115" s="62"/>
      <c r="CP115" s="62"/>
      <c r="CQ115" s="62"/>
      <c r="CR115" s="62"/>
      <c r="CS115" s="62"/>
      <c r="CT115" s="62"/>
      <c r="CU115" s="62"/>
      <c r="CV115" s="62"/>
      <c r="CW115" s="62"/>
      <c r="CX115" s="62"/>
      <c r="CY115" s="67"/>
      <c r="CZ115" s="67"/>
      <c r="DA115" s="67"/>
      <c r="DB115" s="67"/>
      <c r="DC115" s="67"/>
      <c r="DD115" s="67"/>
      <c r="DE115" s="67"/>
      <c r="DF115" s="67"/>
      <c r="DG115" s="67"/>
      <c r="DH115" s="67"/>
      <c r="DI115" s="67"/>
      <c r="DJ115" s="67"/>
    </row>
    <row r="116" spans="2:114" ht="15.75">
      <c r="B116" s="62"/>
      <c r="C116" s="62"/>
      <c r="D116" s="209">
        <f t="shared" si="0"/>
        <v>111</v>
      </c>
      <c r="E116" s="126">
        <f>[1]!PBGCLRF(65+D116/12)</f>
        <v>2.8330000000000002</v>
      </c>
      <c r="F116" s="62"/>
      <c r="G116" s="62"/>
      <c r="H116" s="62"/>
      <c r="I116" s="62"/>
      <c r="J116" s="19">
        <v>112</v>
      </c>
      <c r="K116" s="122">
        <f t="shared" si="11"/>
        <v>0.37777777777777999</v>
      </c>
      <c r="L116" s="62"/>
      <c r="M116" s="297">
        <v>112</v>
      </c>
      <c r="N116" s="122">
        <f>[1]!LRFAEQ(0.065,"M",65,M116,0,"GM71","GM71","MP","Y","N","",65)</f>
        <v>3.3883063100651749</v>
      </c>
      <c r="O116" s="62"/>
      <c r="P116" s="62"/>
      <c r="Q116" s="62"/>
      <c r="R116" s="62"/>
      <c r="S116" s="62"/>
      <c r="T116" s="62"/>
      <c r="U116" s="62"/>
      <c r="V116" s="62"/>
      <c r="W116" s="62"/>
      <c r="X116" s="62"/>
      <c r="Y116" s="62"/>
      <c r="Z116" s="62"/>
      <c r="AA116" s="62"/>
      <c r="AB116" s="62"/>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c r="BM116" s="62"/>
      <c r="BN116" s="62"/>
      <c r="BO116" s="62"/>
      <c r="BP116" s="62"/>
      <c r="BQ116" s="62"/>
      <c r="BR116" s="62"/>
      <c r="BS116" s="62"/>
      <c r="BT116" s="62"/>
      <c r="BU116" s="62"/>
      <c r="BV116" s="62"/>
      <c r="BW116" s="62"/>
      <c r="BX116" s="62"/>
      <c r="BY116" s="62"/>
      <c r="BZ116" s="62"/>
      <c r="CA116" s="62"/>
      <c r="CB116" s="62"/>
      <c r="CC116" s="62"/>
      <c r="CD116" s="62"/>
      <c r="CE116" s="62"/>
      <c r="CF116" s="62"/>
      <c r="CG116" s="62"/>
      <c r="CH116" s="62"/>
      <c r="CI116" s="62"/>
      <c r="CJ116" s="62"/>
      <c r="CK116" s="62"/>
      <c r="CL116" s="62"/>
      <c r="CM116" s="62"/>
      <c r="CN116" s="62"/>
      <c r="CO116" s="62"/>
      <c r="CP116" s="62"/>
      <c r="CQ116" s="62"/>
      <c r="CR116" s="62"/>
      <c r="CS116" s="62"/>
      <c r="CT116" s="62"/>
      <c r="CU116" s="62"/>
      <c r="CV116" s="62"/>
      <c r="CW116" s="62"/>
      <c r="CX116" s="62"/>
      <c r="CY116" s="67"/>
      <c r="CZ116" s="67"/>
      <c r="DA116" s="67"/>
      <c r="DB116" s="67"/>
      <c r="DC116" s="67"/>
      <c r="DD116" s="67"/>
      <c r="DE116" s="67"/>
      <c r="DF116" s="67"/>
      <c r="DG116" s="67"/>
      <c r="DH116" s="67"/>
      <c r="DI116" s="67"/>
      <c r="DJ116" s="67"/>
    </row>
    <row r="117" spans="2:114" ht="15.75">
      <c r="B117" s="62"/>
      <c r="C117" s="62"/>
      <c r="D117" s="209">
        <f t="shared" si="0"/>
        <v>112</v>
      </c>
      <c r="E117" s="126">
        <f>[1]!PBGCLRF(65+D117/12)</f>
        <v>2.8559999999999999</v>
      </c>
      <c r="F117" s="62"/>
      <c r="G117" s="62"/>
      <c r="H117" s="62"/>
      <c r="I117" s="62"/>
      <c r="J117" s="19">
        <v>113</v>
      </c>
      <c r="K117" s="122">
        <f t="shared" si="11"/>
        <v>0.37222222222222445</v>
      </c>
      <c r="L117" s="62"/>
      <c r="M117" s="297">
        <v>113</v>
      </c>
      <c r="N117" s="122">
        <f>[1]!LRFAEQ(0.065,"M",65,M117,0,"GM71","GM71","MP","Y","N","",65)</f>
        <v>3.4326789890578882</v>
      </c>
      <c r="O117" s="62"/>
      <c r="P117" s="62"/>
      <c r="Q117" s="62"/>
      <c r="R117" s="62"/>
      <c r="S117" s="62"/>
      <c r="T117" s="62"/>
      <c r="U117" s="62"/>
      <c r="V117" s="62"/>
      <c r="W117" s="62"/>
      <c r="X117" s="62"/>
      <c r="Y117" s="62"/>
      <c r="Z117" s="62"/>
      <c r="AA117" s="62"/>
      <c r="AB117" s="62"/>
      <c r="AC117" s="62"/>
      <c r="AD117" s="62"/>
      <c r="AE117" s="62"/>
      <c r="AF117" s="62"/>
      <c r="AG117" s="62"/>
      <c r="AH117" s="62"/>
      <c r="AI117" s="62"/>
      <c r="AJ117" s="62"/>
      <c r="AK117" s="62"/>
      <c r="AL117" s="62"/>
      <c r="AM117" s="62"/>
      <c r="AN117" s="62"/>
      <c r="AO117" s="62"/>
      <c r="AP117" s="62"/>
      <c r="AQ117" s="62"/>
      <c r="AR117" s="62"/>
      <c r="AS117" s="62"/>
      <c r="AT117" s="62"/>
      <c r="AU117" s="62"/>
      <c r="AV117" s="62"/>
      <c r="AW117" s="62"/>
      <c r="AX117" s="62"/>
      <c r="AY117" s="62"/>
      <c r="AZ117" s="62"/>
      <c r="BA117" s="62"/>
      <c r="BB117" s="62"/>
      <c r="BC117" s="62"/>
      <c r="BD117" s="62"/>
      <c r="BE117" s="62"/>
      <c r="BF117" s="62"/>
      <c r="BG117" s="62"/>
      <c r="BH117" s="62"/>
      <c r="BI117" s="62"/>
      <c r="BJ117" s="62"/>
      <c r="BK117" s="62"/>
      <c r="BL117" s="62"/>
      <c r="BM117" s="62"/>
      <c r="BN117" s="62"/>
      <c r="BO117" s="62"/>
      <c r="BP117" s="62"/>
      <c r="BQ117" s="62"/>
      <c r="BR117" s="62"/>
      <c r="BS117" s="62"/>
      <c r="BT117" s="62"/>
      <c r="BU117" s="62"/>
      <c r="BV117" s="62"/>
      <c r="BW117" s="62"/>
      <c r="BX117" s="62"/>
      <c r="BY117" s="62"/>
      <c r="BZ117" s="62"/>
      <c r="CA117" s="62"/>
      <c r="CB117" s="62"/>
      <c r="CC117" s="62"/>
      <c r="CD117" s="62"/>
      <c r="CE117" s="62"/>
      <c r="CF117" s="62"/>
      <c r="CG117" s="62"/>
      <c r="CH117" s="62"/>
      <c r="CI117" s="62"/>
      <c r="CJ117" s="62"/>
      <c r="CK117" s="62"/>
      <c r="CL117" s="62"/>
      <c r="CM117" s="62"/>
      <c r="CN117" s="62"/>
      <c r="CO117" s="62"/>
      <c r="CP117" s="62"/>
      <c r="CQ117" s="62"/>
      <c r="CR117" s="62"/>
      <c r="CS117" s="62"/>
      <c r="CT117" s="62"/>
      <c r="CU117" s="62"/>
      <c r="CV117" s="62"/>
      <c r="CW117" s="62"/>
      <c r="CX117" s="62"/>
      <c r="CY117" s="67"/>
      <c r="CZ117" s="67"/>
      <c r="DA117" s="67"/>
      <c r="DB117" s="67"/>
      <c r="DC117" s="67"/>
      <c r="DD117" s="67"/>
      <c r="DE117" s="67"/>
      <c r="DF117" s="67"/>
      <c r="DG117" s="67"/>
      <c r="DH117" s="67"/>
      <c r="DI117" s="67"/>
      <c r="DJ117" s="67"/>
    </row>
    <row r="118" spans="2:114" ht="15.75">
      <c r="B118" s="62"/>
      <c r="C118" s="62"/>
      <c r="D118" s="209">
        <f t="shared" si="0"/>
        <v>113</v>
      </c>
      <c r="E118" s="126">
        <f>[1]!PBGCLRF(65+D118/12)</f>
        <v>2.879</v>
      </c>
      <c r="F118" s="62"/>
      <c r="G118" s="62"/>
      <c r="H118" s="62"/>
      <c r="I118" s="62"/>
      <c r="J118" s="19">
        <v>114</v>
      </c>
      <c r="K118" s="122">
        <f t="shared" si="11"/>
        <v>0.36666666666666892</v>
      </c>
      <c r="L118" s="62"/>
      <c r="M118" s="297">
        <v>114</v>
      </c>
      <c r="N118" s="122">
        <f>[1]!LRFAEQ(0.065,"M",65,M118,0,"GM71","GM71","MP","Y","N","",65)</f>
        <v>3.4770516680506001</v>
      </c>
      <c r="O118" s="62"/>
      <c r="P118" s="62"/>
      <c r="Q118" s="62"/>
      <c r="R118" s="62"/>
      <c r="S118" s="62"/>
      <c r="T118" s="62"/>
      <c r="U118" s="62"/>
      <c r="V118" s="62"/>
      <c r="W118" s="62"/>
      <c r="X118" s="62"/>
      <c r="Y118" s="62"/>
      <c r="Z118" s="62"/>
      <c r="AA118" s="62"/>
      <c r="AB118" s="62"/>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c r="BM118" s="62"/>
      <c r="BN118" s="62"/>
      <c r="BO118" s="62"/>
      <c r="BP118" s="62"/>
      <c r="BQ118" s="62"/>
      <c r="BR118" s="62"/>
      <c r="BS118" s="62"/>
      <c r="BT118" s="62"/>
      <c r="BU118" s="62"/>
      <c r="BV118" s="62"/>
      <c r="BW118" s="62"/>
      <c r="BX118" s="62"/>
      <c r="BY118" s="62"/>
      <c r="BZ118" s="62"/>
      <c r="CA118" s="62"/>
      <c r="CB118" s="62"/>
      <c r="CC118" s="62"/>
      <c r="CD118" s="62"/>
      <c r="CE118" s="62"/>
      <c r="CF118" s="62"/>
      <c r="CG118" s="62"/>
      <c r="CH118" s="62"/>
      <c r="CI118" s="62"/>
      <c r="CJ118" s="62"/>
      <c r="CK118" s="62"/>
      <c r="CL118" s="62"/>
      <c r="CM118" s="62"/>
      <c r="CN118" s="62"/>
      <c r="CO118" s="62"/>
      <c r="CP118" s="62"/>
      <c r="CQ118" s="62"/>
      <c r="CR118" s="62"/>
      <c r="CS118" s="62"/>
      <c r="CT118" s="62"/>
      <c r="CU118" s="62"/>
      <c r="CV118" s="62"/>
      <c r="CW118" s="62"/>
      <c r="CX118" s="62"/>
      <c r="CY118" s="67"/>
      <c r="CZ118" s="67"/>
      <c r="DA118" s="67"/>
      <c r="DB118" s="67"/>
      <c r="DC118" s="67"/>
      <c r="DD118" s="67"/>
      <c r="DE118" s="67"/>
      <c r="DF118" s="67"/>
      <c r="DG118" s="67"/>
      <c r="DH118" s="67"/>
      <c r="DI118" s="67"/>
      <c r="DJ118" s="67"/>
    </row>
    <row r="119" spans="2:114" ht="15.75">
      <c r="B119" s="62"/>
      <c r="C119" s="62"/>
      <c r="D119" s="209">
        <f t="shared" si="0"/>
        <v>114</v>
      </c>
      <c r="E119" s="126">
        <f>[1]!PBGCLRF(65+D119/12)</f>
        <v>2.9020000000000001</v>
      </c>
      <c r="F119" s="62"/>
      <c r="G119" s="62"/>
      <c r="H119" s="62"/>
      <c r="I119" s="62"/>
      <c r="J119" s="19">
        <v>115</v>
      </c>
      <c r="K119" s="122">
        <f t="shared" si="11"/>
        <v>0.36111111111111338</v>
      </c>
      <c r="L119" s="62"/>
      <c r="M119" s="297">
        <v>115</v>
      </c>
      <c r="N119" s="122">
        <f>[1]!LRFAEQ(0.065,"M",65,M119,0,"GM71","GM71","MP","Y","N","",65)</f>
        <v>3.5214243470433129</v>
      </c>
      <c r="O119" s="62"/>
      <c r="P119" s="62"/>
      <c r="Q119" s="62"/>
      <c r="R119" s="62"/>
      <c r="S119" s="62"/>
      <c r="T119" s="62"/>
      <c r="U119" s="62"/>
      <c r="V119" s="62"/>
      <c r="W119" s="62"/>
      <c r="X119" s="62"/>
      <c r="Y119" s="62"/>
      <c r="Z119" s="62"/>
      <c r="AA119" s="62"/>
      <c r="AB119" s="62"/>
      <c r="AC119" s="62"/>
      <c r="AD119" s="62"/>
      <c r="AE119" s="62"/>
      <c r="AF119" s="62"/>
      <c r="AG119" s="62"/>
      <c r="AH119" s="62"/>
      <c r="AI119" s="62"/>
      <c r="AJ119" s="62"/>
      <c r="AK119" s="62"/>
      <c r="AL119" s="62"/>
      <c r="AM119" s="62"/>
      <c r="AN119" s="62"/>
      <c r="AO119" s="62"/>
      <c r="AP119" s="62"/>
      <c r="AQ119" s="62"/>
      <c r="AR119" s="62"/>
      <c r="AS119" s="62"/>
      <c r="AT119" s="62"/>
      <c r="AU119" s="62"/>
      <c r="AV119" s="62"/>
      <c r="AW119" s="62"/>
      <c r="AX119" s="62"/>
      <c r="AY119" s="62"/>
      <c r="AZ119" s="62"/>
      <c r="BA119" s="62"/>
      <c r="BB119" s="62"/>
      <c r="BC119" s="62"/>
      <c r="BD119" s="62"/>
      <c r="BE119" s="62"/>
      <c r="BF119" s="62"/>
      <c r="BG119" s="62"/>
      <c r="BH119" s="62"/>
      <c r="BI119" s="62"/>
      <c r="BJ119" s="62"/>
      <c r="BK119" s="62"/>
      <c r="BL119" s="62"/>
      <c r="BM119" s="62"/>
      <c r="BN119" s="62"/>
      <c r="BO119" s="62"/>
      <c r="BP119" s="62"/>
      <c r="BQ119" s="62"/>
      <c r="BR119" s="62"/>
      <c r="BS119" s="62"/>
      <c r="BT119" s="62"/>
      <c r="BU119" s="62"/>
      <c r="BV119" s="62"/>
      <c r="BW119" s="62"/>
      <c r="BX119" s="62"/>
      <c r="BY119" s="62"/>
      <c r="BZ119" s="62"/>
      <c r="CA119" s="62"/>
      <c r="CB119" s="62"/>
      <c r="CC119" s="62"/>
      <c r="CD119" s="62"/>
      <c r="CE119" s="62"/>
      <c r="CF119" s="62"/>
      <c r="CG119" s="62"/>
      <c r="CH119" s="62"/>
      <c r="CI119" s="62"/>
      <c r="CJ119" s="62"/>
      <c r="CK119" s="62"/>
      <c r="CL119" s="62"/>
      <c r="CM119" s="62"/>
      <c r="CN119" s="62"/>
      <c r="CO119" s="62"/>
      <c r="CP119" s="62"/>
      <c r="CQ119" s="62"/>
      <c r="CR119" s="62"/>
      <c r="CS119" s="62"/>
      <c r="CT119" s="62"/>
      <c r="CU119" s="62"/>
      <c r="CV119" s="62"/>
      <c r="CW119" s="62"/>
      <c r="CX119" s="62"/>
      <c r="CY119" s="67"/>
      <c r="CZ119" s="67"/>
      <c r="DA119" s="67"/>
      <c r="DB119" s="67"/>
      <c r="DC119" s="67"/>
      <c r="DD119" s="67"/>
      <c r="DE119" s="67"/>
      <c r="DF119" s="67"/>
      <c r="DG119" s="67"/>
      <c r="DH119" s="67"/>
      <c r="DI119" s="67"/>
      <c r="DJ119" s="67"/>
    </row>
    <row r="120" spans="2:114" ht="15.75">
      <c r="B120" s="62"/>
      <c r="C120" s="62"/>
      <c r="D120" s="209">
        <f t="shared" si="0"/>
        <v>115</v>
      </c>
      <c r="E120" s="126">
        <f>[1]!PBGCLRF(65+D120/12)</f>
        <v>2.9249999999999998</v>
      </c>
      <c r="F120" s="62"/>
      <c r="G120" s="62"/>
      <c r="H120" s="62"/>
      <c r="I120" s="62"/>
      <c r="J120" s="19">
        <v>116</v>
      </c>
      <c r="K120" s="122">
        <f t="shared" si="11"/>
        <v>0.35555555555555785</v>
      </c>
      <c r="L120" s="62"/>
      <c r="M120" s="297">
        <v>116</v>
      </c>
      <c r="N120" s="122">
        <f>[1]!LRFAEQ(0.065,"M",65,M120,0,"GM71","GM71","MP","Y","N","",65)</f>
        <v>3.5657970260360252</v>
      </c>
      <c r="O120" s="62"/>
      <c r="P120" s="62"/>
      <c r="Q120" s="62"/>
      <c r="R120" s="62"/>
      <c r="S120" s="62"/>
      <c r="T120" s="62"/>
      <c r="U120" s="62"/>
      <c r="V120" s="62"/>
      <c r="W120" s="62"/>
      <c r="X120" s="62"/>
      <c r="Y120" s="62"/>
      <c r="Z120" s="62"/>
      <c r="AA120" s="62"/>
      <c r="AB120" s="62"/>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c r="BM120" s="62"/>
      <c r="BN120" s="62"/>
      <c r="BO120" s="62"/>
      <c r="BP120" s="62"/>
      <c r="BQ120" s="62"/>
      <c r="BR120" s="62"/>
      <c r="BS120" s="62"/>
      <c r="BT120" s="62"/>
      <c r="BU120" s="62"/>
      <c r="BV120" s="62"/>
      <c r="BW120" s="62"/>
      <c r="BX120" s="62"/>
      <c r="BY120" s="62"/>
      <c r="BZ120" s="62"/>
      <c r="CA120" s="62"/>
      <c r="CB120" s="62"/>
      <c r="CC120" s="62"/>
      <c r="CD120" s="62"/>
      <c r="CE120" s="62"/>
      <c r="CF120" s="62"/>
      <c r="CG120" s="62"/>
      <c r="CH120" s="62"/>
      <c r="CI120" s="62"/>
      <c r="CJ120" s="62"/>
      <c r="CK120" s="62"/>
      <c r="CL120" s="62"/>
      <c r="CM120" s="62"/>
      <c r="CN120" s="62"/>
      <c r="CO120" s="62"/>
      <c r="CP120" s="62"/>
      <c r="CQ120" s="62"/>
      <c r="CR120" s="62"/>
      <c r="CS120" s="62"/>
      <c r="CT120" s="62"/>
      <c r="CU120" s="62"/>
      <c r="CV120" s="62"/>
      <c r="CW120" s="62"/>
      <c r="CX120" s="62"/>
      <c r="CY120" s="67"/>
      <c r="CZ120" s="67"/>
      <c r="DA120" s="67"/>
      <c r="DB120" s="67"/>
      <c r="DC120" s="67"/>
      <c r="DD120" s="67"/>
      <c r="DE120" s="67"/>
      <c r="DF120" s="67"/>
      <c r="DG120" s="67"/>
      <c r="DH120" s="67"/>
      <c r="DI120" s="67"/>
      <c r="DJ120" s="67"/>
    </row>
    <row r="121" spans="2:114" ht="15.75">
      <c r="B121" s="62"/>
      <c r="C121" s="62"/>
      <c r="D121" s="209">
        <f t="shared" si="0"/>
        <v>116</v>
      </c>
      <c r="E121" s="126">
        <f>[1]!PBGCLRF(65+D121/12)</f>
        <v>2.948</v>
      </c>
      <c r="F121" s="62"/>
      <c r="G121" s="62"/>
      <c r="H121" s="62"/>
      <c r="I121" s="62"/>
      <c r="J121" s="19">
        <v>117</v>
      </c>
      <c r="K121" s="122">
        <f t="shared" si="11"/>
        <v>0.35000000000000231</v>
      </c>
      <c r="L121" s="62"/>
      <c r="M121" s="297">
        <v>117</v>
      </c>
      <c r="N121" s="122">
        <f>[1]!LRFAEQ(0.065,"M",65,M121,0,"GM71","GM71","MP","Y","N","",65)</f>
        <v>3.6101697050287376</v>
      </c>
      <c r="O121" s="62"/>
      <c r="P121" s="62"/>
      <c r="Q121" s="62"/>
      <c r="R121" s="62"/>
      <c r="S121" s="62"/>
      <c r="T121" s="62"/>
      <c r="U121" s="62"/>
      <c r="V121" s="62"/>
      <c r="W121" s="62"/>
      <c r="X121" s="62"/>
      <c r="Y121" s="62"/>
      <c r="Z121" s="62"/>
      <c r="AA121" s="62"/>
      <c r="AB121" s="62"/>
      <c r="AC121" s="62"/>
      <c r="AD121" s="62"/>
      <c r="AE121" s="62"/>
      <c r="AF121" s="62"/>
      <c r="AG121" s="62"/>
      <c r="AH121" s="62"/>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c r="BG121" s="62"/>
      <c r="BH121" s="62"/>
      <c r="BI121" s="62"/>
      <c r="BJ121" s="62"/>
      <c r="BK121" s="62"/>
      <c r="BL121" s="62"/>
      <c r="BM121" s="62"/>
      <c r="BN121" s="62"/>
      <c r="BO121" s="62"/>
      <c r="BP121" s="62"/>
      <c r="BQ121" s="62"/>
      <c r="BR121" s="62"/>
      <c r="BS121" s="62"/>
      <c r="BT121" s="62"/>
      <c r="BU121" s="62"/>
      <c r="BV121" s="62"/>
      <c r="BW121" s="62"/>
      <c r="BX121" s="62"/>
      <c r="BY121" s="62"/>
      <c r="BZ121" s="62"/>
      <c r="CA121" s="62"/>
      <c r="CB121" s="62"/>
      <c r="CC121" s="62"/>
      <c r="CD121" s="62"/>
      <c r="CE121" s="62"/>
      <c r="CF121" s="62"/>
      <c r="CG121" s="62"/>
      <c r="CH121" s="62"/>
      <c r="CI121" s="62"/>
      <c r="CJ121" s="62"/>
      <c r="CK121" s="62"/>
      <c r="CL121" s="62"/>
      <c r="CM121" s="62"/>
      <c r="CN121" s="62"/>
      <c r="CO121" s="62"/>
      <c r="CP121" s="62"/>
      <c r="CQ121" s="62"/>
      <c r="CR121" s="62"/>
      <c r="CS121" s="62"/>
      <c r="CT121" s="62"/>
      <c r="CU121" s="62"/>
      <c r="CV121" s="62"/>
      <c r="CW121" s="62"/>
      <c r="CX121" s="62"/>
      <c r="CY121" s="67"/>
      <c r="CZ121" s="67"/>
      <c r="DA121" s="67"/>
      <c r="DB121" s="67"/>
      <c r="DC121" s="67"/>
      <c r="DD121" s="67"/>
      <c r="DE121" s="67"/>
      <c r="DF121" s="67"/>
      <c r="DG121" s="67"/>
      <c r="DH121" s="67"/>
      <c r="DI121" s="67"/>
      <c r="DJ121" s="67"/>
    </row>
    <row r="122" spans="2:114" ht="15.75">
      <c r="B122" s="62"/>
      <c r="C122" s="62"/>
      <c r="D122" s="209">
        <f t="shared" si="0"/>
        <v>117</v>
      </c>
      <c r="E122" s="126">
        <f>[1]!PBGCLRF(65+D122/12)</f>
        <v>2.9710000000000001</v>
      </c>
      <c r="F122" s="62"/>
      <c r="G122" s="62"/>
      <c r="H122" s="62"/>
      <c r="I122" s="62"/>
      <c r="J122" s="19">
        <v>118</v>
      </c>
      <c r="K122" s="122">
        <f t="shared" si="11"/>
        <v>0.34444444444444677</v>
      </c>
      <c r="L122" s="62"/>
      <c r="M122" s="297">
        <v>118</v>
      </c>
      <c r="N122" s="122">
        <f>[1]!LRFAEQ(0.065,"M",65,M122,0,"GM71","GM71","MP","Y","N","",65)</f>
        <v>3.6545423840214504</v>
      </c>
      <c r="O122" s="62"/>
      <c r="P122" s="62"/>
      <c r="Q122" s="62"/>
      <c r="R122" s="62"/>
      <c r="S122" s="62"/>
      <c r="T122" s="62"/>
      <c r="U122" s="62"/>
      <c r="V122" s="62"/>
      <c r="W122" s="62"/>
      <c r="X122" s="62"/>
      <c r="Y122" s="62"/>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c r="CH122" s="62"/>
      <c r="CI122" s="62"/>
      <c r="CJ122" s="62"/>
      <c r="CK122" s="62"/>
      <c r="CL122" s="62"/>
      <c r="CM122" s="62"/>
      <c r="CN122" s="62"/>
      <c r="CO122" s="62"/>
      <c r="CP122" s="62"/>
      <c r="CQ122" s="62"/>
      <c r="CR122" s="62"/>
      <c r="CS122" s="62"/>
      <c r="CT122" s="62"/>
      <c r="CU122" s="62"/>
      <c r="CV122" s="62"/>
      <c r="CW122" s="62"/>
      <c r="CX122" s="62"/>
      <c r="CY122" s="67"/>
      <c r="CZ122" s="67"/>
      <c r="DA122" s="67"/>
      <c r="DB122" s="67"/>
      <c r="DC122" s="67"/>
      <c r="DD122" s="67"/>
      <c r="DE122" s="67"/>
      <c r="DF122" s="67"/>
      <c r="DG122" s="67"/>
      <c r="DH122" s="67"/>
      <c r="DI122" s="67"/>
      <c r="DJ122" s="67"/>
    </row>
    <row r="123" spans="2:114" ht="15.75">
      <c r="B123" s="62"/>
      <c r="C123" s="62"/>
      <c r="D123" s="209">
        <f t="shared" si="0"/>
        <v>118</v>
      </c>
      <c r="E123" s="126">
        <f>[1]!PBGCLRF(65+D123/12)</f>
        <v>2.9940000000000002</v>
      </c>
      <c r="F123" s="62"/>
      <c r="G123" s="62"/>
      <c r="H123" s="62"/>
      <c r="I123" s="62"/>
      <c r="J123" s="19">
        <v>119</v>
      </c>
      <c r="K123" s="122">
        <f t="shared" si="11"/>
        <v>0.33888888888889124</v>
      </c>
      <c r="L123" s="62"/>
      <c r="M123" s="297">
        <v>119</v>
      </c>
      <c r="N123" s="122">
        <f>[1]!LRFAEQ(0.065,"M",65,M123,0,"GM71","GM71","MP","Y","N","",65)</f>
        <v>3.6989150630141627</v>
      </c>
      <c r="O123" s="62"/>
      <c r="P123" s="62"/>
      <c r="Q123" s="62"/>
      <c r="R123" s="62"/>
      <c r="S123" s="62"/>
      <c r="T123" s="62"/>
      <c r="U123" s="62"/>
      <c r="V123" s="62"/>
      <c r="W123" s="62"/>
      <c r="X123" s="62"/>
      <c r="Y123" s="62"/>
      <c r="Z123" s="62"/>
      <c r="AA123" s="62"/>
      <c r="AB123" s="62"/>
      <c r="AC123" s="62"/>
      <c r="AD123" s="62"/>
      <c r="AE123" s="62"/>
      <c r="AF123" s="62"/>
      <c r="AG123" s="62"/>
      <c r="AH123" s="62"/>
      <c r="AI123" s="62"/>
      <c r="AJ123" s="62"/>
      <c r="AK123" s="62"/>
      <c r="AL123" s="62"/>
      <c r="AM123" s="62"/>
      <c r="AN123" s="62"/>
      <c r="AO123" s="62"/>
      <c r="AP123" s="62"/>
      <c r="AQ123" s="62"/>
      <c r="AR123" s="62"/>
      <c r="AS123" s="62"/>
      <c r="AT123" s="62"/>
      <c r="AU123" s="62"/>
      <c r="AV123" s="62"/>
      <c r="AW123" s="62"/>
      <c r="AX123" s="62"/>
      <c r="AY123" s="62"/>
      <c r="AZ123" s="62"/>
      <c r="BA123" s="62"/>
      <c r="BB123" s="62"/>
      <c r="BC123" s="62"/>
      <c r="BD123" s="62"/>
      <c r="BE123" s="62"/>
      <c r="BF123" s="62"/>
      <c r="BG123" s="62"/>
      <c r="BH123" s="62"/>
      <c r="BI123" s="62"/>
      <c r="BJ123" s="62"/>
      <c r="BK123" s="62"/>
      <c r="BL123" s="62"/>
      <c r="BM123" s="62"/>
      <c r="BN123" s="62"/>
      <c r="BO123" s="62"/>
      <c r="BP123" s="62"/>
      <c r="BQ123" s="62"/>
      <c r="BR123" s="62"/>
      <c r="BS123" s="62"/>
      <c r="BT123" s="62"/>
      <c r="BU123" s="62"/>
      <c r="BV123" s="62"/>
      <c r="BW123" s="62"/>
      <c r="BX123" s="62"/>
      <c r="BY123" s="62"/>
      <c r="BZ123" s="62"/>
      <c r="CA123" s="62"/>
      <c r="CB123" s="62"/>
      <c r="CC123" s="62"/>
      <c r="CD123" s="62"/>
      <c r="CE123" s="62"/>
      <c r="CF123" s="62"/>
      <c r="CG123" s="62"/>
      <c r="CH123" s="62"/>
      <c r="CI123" s="62"/>
      <c r="CJ123" s="62"/>
      <c r="CK123" s="62"/>
      <c r="CL123" s="62"/>
      <c r="CM123" s="62"/>
      <c r="CN123" s="62"/>
      <c r="CO123" s="62"/>
      <c r="CP123" s="62"/>
      <c r="CQ123" s="62"/>
      <c r="CR123" s="62"/>
      <c r="CS123" s="62"/>
      <c r="CT123" s="62"/>
      <c r="CU123" s="62"/>
      <c r="CV123" s="62"/>
      <c r="CW123" s="62"/>
      <c r="CX123" s="62"/>
      <c r="CY123" s="67"/>
      <c r="CZ123" s="67"/>
      <c r="DA123" s="67"/>
      <c r="DB123" s="67"/>
      <c r="DC123" s="67"/>
      <c r="DD123" s="67"/>
      <c r="DE123" s="67"/>
      <c r="DF123" s="67"/>
      <c r="DG123" s="67"/>
      <c r="DH123" s="67"/>
      <c r="DI123" s="67"/>
      <c r="DJ123" s="67"/>
    </row>
    <row r="124" spans="2:114" ht="16.5" thickBot="1">
      <c r="B124" s="62"/>
      <c r="C124" s="62"/>
      <c r="D124" s="209">
        <f t="shared" si="0"/>
        <v>119</v>
      </c>
      <c r="E124" s="126">
        <f>[1]!PBGCLRF(65+D124/12)</f>
        <v>3.0169999999999999</v>
      </c>
      <c r="F124" s="62"/>
      <c r="G124" s="62"/>
      <c r="H124" s="62"/>
      <c r="I124" s="62"/>
      <c r="J124" s="237">
        <v>120</v>
      </c>
      <c r="K124" s="221">
        <f>K123-$L$4</f>
        <v>0.3333333333333357</v>
      </c>
      <c r="L124" s="62"/>
      <c r="M124" s="298">
        <v>120</v>
      </c>
      <c r="N124" s="221">
        <f>[1]!LRFAEQ(0.065,"M",65,M124,0,"GM71","GM71","MP","Y","N","",65)</f>
        <v>3.7432877420068755</v>
      </c>
      <c r="O124" s="62"/>
      <c r="P124" s="62"/>
      <c r="Q124" s="62"/>
      <c r="R124" s="62"/>
      <c r="S124" s="62"/>
      <c r="T124" s="62"/>
      <c r="U124" s="62"/>
      <c r="V124" s="62"/>
      <c r="W124" s="62"/>
      <c r="X124" s="62"/>
      <c r="Y124" s="62"/>
      <c r="Z124" s="62"/>
      <c r="AA124" s="62"/>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c r="CH124" s="62"/>
      <c r="CI124" s="62"/>
      <c r="CJ124" s="62"/>
      <c r="CK124" s="62"/>
      <c r="CL124" s="62"/>
      <c r="CM124" s="62"/>
      <c r="CN124" s="62"/>
      <c r="CO124" s="62"/>
      <c r="CP124" s="62"/>
      <c r="CQ124" s="62"/>
      <c r="CR124" s="62"/>
      <c r="CS124" s="62"/>
      <c r="CT124" s="62"/>
      <c r="CU124" s="62"/>
      <c r="CV124" s="62"/>
      <c r="CW124" s="62"/>
      <c r="CX124" s="62"/>
      <c r="CY124" s="67"/>
      <c r="CZ124" s="67"/>
      <c r="DA124" s="67"/>
      <c r="DB124" s="67"/>
      <c r="DC124" s="67"/>
      <c r="DD124" s="67"/>
      <c r="DE124" s="67"/>
      <c r="DF124" s="67"/>
      <c r="DG124" s="67"/>
      <c r="DH124" s="67"/>
      <c r="DI124" s="67"/>
      <c r="DJ124" s="67"/>
    </row>
    <row r="125" spans="2:114" ht="16.5" thickBot="1">
      <c r="B125" s="62"/>
      <c r="C125" s="62"/>
      <c r="D125" s="110">
        <f t="shared" si="0"/>
        <v>120</v>
      </c>
      <c r="E125" s="167">
        <f>[1]!PBGCLRF(65+D125/12)</f>
        <v>3.04</v>
      </c>
      <c r="F125" s="62"/>
      <c r="G125" s="62"/>
      <c r="H125" s="62"/>
      <c r="I125" s="62"/>
      <c r="J125" s="62"/>
      <c r="K125" s="245"/>
      <c r="L125" s="245"/>
      <c r="M125" s="245"/>
      <c r="N125" s="245"/>
      <c r="O125" s="245"/>
      <c r="P125" s="245"/>
      <c r="Q125" s="245"/>
      <c r="R125" s="245"/>
      <c r="S125" s="245"/>
      <c r="T125" s="245"/>
      <c r="U125" s="245"/>
      <c r="V125" s="245"/>
      <c r="W125" s="245"/>
      <c r="X125" s="245"/>
      <c r="Y125" s="245"/>
      <c r="Z125" s="245"/>
      <c r="AA125" s="245"/>
      <c r="AB125" s="245"/>
      <c r="AC125" s="245"/>
      <c r="AD125" s="245"/>
      <c r="AE125" s="245"/>
      <c r="AF125" s="245"/>
      <c r="AG125" s="245"/>
      <c r="AH125" s="245"/>
      <c r="AI125" s="245"/>
      <c r="AJ125" s="245"/>
      <c r="AK125" s="245"/>
      <c r="AL125" s="245"/>
      <c r="AM125" s="245"/>
      <c r="AN125" s="245"/>
      <c r="AO125" s="245"/>
      <c r="AP125" s="245"/>
      <c r="AQ125" s="245"/>
      <c r="AR125" s="245"/>
      <c r="AS125" s="245"/>
      <c r="AT125" s="245"/>
      <c r="AU125" s="245"/>
      <c r="AV125" s="245"/>
      <c r="AW125" s="245"/>
      <c r="AX125" s="245"/>
      <c r="AY125" s="245"/>
      <c r="AZ125" s="245"/>
      <c r="BA125" s="245"/>
      <c r="BB125" s="245"/>
      <c r="BC125" s="245"/>
      <c r="BD125" s="245"/>
      <c r="BE125" s="245"/>
      <c r="BF125" s="245"/>
      <c r="BG125" s="245"/>
      <c r="BH125" s="245"/>
      <c r="BI125" s="245"/>
      <c r="BJ125" s="245"/>
      <c r="BK125" s="245"/>
      <c r="BL125" s="245"/>
      <c r="BM125" s="245"/>
      <c r="BN125" s="245"/>
      <c r="BO125" s="245"/>
      <c r="BP125" s="245"/>
      <c r="BQ125" s="245"/>
      <c r="BR125" s="245"/>
      <c r="BS125" s="245"/>
      <c r="BT125" s="245"/>
      <c r="BU125" s="245"/>
      <c r="BV125" s="245"/>
      <c r="BW125" s="245"/>
      <c r="BX125" s="245"/>
      <c r="BY125" s="245"/>
      <c r="BZ125" s="245"/>
      <c r="CA125" s="245"/>
      <c r="CB125" s="245"/>
      <c r="CC125" s="245"/>
      <c r="CD125" s="245"/>
      <c r="CE125" s="245"/>
      <c r="CF125" s="245"/>
      <c r="CG125" s="245"/>
      <c r="CH125" s="245"/>
      <c r="CI125" s="245"/>
      <c r="CJ125" s="245"/>
      <c r="CK125" s="245"/>
      <c r="CL125" s="245"/>
      <c r="CM125" s="245"/>
      <c r="CN125" s="245"/>
      <c r="CO125" s="245"/>
      <c r="CP125" s="245"/>
      <c r="CQ125" s="245"/>
      <c r="CR125" s="245"/>
      <c r="CS125" s="245"/>
      <c r="CT125" s="245"/>
      <c r="CU125" s="245"/>
      <c r="CV125" s="245"/>
      <c r="CW125" s="245"/>
      <c r="CX125" s="245"/>
      <c r="CY125" s="67"/>
      <c r="CZ125" s="67"/>
      <c r="DA125" s="67"/>
      <c r="DB125" s="67"/>
      <c r="DC125" s="67"/>
      <c r="DD125" s="67"/>
      <c r="DE125" s="67"/>
      <c r="DF125" s="67"/>
      <c r="DG125" s="67"/>
      <c r="DH125" s="67"/>
      <c r="DI125" s="67"/>
      <c r="DJ125" s="67"/>
    </row>
    <row r="126" spans="2:114" ht="16.5" thickTop="1">
      <c r="K126" s="245"/>
      <c r="L126" s="245"/>
      <c r="M126" s="245"/>
      <c r="N126" s="245"/>
      <c r="O126" s="245"/>
      <c r="P126" s="245"/>
      <c r="Q126" s="245"/>
      <c r="R126" s="245"/>
      <c r="S126" s="245"/>
      <c r="T126" s="245"/>
      <c r="U126" s="245"/>
      <c r="V126" s="245"/>
      <c r="W126" s="245"/>
      <c r="X126" s="245"/>
      <c r="Y126" s="245"/>
      <c r="Z126" s="245"/>
      <c r="AA126" s="245"/>
      <c r="AB126" s="245"/>
      <c r="AC126" s="245"/>
      <c r="AD126" s="245"/>
      <c r="AE126" s="245"/>
      <c r="AF126" s="245"/>
      <c r="AG126" s="245"/>
      <c r="AH126" s="245"/>
      <c r="AI126" s="245"/>
      <c r="AJ126" s="245"/>
      <c r="AK126" s="245"/>
      <c r="AL126" s="245"/>
      <c r="AM126" s="245"/>
      <c r="AN126" s="245"/>
      <c r="AO126" s="245"/>
      <c r="AP126" s="245"/>
      <c r="AQ126" s="245"/>
      <c r="AR126" s="245"/>
      <c r="AS126" s="245"/>
      <c r="AT126" s="245"/>
      <c r="AU126" s="245"/>
      <c r="AV126" s="245"/>
      <c r="AW126" s="245"/>
      <c r="AX126" s="245"/>
      <c r="AY126" s="245"/>
      <c r="AZ126" s="245"/>
      <c r="BA126" s="245"/>
      <c r="BB126" s="245"/>
      <c r="BC126" s="245"/>
      <c r="BD126" s="245"/>
      <c r="BE126" s="245"/>
      <c r="BF126" s="245"/>
      <c r="BG126" s="245"/>
      <c r="BH126" s="245"/>
      <c r="BI126" s="245"/>
      <c r="BJ126" s="245"/>
      <c r="BK126" s="245"/>
      <c r="BL126" s="245"/>
      <c r="BM126" s="245"/>
      <c r="BN126" s="245"/>
      <c r="BO126" s="245"/>
      <c r="BP126" s="245"/>
      <c r="BQ126" s="245"/>
      <c r="BR126" s="245"/>
      <c r="BS126" s="245"/>
      <c r="BT126" s="245"/>
      <c r="BU126" s="245"/>
      <c r="BV126" s="245"/>
      <c r="BW126" s="245"/>
      <c r="BX126" s="245"/>
      <c r="BY126" s="245"/>
      <c r="BZ126" s="245"/>
      <c r="CA126" s="245"/>
      <c r="CB126" s="245"/>
      <c r="CC126" s="245"/>
      <c r="CD126" s="245"/>
      <c r="CE126" s="245"/>
      <c r="CF126" s="245"/>
      <c r="CG126" s="245"/>
      <c r="CH126" s="245"/>
      <c r="CI126" s="245"/>
      <c r="CJ126" s="245"/>
      <c r="CK126" s="245"/>
      <c r="CL126" s="245"/>
      <c r="CM126" s="245"/>
      <c r="CN126" s="245"/>
      <c r="CO126" s="245"/>
      <c r="CP126" s="245"/>
      <c r="CQ126" s="245"/>
      <c r="CR126" s="245"/>
      <c r="CS126" s="245"/>
      <c r="CT126" s="245"/>
      <c r="CU126" s="245"/>
      <c r="CV126" s="245"/>
      <c r="CW126" s="245"/>
      <c r="CX126" s="245"/>
      <c r="CY126" s="67"/>
      <c r="CZ126" s="67"/>
      <c r="DA126" s="67"/>
      <c r="DB126" s="67"/>
      <c r="DC126" s="67"/>
      <c r="DD126" s="67"/>
      <c r="DE126" s="67"/>
      <c r="DF126" s="67"/>
      <c r="DG126" s="67"/>
      <c r="DH126" s="67"/>
      <c r="DI126" s="67"/>
      <c r="DJ126" s="67"/>
    </row>
    <row r="127" spans="2:114" ht="15.75">
      <c r="K127" s="245"/>
      <c r="L127" s="245"/>
      <c r="M127" s="245"/>
      <c r="N127" s="245"/>
      <c r="O127" s="245"/>
      <c r="P127" s="245"/>
      <c r="Q127" s="245"/>
      <c r="R127" s="245"/>
      <c r="S127" s="245"/>
      <c r="T127" s="245"/>
      <c r="U127" s="245"/>
      <c r="V127" s="245"/>
      <c r="W127" s="245"/>
      <c r="X127" s="245"/>
      <c r="Y127" s="245"/>
      <c r="Z127" s="245"/>
      <c r="AA127" s="245"/>
      <c r="AB127" s="245"/>
      <c r="AC127" s="245"/>
      <c r="AD127" s="245"/>
      <c r="AE127" s="245"/>
      <c r="AF127" s="245"/>
      <c r="AG127" s="245"/>
      <c r="AH127" s="245"/>
      <c r="AI127" s="245"/>
      <c r="AJ127" s="245"/>
      <c r="AK127" s="245"/>
      <c r="AL127" s="245"/>
      <c r="AM127" s="245"/>
      <c r="AN127" s="245"/>
      <c r="AO127" s="245"/>
      <c r="AP127" s="245"/>
      <c r="AQ127" s="245"/>
      <c r="AR127" s="245"/>
      <c r="AS127" s="245"/>
      <c r="AT127" s="245"/>
      <c r="AU127" s="245"/>
      <c r="AV127" s="245"/>
      <c r="AW127" s="245"/>
      <c r="AX127" s="245"/>
      <c r="AY127" s="245"/>
      <c r="AZ127" s="245"/>
      <c r="BA127" s="245"/>
      <c r="BB127" s="245"/>
      <c r="BC127" s="245"/>
      <c r="BD127" s="245"/>
      <c r="BE127" s="245"/>
      <c r="BF127" s="245"/>
      <c r="BG127" s="245"/>
      <c r="BH127" s="245"/>
      <c r="BI127" s="245"/>
      <c r="BJ127" s="245"/>
      <c r="BK127" s="245"/>
      <c r="BL127" s="245"/>
      <c r="BM127" s="245"/>
      <c r="BN127" s="245"/>
      <c r="BO127" s="245"/>
      <c r="BP127" s="245"/>
      <c r="BQ127" s="245"/>
      <c r="BR127" s="245"/>
      <c r="BS127" s="245"/>
      <c r="BT127" s="245"/>
      <c r="BU127" s="245"/>
      <c r="BV127" s="245"/>
      <c r="BW127" s="245"/>
      <c r="BX127" s="245"/>
      <c r="BY127" s="245"/>
      <c r="BZ127" s="245"/>
      <c r="CA127" s="245"/>
      <c r="CB127" s="245"/>
      <c r="CC127" s="245"/>
      <c r="CD127" s="245"/>
      <c r="CE127" s="245"/>
      <c r="CF127" s="245"/>
      <c r="CG127" s="245"/>
      <c r="CH127" s="245"/>
      <c r="CI127" s="245"/>
      <c r="CJ127" s="245"/>
      <c r="CK127" s="245"/>
      <c r="CL127" s="245"/>
      <c r="CM127" s="245"/>
      <c r="CN127" s="245"/>
      <c r="CO127" s="245"/>
      <c r="CP127" s="245"/>
      <c r="CQ127" s="245"/>
      <c r="CR127" s="245"/>
      <c r="CS127" s="245"/>
      <c r="CT127" s="245"/>
      <c r="CU127" s="245"/>
      <c r="CV127" s="245"/>
      <c r="CW127" s="245"/>
      <c r="CX127" s="245"/>
      <c r="CY127" s="67"/>
      <c r="CZ127" s="67"/>
      <c r="DA127" s="67"/>
      <c r="DB127" s="67"/>
      <c r="DC127" s="67"/>
      <c r="DD127" s="67"/>
      <c r="DE127" s="67"/>
      <c r="DF127" s="67"/>
      <c r="DG127" s="67"/>
      <c r="DH127" s="67"/>
      <c r="DI127" s="67"/>
      <c r="DJ127" s="67"/>
    </row>
    <row r="128" spans="2:114" ht="15.75">
      <c r="K128" s="245"/>
      <c r="L128" s="245"/>
      <c r="M128" s="245"/>
      <c r="N128" s="245"/>
      <c r="O128" s="245"/>
      <c r="P128" s="245"/>
      <c r="Q128" s="245"/>
      <c r="R128" s="245"/>
      <c r="S128" s="245"/>
      <c r="T128" s="245"/>
      <c r="U128" s="245"/>
      <c r="V128" s="245"/>
      <c r="W128" s="245"/>
      <c r="X128" s="245"/>
      <c r="Y128" s="245"/>
      <c r="Z128" s="245"/>
      <c r="AA128" s="245"/>
      <c r="AB128" s="245"/>
      <c r="AC128" s="245"/>
      <c r="AD128" s="245"/>
      <c r="AE128" s="245"/>
      <c r="AF128" s="245"/>
      <c r="AG128" s="245"/>
      <c r="AH128" s="245"/>
      <c r="AI128" s="245"/>
      <c r="AJ128" s="245"/>
      <c r="AK128" s="245"/>
      <c r="AL128" s="245"/>
      <c r="AM128" s="245"/>
      <c r="AN128" s="245"/>
      <c r="AO128" s="245"/>
      <c r="AP128" s="245"/>
      <c r="AQ128" s="245"/>
      <c r="AR128" s="245"/>
      <c r="AS128" s="245"/>
      <c r="AT128" s="245"/>
      <c r="AU128" s="245"/>
      <c r="AV128" s="245"/>
      <c r="AW128" s="245"/>
      <c r="AX128" s="245"/>
      <c r="AY128" s="245"/>
      <c r="AZ128" s="245"/>
      <c r="BA128" s="245"/>
      <c r="BB128" s="245"/>
      <c r="BC128" s="245"/>
      <c r="BD128" s="245"/>
      <c r="BE128" s="245"/>
      <c r="BF128" s="245"/>
      <c r="BG128" s="245"/>
      <c r="BH128" s="245"/>
      <c r="BI128" s="245"/>
      <c r="BJ128" s="245"/>
      <c r="BK128" s="245"/>
      <c r="BL128" s="245"/>
      <c r="BM128" s="245"/>
      <c r="BN128" s="245"/>
      <c r="BO128" s="245"/>
      <c r="BP128" s="245"/>
      <c r="BQ128" s="245"/>
      <c r="BR128" s="245"/>
      <c r="BS128" s="245"/>
      <c r="BT128" s="245"/>
      <c r="BU128" s="245"/>
      <c r="BV128" s="245"/>
      <c r="BW128" s="245"/>
      <c r="BX128" s="245"/>
      <c r="BY128" s="245"/>
      <c r="BZ128" s="245"/>
      <c r="CA128" s="245"/>
      <c r="CB128" s="245"/>
      <c r="CC128" s="245"/>
      <c r="CD128" s="245"/>
      <c r="CE128" s="245"/>
      <c r="CF128" s="245"/>
      <c r="CG128" s="245"/>
      <c r="CH128" s="245"/>
      <c r="CI128" s="245"/>
      <c r="CJ128" s="245"/>
      <c r="CK128" s="245"/>
      <c r="CL128" s="245"/>
      <c r="CM128" s="245"/>
      <c r="CN128" s="245"/>
      <c r="CO128" s="245"/>
      <c r="CP128" s="245"/>
      <c r="CQ128" s="245"/>
      <c r="CR128" s="245"/>
      <c r="CS128" s="245"/>
      <c r="CT128" s="245"/>
      <c r="CU128" s="245"/>
      <c r="CV128" s="245"/>
      <c r="CW128" s="245"/>
      <c r="CX128" s="245"/>
      <c r="CY128" s="67"/>
      <c r="CZ128" s="67"/>
      <c r="DA128" s="67"/>
      <c r="DB128" s="67"/>
      <c r="DC128" s="67"/>
      <c r="DD128" s="67"/>
      <c r="DE128" s="67"/>
      <c r="DF128" s="67"/>
      <c r="DG128" s="67"/>
      <c r="DH128" s="67"/>
      <c r="DI128" s="67"/>
      <c r="DJ128" s="67"/>
    </row>
    <row r="129" spans="11:114" ht="15.75">
      <c r="K129" s="245"/>
      <c r="L129" s="245"/>
      <c r="M129" s="245"/>
      <c r="N129" s="245"/>
      <c r="O129" s="245"/>
      <c r="P129" s="245"/>
      <c r="Q129" s="245"/>
      <c r="R129" s="245"/>
      <c r="S129" s="245"/>
      <c r="T129" s="245"/>
      <c r="U129" s="245"/>
      <c r="V129" s="245"/>
      <c r="W129" s="245"/>
      <c r="X129" s="245"/>
      <c r="Y129" s="245"/>
      <c r="Z129" s="245"/>
      <c r="AA129" s="245"/>
      <c r="AB129" s="245"/>
      <c r="AC129" s="245"/>
      <c r="AD129" s="245"/>
      <c r="AE129" s="245"/>
      <c r="AF129" s="245"/>
      <c r="AG129" s="245"/>
      <c r="AH129" s="245"/>
      <c r="AI129" s="245"/>
      <c r="AJ129" s="245"/>
      <c r="AK129" s="245"/>
      <c r="AL129" s="245"/>
      <c r="AM129" s="245"/>
      <c r="AN129" s="245"/>
      <c r="AO129" s="245"/>
      <c r="AP129" s="245"/>
      <c r="AQ129" s="245"/>
      <c r="AR129" s="245"/>
      <c r="AS129" s="245"/>
      <c r="AT129" s="245"/>
      <c r="AU129" s="245"/>
      <c r="AV129" s="245"/>
      <c r="AW129" s="245"/>
      <c r="AX129" s="245"/>
      <c r="AY129" s="245"/>
      <c r="AZ129" s="245"/>
      <c r="BA129" s="245"/>
      <c r="BB129" s="245"/>
      <c r="BC129" s="245"/>
      <c r="BD129" s="245"/>
      <c r="BE129" s="245"/>
      <c r="BF129" s="245"/>
      <c r="BG129" s="245"/>
      <c r="BH129" s="245"/>
      <c r="BI129" s="245"/>
      <c r="BJ129" s="245"/>
      <c r="BK129" s="245"/>
      <c r="BL129" s="245"/>
      <c r="BM129" s="245"/>
      <c r="BN129" s="245"/>
      <c r="BO129" s="245"/>
      <c r="BP129" s="245"/>
      <c r="BQ129" s="245"/>
      <c r="BR129" s="245"/>
      <c r="BS129" s="245"/>
      <c r="BT129" s="245"/>
      <c r="BU129" s="245"/>
      <c r="BV129" s="245"/>
      <c r="BW129" s="245"/>
      <c r="BX129" s="245"/>
      <c r="BY129" s="245"/>
      <c r="BZ129" s="245"/>
      <c r="CA129" s="245"/>
      <c r="CB129" s="245"/>
      <c r="CC129" s="245"/>
      <c r="CD129" s="245"/>
      <c r="CE129" s="245"/>
      <c r="CF129" s="245"/>
      <c r="CG129" s="245"/>
      <c r="CH129" s="245"/>
      <c r="CI129" s="245"/>
      <c r="CJ129" s="245"/>
      <c r="CK129" s="245"/>
      <c r="CL129" s="245"/>
      <c r="CM129" s="245"/>
      <c r="CN129" s="245"/>
      <c r="CO129" s="245"/>
      <c r="CP129" s="245"/>
      <c r="CQ129" s="245"/>
      <c r="CR129" s="245"/>
      <c r="CS129" s="245"/>
      <c r="CT129" s="245"/>
      <c r="CU129" s="245"/>
      <c r="CV129" s="245"/>
      <c r="CW129" s="245"/>
      <c r="CX129" s="245"/>
      <c r="CY129" s="67"/>
      <c r="CZ129" s="67"/>
      <c r="DA129" s="67"/>
      <c r="DB129" s="67"/>
      <c r="DC129" s="67"/>
      <c r="DD129" s="67"/>
      <c r="DE129" s="67"/>
      <c r="DF129" s="67"/>
      <c r="DG129" s="67"/>
      <c r="DH129" s="67"/>
      <c r="DI129" s="67"/>
      <c r="DJ129" s="67"/>
    </row>
    <row r="130" spans="11:114" ht="15.75">
      <c r="K130" s="245"/>
      <c r="L130" s="245"/>
      <c r="M130" s="245"/>
      <c r="N130" s="245"/>
      <c r="O130" s="245"/>
      <c r="P130" s="245"/>
      <c r="Q130" s="245"/>
      <c r="R130" s="245"/>
      <c r="S130" s="245"/>
      <c r="T130" s="245"/>
      <c r="U130" s="245"/>
      <c r="V130" s="245"/>
      <c r="W130" s="245"/>
      <c r="X130" s="245"/>
      <c r="Y130" s="245"/>
      <c r="Z130" s="245"/>
      <c r="AA130" s="245"/>
      <c r="AB130" s="245"/>
      <c r="AC130" s="245"/>
      <c r="AD130" s="245"/>
      <c r="AE130" s="245"/>
      <c r="AF130" s="245"/>
      <c r="AG130" s="245"/>
      <c r="AH130" s="245"/>
      <c r="AI130" s="245"/>
      <c r="AJ130" s="245"/>
      <c r="AK130" s="245"/>
      <c r="AL130" s="245"/>
      <c r="AM130" s="245"/>
      <c r="AN130" s="245"/>
      <c r="AO130" s="245"/>
      <c r="AP130" s="245"/>
      <c r="AQ130" s="245"/>
      <c r="AR130" s="245"/>
      <c r="AS130" s="245"/>
      <c r="AT130" s="245"/>
      <c r="AU130" s="245"/>
      <c r="AV130" s="245"/>
      <c r="AW130" s="245"/>
      <c r="AX130" s="245"/>
      <c r="AY130" s="245"/>
      <c r="AZ130" s="245"/>
      <c r="BA130" s="245"/>
      <c r="BB130" s="245"/>
      <c r="BC130" s="245"/>
      <c r="BD130" s="245"/>
      <c r="BE130" s="245"/>
      <c r="BF130" s="245"/>
      <c r="BG130" s="245"/>
      <c r="BH130" s="245"/>
      <c r="BI130" s="245"/>
      <c r="BJ130" s="245"/>
      <c r="BK130" s="245"/>
      <c r="BL130" s="245"/>
      <c r="BM130" s="245"/>
      <c r="BN130" s="245"/>
      <c r="BO130" s="245"/>
      <c r="BP130" s="245"/>
      <c r="BQ130" s="245"/>
      <c r="BR130" s="245"/>
      <c r="BS130" s="245"/>
      <c r="BT130" s="245"/>
      <c r="BU130" s="245"/>
      <c r="BV130" s="245"/>
      <c r="BW130" s="245"/>
      <c r="BX130" s="245"/>
      <c r="BY130" s="245"/>
      <c r="BZ130" s="245"/>
      <c r="CA130" s="245"/>
      <c r="CB130" s="245"/>
      <c r="CC130" s="245"/>
      <c r="CD130" s="245"/>
      <c r="CE130" s="245"/>
      <c r="CF130" s="245"/>
      <c r="CG130" s="245"/>
      <c r="CH130" s="245"/>
      <c r="CI130" s="245"/>
      <c r="CJ130" s="245"/>
      <c r="CK130" s="245"/>
      <c r="CL130" s="245"/>
      <c r="CM130" s="245"/>
      <c r="CN130" s="245"/>
      <c r="CO130" s="245"/>
      <c r="CP130" s="245"/>
      <c r="CQ130" s="245"/>
      <c r="CR130" s="245"/>
      <c r="CS130" s="245"/>
      <c r="CT130" s="245"/>
      <c r="CU130" s="245"/>
      <c r="CV130" s="245"/>
      <c r="CW130" s="245"/>
      <c r="CX130" s="245"/>
      <c r="CY130" s="67"/>
      <c r="CZ130" s="67"/>
      <c r="DA130" s="67"/>
      <c r="DB130" s="67"/>
      <c r="DC130" s="67"/>
      <c r="DD130" s="67"/>
      <c r="DE130" s="67"/>
      <c r="DF130" s="67"/>
      <c r="DG130" s="67"/>
      <c r="DH130" s="67"/>
      <c r="DI130" s="67"/>
      <c r="DJ130" s="67"/>
    </row>
    <row r="131" spans="11:114" ht="15.75">
      <c r="K131" s="245"/>
      <c r="L131" s="245"/>
      <c r="M131" s="245"/>
      <c r="N131" s="245"/>
      <c r="O131" s="245"/>
      <c r="P131" s="245"/>
      <c r="Q131" s="245"/>
      <c r="R131" s="245"/>
      <c r="S131" s="245"/>
      <c r="T131" s="245"/>
      <c r="U131" s="245"/>
      <c r="V131" s="245"/>
      <c r="W131" s="245"/>
      <c r="X131" s="245"/>
      <c r="Y131" s="245"/>
      <c r="Z131" s="245"/>
      <c r="AA131" s="245"/>
      <c r="AB131" s="245"/>
      <c r="AC131" s="245"/>
      <c r="AD131" s="245"/>
      <c r="AE131" s="245"/>
      <c r="AF131" s="245"/>
      <c r="AG131" s="245"/>
      <c r="AH131" s="245"/>
      <c r="AI131" s="245"/>
      <c r="AJ131" s="245"/>
      <c r="AK131" s="245"/>
      <c r="AL131" s="245"/>
      <c r="AM131" s="245"/>
      <c r="AN131" s="245"/>
      <c r="AO131" s="245"/>
      <c r="AP131" s="245"/>
      <c r="AQ131" s="245"/>
      <c r="AR131" s="245"/>
      <c r="AS131" s="245"/>
      <c r="AT131" s="245"/>
      <c r="AU131" s="245"/>
      <c r="AV131" s="245"/>
      <c r="AW131" s="245"/>
      <c r="AX131" s="245"/>
      <c r="AY131" s="245"/>
      <c r="AZ131" s="245"/>
      <c r="BA131" s="245"/>
      <c r="BB131" s="245"/>
      <c r="BC131" s="245"/>
      <c r="BD131" s="245"/>
      <c r="BE131" s="245"/>
      <c r="BF131" s="245"/>
      <c r="BG131" s="245"/>
      <c r="BH131" s="245"/>
      <c r="BI131" s="245"/>
      <c r="BJ131" s="245"/>
      <c r="BK131" s="245"/>
      <c r="BL131" s="245"/>
      <c r="BM131" s="245"/>
      <c r="BN131" s="245"/>
      <c r="BO131" s="245"/>
      <c r="BP131" s="245"/>
      <c r="BQ131" s="245"/>
      <c r="BR131" s="245"/>
      <c r="BS131" s="245"/>
      <c r="BT131" s="245"/>
      <c r="BU131" s="245"/>
      <c r="BV131" s="245"/>
      <c r="BW131" s="245"/>
      <c r="BX131" s="245"/>
      <c r="BY131" s="245"/>
      <c r="BZ131" s="245"/>
      <c r="CA131" s="245"/>
      <c r="CB131" s="245"/>
      <c r="CC131" s="245"/>
      <c r="CD131" s="245"/>
      <c r="CE131" s="245"/>
      <c r="CF131" s="245"/>
      <c r="CG131" s="245"/>
      <c r="CH131" s="245"/>
      <c r="CI131" s="245"/>
      <c r="CJ131" s="245"/>
      <c r="CK131" s="245"/>
      <c r="CL131" s="245"/>
      <c r="CM131" s="245"/>
      <c r="CN131" s="245"/>
      <c r="CO131" s="245"/>
      <c r="CP131" s="245"/>
      <c r="CQ131" s="245"/>
      <c r="CR131" s="245"/>
      <c r="CS131" s="245"/>
      <c r="CT131" s="245"/>
      <c r="CU131" s="245"/>
      <c r="CV131" s="245"/>
      <c r="CW131" s="245"/>
      <c r="CX131" s="245"/>
      <c r="CY131" s="67"/>
      <c r="CZ131" s="67"/>
      <c r="DA131" s="67"/>
      <c r="DB131" s="67"/>
      <c r="DC131" s="67"/>
      <c r="DD131" s="67"/>
      <c r="DE131" s="67"/>
      <c r="DF131" s="67"/>
      <c r="DG131" s="67"/>
      <c r="DH131" s="67"/>
      <c r="DI131" s="67"/>
      <c r="DJ131" s="67"/>
    </row>
    <row r="132" spans="11:114" ht="15.75">
      <c r="K132" s="245"/>
      <c r="L132" s="245"/>
      <c r="M132" s="245"/>
      <c r="N132" s="245"/>
      <c r="O132" s="245"/>
      <c r="P132" s="245"/>
      <c r="Q132" s="245"/>
      <c r="R132" s="245"/>
      <c r="S132" s="245"/>
      <c r="T132" s="245"/>
      <c r="U132" s="245"/>
      <c r="V132" s="245"/>
      <c r="W132" s="245"/>
      <c r="X132" s="245"/>
      <c r="Y132" s="245"/>
      <c r="Z132" s="245"/>
      <c r="AA132" s="245"/>
      <c r="AB132" s="245"/>
      <c r="AC132" s="245"/>
      <c r="AD132" s="245"/>
      <c r="AE132" s="245"/>
      <c r="AF132" s="245"/>
      <c r="AG132" s="245"/>
      <c r="AH132" s="245"/>
      <c r="AI132" s="245"/>
      <c r="AJ132" s="245"/>
      <c r="AK132" s="245"/>
      <c r="AL132" s="245"/>
      <c r="AM132" s="245"/>
      <c r="AN132" s="245"/>
      <c r="AO132" s="245"/>
      <c r="AP132" s="245"/>
      <c r="AQ132" s="245"/>
      <c r="AR132" s="245"/>
      <c r="AS132" s="245"/>
      <c r="AT132" s="245"/>
      <c r="AU132" s="245"/>
      <c r="AV132" s="245"/>
      <c r="AW132" s="245"/>
      <c r="AX132" s="245"/>
      <c r="AY132" s="245"/>
      <c r="AZ132" s="245"/>
      <c r="BA132" s="245"/>
      <c r="BB132" s="245"/>
      <c r="BC132" s="245"/>
      <c r="BD132" s="245"/>
      <c r="BE132" s="245"/>
      <c r="BF132" s="245"/>
      <c r="BG132" s="245"/>
      <c r="BH132" s="245"/>
      <c r="BI132" s="245"/>
      <c r="BJ132" s="245"/>
      <c r="BK132" s="245"/>
      <c r="BL132" s="245"/>
      <c r="BM132" s="245"/>
      <c r="BN132" s="245"/>
      <c r="BO132" s="245"/>
      <c r="BP132" s="245"/>
      <c r="BQ132" s="245"/>
      <c r="BR132" s="245"/>
      <c r="BS132" s="245"/>
      <c r="BT132" s="245"/>
      <c r="BU132" s="245"/>
      <c r="BV132" s="245"/>
      <c r="BW132" s="245"/>
      <c r="BX132" s="245"/>
      <c r="BY132" s="245"/>
      <c r="BZ132" s="245"/>
      <c r="CA132" s="245"/>
      <c r="CB132" s="245"/>
      <c r="CC132" s="245"/>
      <c r="CD132" s="245"/>
      <c r="CE132" s="245"/>
      <c r="CF132" s="245"/>
      <c r="CG132" s="245"/>
      <c r="CH132" s="245"/>
      <c r="CI132" s="245"/>
      <c r="CJ132" s="245"/>
      <c r="CK132" s="245"/>
      <c r="CL132" s="245"/>
      <c r="CM132" s="245"/>
      <c r="CN132" s="245"/>
      <c r="CO132" s="245"/>
      <c r="CP132" s="245"/>
      <c r="CQ132" s="245"/>
      <c r="CR132" s="245"/>
      <c r="CS132" s="245"/>
      <c r="CT132" s="245"/>
      <c r="CU132" s="245"/>
      <c r="CV132" s="245"/>
      <c r="CW132" s="245"/>
      <c r="CX132" s="245"/>
      <c r="CY132" s="67"/>
      <c r="CZ132" s="67"/>
      <c r="DA132" s="67"/>
      <c r="DB132" s="67"/>
      <c r="DC132" s="67"/>
      <c r="DD132" s="67"/>
      <c r="DE132" s="67"/>
      <c r="DF132" s="67"/>
      <c r="DG132" s="67"/>
      <c r="DH132" s="67"/>
      <c r="DI132" s="67"/>
      <c r="DJ132" s="67"/>
    </row>
    <row r="133" spans="11:114" ht="15.75">
      <c r="K133" s="245"/>
      <c r="L133" s="245"/>
      <c r="M133" s="245"/>
      <c r="N133" s="245"/>
      <c r="O133" s="245"/>
      <c r="P133" s="245"/>
      <c r="Q133" s="245"/>
      <c r="R133" s="245"/>
      <c r="S133" s="245"/>
      <c r="T133" s="245"/>
      <c r="U133" s="245"/>
      <c r="V133" s="245"/>
      <c r="W133" s="245"/>
      <c r="X133" s="245"/>
      <c r="Y133" s="245"/>
      <c r="Z133" s="245"/>
      <c r="AA133" s="245"/>
      <c r="AB133" s="245"/>
      <c r="AC133" s="245"/>
      <c r="AD133" s="245"/>
      <c r="AE133" s="245"/>
      <c r="AF133" s="245"/>
      <c r="AG133" s="245"/>
      <c r="AH133" s="245"/>
      <c r="AI133" s="245"/>
      <c r="AJ133" s="245"/>
      <c r="AK133" s="245"/>
      <c r="AL133" s="245"/>
      <c r="AM133" s="245"/>
      <c r="AN133" s="245"/>
      <c r="AO133" s="245"/>
      <c r="AP133" s="245"/>
      <c r="AQ133" s="245"/>
      <c r="AR133" s="245"/>
      <c r="AS133" s="245"/>
      <c r="AT133" s="245"/>
      <c r="AU133" s="245"/>
      <c r="AV133" s="245"/>
      <c r="AW133" s="245"/>
      <c r="AX133" s="245"/>
      <c r="AY133" s="245"/>
      <c r="AZ133" s="245"/>
      <c r="BA133" s="245"/>
      <c r="BB133" s="245"/>
      <c r="BC133" s="245"/>
      <c r="BD133" s="245"/>
      <c r="BE133" s="245"/>
      <c r="BF133" s="245"/>
      <c r="BG133" s="245"/>
      <c r="BH133" s="245"/>
      <c r="BI133" s="245"/>
      <c r="BJ133" s="245"/>
      <c r="BK133" s="245"/>
      <c r="BL133" s="245"/>
      <c r="BM133" s="245"/>
      <c r="BN133" s="245"/>
      <c r="BO133" s="245"/>
      <c r="BP133" s="245"/>
      <c r="BQ133" s="245"/>
      <c r="BR133" s="245"/>
      <c r="BS133" s="245"/>
      <c r="BT133" s="245"/>
      <c r="BU133" s="245"/>
      <c r="BV133" s="245"/>
      <c r="BW133" s="245"/>
      <c r="BX133" s="245"/>
      <c r="BY133" s="245"/>
      <c r="BZ133" s="245"/>
      <c r="CA133" s="245"/>
      <c r="CB133" s="245"/>
      <c r="CC133" s="245"/>
      <c r="CD133" s="245"/>
      <c r="CE133" s="245"/>
      <c r="CF133" s="245"/>
      <c r="CG133" s="245"/>
      <c r="CH133" s="245"/>
      <c r="CI133" s="245"/>
      <c r="CJ133" s="245"/>
      <c r="CK133" s="245"/>
      <c r="CL133" s="245"/>
      <c r="CM133" s="245"/>
      <c r="CN133" s="245"/>
      <c r="CO133" s="245"/>
      <c r="CP133" s="245"/>
      <c r="CQ133" s="245"/>
      <c r="CR133" s="245"/>
      <c r="CS133" s="245"/>
      <c r="CT133" s="245"/>
      <c r="CU133" s="245"/>
      <c r="CV133" s="245"/>
      <c r="CW133" s="245"/>
      <c r="CX133" s="245"/>
      <c r="CY133" s="67"/>
      <c r="CZ133" s="67"/>
      <c r="DA133" s="67"/>
      <c r="DB133" s="67"/>
      <c r="DC133" s="67"/>
      <c r="DD133" s="67"/>
      <c r="DE133" s="67"/>
      <c r="DF133" s="67"/>
      <c r="DG133" s="67"/>
      <c r="DH133" s="67"/>
      <c r="DI133" s="67"/>
      <c r="DJ133" s="67"/>
    </row>
    <row r="149" spans="11:104">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c r="AG149" s="137"/>
      <c r="AH149" s="137"/>
      <c r="AI149" s="137"/>
      <c r="AJ149" s="137"/>
      <c r="AK149" s="137"/>
      <c r="AL149" s="137"/>
      <c r="AM149" s="137"/>
      <c r="AN149" s="137"/>
      <c r="AO149" s="137"/>
      <c r="AP149" s="137"/>
      <c r="AQ149" s="137"/>
      <c r="AR149" s="137"/>
      <c r="AS149" s="137"/>
      <c r="AT149" s="137"/>
      <c r="AU149" s="137"/>
      <c r="AV149" s="137"/>
      <c r="AW149" s="137"/>
      <c r="AX149" s="137"/>
      <c r="AY149" s="137"/>
      <c r="AZ149" s="137"/>
      <c r="BA149" s="137"/>
      <c r="BB149" s="137"/>
      <c r="BC149" s="137"/>
      <c r="BD149" s="137"/>
      <c r="BE149" s="137"/>
      <c r="BF149" s="137"/>
      <c r="BG149" s="137"/>
      <c r="BH149" s="137"/>
      <c r="BI149" s="137"/>
      <c r="BJ149" s="137"/>
      <c r="BK149" s="137"/>
      <c r="BL149" s="137"/>
      <c r="BM149" s="137"/>
      <c r="BN149" s="137"/>
      <c r="BO149" s="137"/>
      <c r="BP149" s="137"/>
      <c r="BQ149" s="137"/>
      <c r="BR149" s="137"/>
      <c r="BS149" s="137"/>
      <c r="BT149" s="137"/>
      <c r="BU149" s="137"/>
      <c r="BV149" s="137"/>
      <c r="BW149" s="137"/>
      <c r="BX149" s="137"/>
      <c r="BY149" s="137"/>
      <c r="BZ149" s="137"/>
      <c r="CA149" s="137"/>
      <c r="CB149" s="137"/>
      <c r="CC149" s="137"/>
      <c r="CD149" s="137"/>
      <c r="CE149" s="137"/>
      <c r="CF149" s="137"/>
      <c r="CG149" s="137"/>
      <c r="CH149" s="137"/>
      <c r="CI149" s="137"/>
      <c r="CJ149" s="137"/>
      <c r="CK149" s="137"/>
      <c r="CL149" s="137"/>
      <c r="CM149" s="137"/>
      <c r="CN149" s="137"/>
      <c r="CO149" s="137"/>
      <c r="CP149" s="137"/>
      <c r="CQ149" s="137"/>
      <c r="CR149" s="137"/>
      <c r="CS149" s="137"/>
      <c r="CT149" s="137"/>
      <c r="CU149" s="137"/>
      <c r="CV149" s="137"/>
      <c r="CW149" s="137"/>
      <c r="CX149" s="137"/>
    </row>
    <row r="150" spans="11:104">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c r="AG150" s="137"/>
      <c r="AH150" s="137"/>
      <c r="AI150" s="137"/>
      <c r="AJ150" s="137"/>
      <c r="AK150" s="137"/>
      <c r="AL150" s="137"/>
      <c r="AM150" s="137"/>
      <c r="AN150" s="137"/>
      <c r="AO150" s="137"/>
      <c r="AP150" s="137"/>
      <c r="AQ150" s="137"/>
      <c r="AR150" s="137"/>
      <c r="AS150" s="137"/>
      <c r="AT150" s="137"/>
      <c r="AU150" s="137"/>
      <c r="AV150" s="137"/>
      <c r="AW150" s="137"/>
      <c r="AX150" s="137"/>
      <c r="AY150" s="137"/>
      <c r="AZ150" s="137"/>
      <c r="BA150" s="137"/>
      <c r="BB150" s="137"/>
      <c r="BC150" s="137"/>
      <c r="BD150" s="137"/>
      <c r="BE150" s="137"/>
      <c r="BF150" s="137"/>
      <c r="BG150" s="137"/>
      <c r="BH150" s="137"/>
      <c r="BI150" s="137"/>
      <c r="BJ150" s="137"/>
      <c r="BK150" s="137"/>
      <c r="BL150" s="137"/>
      <c r="BM150" s="137"/>
      <c r="BN150" s="137"/>
      <c r="BO150" s="137"/>
      <c r="BP150" s="137"/>
      <c r="BQ150" s="137"/>
      <c r="BR150" s="137"/>
      <c r="BS150" s="137"/>
      <c r="BT150" s="137"/>
      <c r="BU150" s="137"/>
      <c r="BV150" s="137"/>
      <c r="BW150" s="137"/>
      <c r="BX150" s="137"/>
      <c r="BY150" s="137"/>
      <c r="BZ150" s="137"/>
      <c r="CA150" s="137"/>
      <c r="CB150" s="137"/>
      <c r="CC150" s="137"/>
      <c r="CD150" s="137"/>
      <c r="CE150" s="137"/>
      <c r="CF150" s="137"/>
      <c r="CG150" s="137"/>
      <c r="CH150" s="137"/>
      <c r="CI150" s="137"/>
      <c r="CJ150" s="137"/>
      <c r="CK150" s="137"/>
      <c r="CL150" s="137"/>
      <c r="CM150" s="137"/>
      <c r="CN150" s="137"/>
      <c r="CO150" s="137"/>
      <c r="CP150" s="137"/>
      <c r="CQ150" s="137"/>
      <c r="CR150" s="137"/>
      <c r="CS150" s="137"/>
      <c r="CT150" s="137"/>
      <c r="CU150" s="137"/>
      <c r="CV150" s="137"/>
      <c r="CW150" s="137"/>
      <c r="CX150" s="137"/>
    </row>
    <row r="151" spans="11:104">
      <c r="K151" s="137" t="s">
        <v>527</v>
      </c>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c r="AG151" s="137"/>
      <c r="AH151" s="137"/>
      <c r="AI151" s="137"/>
      <c r="AJ151" s="137"/>
      <c r="AK151" s="137"/>
      <c r="AL151" s="137"/>
      <c r="AM151" s="137"/>
      <c r="AN151" s="137"/>
      <c r="AO151" s="137"/>
      <c r="AP151" s="137"/>
      <c r="AQ151" s="137"/>
      <c r="AR151" s="137"/>
      <c r="AS151" s="137"/>
      <c r="AT151" s="137"/>
      <c r="AU151" s="137"/>
      <c r="AV151" s="137"/>
      <c r="AW151" s="137"/>
      <c r="AX151" s="137"/>
      <c r="AY151" s="137"/>
      <c r="AZ151" s="137"/>
      <c r="BA151" s="137"/>
      <c r="BB151" s="137"/>
      <c r="BC151" s="137"/>
      <c r="BD151" s="137"/>
      <c r="BE151" s="137"/>
      <c r="BF151" s="137"/>
      <c r="BG151" s="137"/>
      <c r="BH151" s="137"/>
      <c r="BI151" s="137"/>
      <c r="BJ151" s="137"/>
      <c r="BK151" s="137"/>
      <c r="BL151" s="137"/>
      <c r="BM151" s="137"/>
      <c r="BN151" s="137"/>
      <c r="BO151" s="137"/>
      <c r="BP151" s="137"/>
      <c r="BQ151" s="137"/>
      <c r="BR151" s="137"/>
      <c r="BS151" s="137"/>
      <c r="BT151" s="137"/>
      <c r="BU151" s="137"/>
      <c r="BV151" s="137"/>
      <c r="BW151" s="137"/>
      <c r="BX151" s="137"/>
      <c r="BY151" s="137"/>
      <c r="BZ151" s="137"/>
      <c r="CA151" s="137"/>
      <c r="CB151" s="137"/>
      <c r="CC151" s="137"/>
      <c r="CD151" s="137"/>
      <c r="CE151" s="137"/>
      <c r="CF151" s="137"/>
      <c r="CG151" s="137"/>
      <c r="CH151" s="137"/>
      <c r="CI151" s="137"/>
      <c r="CJ151" s="137"/>
      <c r="CK151" s="137"/>
      <c r="CL151" s="137"/>
      <c r="CM151" s="137"/>
      <c r="CN151" s="137"/>
      <c r="CO151" s="137"/>
      <c r="CP151" s="137"/>
      <c r="CQ151" s="137"/>
      <c r="CR151" s="137"/>
      <c r="CS151" s="137"/>
      <c r="CT151" s="137"/>
      <c r="CU151" s="137"/>
      <c r="CV151" s="137"/>
      <c r="CW151" s="137"/>
      <c r="CX151" s="137"/>
      <c r="CY151" s="1"/>
      <c r="CZ151" s="137"/>
    </row>
    <row r="152" spans="11:104">
      <c r="K152" s="1" t="s">
        <v>227</v>
      </c>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37"/>
    </row>
    <row r="153" spans="11:104" ht="13.5" thickBot="1">
      <c r="K153" s="240"/>
      <c r="L153" s="240"/>
      <c r="M153" s="240"/>
      <c r="N153" s="240"/>
      <c r="O153" s="240"/>
      <c r="P153" s="240"/>
      <c r="Q153" s="240"/>
      <c r="R153" s="240"/>
      <c r="S153" s="240"/>
      <c r="T153" s="240"/>
      <c r="U153" s="240"/>
      <c r="V153" s="240"/>
      <c r="W153" s="240"/>
      <c r="X153" s="240"/>
      <c r="Y153" s="240"/>
      <c r="Z153" s="240"/>
      <c r="AA153" s="240"/>
      <c r="AB153" s="240"/>
      <c r="AC153" s="240"/>
      <c r="AD153" s="240"/>
      <c r="AE153" s="240"/>
      <c r="AF153" s="240"/>
      <c r="AG153" s="240"/>
      <c r="AH153" s="240"/>
      <c r="AI153" s="240"/>
      <c r="AJ153" s="240"/>
      <c r="AK153" s="240"/>
      <c r="AL153" s="240"/>
      <c r="AM153" s="240"/>
      <c r="AN153" s="240"/>
      <c r="AO153" s="240"/>
      <c r="AP153" s="240"/>
      <c r="AQ153" s="240"/>
      <c r="AR153" s="240"/>
      <c r="AS153" s="240"/>
      <c r="AT153" s="240"/>
      <c r="AU153" s="240"/>
      <c r="AV153" s="240"/>
      <c r="AW153" s="240"/>
      <c r="AX153" s="240"/>
      <c r="AY153" s="240"/>
      <c r="AZ153" s="240"/>
      <c r="BA153" s="240"/>
      <c r="BB153" s="240"/>
      <c r="BC153" s="240"/>
      <c r="BD153" s="240"/>
      <c r="BE153" s="240"/>
      <c r="BF153" s="240"/>
      <c r="BG153" s="240"/>
      <c r="BH153" s="240"/>
      <c r="BI153" s="240"/>
      <c r="BJ153" s="240"/>
      <c r="BK153" s="240"/>
      <c r="BL153" s="240"/>
      <c r="BM153" s="240"/>
      <c r="BN153" s="240"/>
      <c r="BO153" s="240"/>
      <c r="BP153" s="240"/>
      <c r="BQ153" s="240"/>
      <c r="BR153" s="240"/>
      <c r="BS153" s="240"/>
      <c r="BT153" s="240"/>
      <c r="BU153" s="240"/>
      <c r="BV153" s="240"/>
      <c r="BW153" s="240"/>
      <c r="BX153" s="240"/>
      <c r="BY153" s="240"/>
      <c r="BZ153" s="240"/>
      <c r="CA153" s="240"/>
      <c r="CB153" s="240"/>
      <c r="CC153" s="240"/>
      <c r="CD153" s="240"/>
      <c r="CE153" s="240"/>
      <c r="CF153" s="240"/>
      <c r="CG153" s="240"/>
      <c r="CH153" s="240"/>
      <c r="CI153" s="240"/>
      <c r="CJ153" s="240"/>
      <c r="CK153" s="240"/>
      <c r="CL153" s="240"/>
      <c r="CM153" s="240"/>
      <c r="CN153" s="240"/>
      <c r="CO153" s="240"/>
      <c r="CP153" s="240"/>
      <c r="CQ153" s="240"/>
      <c r="CR153" s="240"/>
      <c r="CS153" s="240"/>
      <c r="CT153" s="240"/>
      <c r="CU153" s="240"/>
      <c r="CV153" s="240"/>
      <c r="CW153" s="240"/>
      <c r="CX153" s="240"/>
      <c r="CY153" s="1" t="s">
        <v>503</v>
      </c>
      <c r="CZ153" s="137"/>
    </row>
    <row r="154" spans="11:104" ht="13.5" thickTop="1">
      <c r="K154" s="68">
        <v>22647</v>
      </c>
      <c r="L154" s="207"/>
      <c r="M154" s="207"/>
      <c r="N154" s="207"/>
      <c r="O154" s="207"/>
      <c r="P154" s="207"/>
      <c r="Q154" s="207"/>
      <c r="R154" s="207"/>
      <c r="S154" s="207"/>
      <c r="T154" s="207"/>
      <c r="U154" s="207"/>
      <c r="V154" s="207"/>
      <c r="W154" s="207"/>
      <c r="X154" s="207"/>
      <c r="Y154" s="207"/>
      <c r="Z154" s="207"/>
      <c r="AA154" s="207"/>
      <c r="AB154" s="207"/>
      <c r="AC154" s="207"/>
      <c r="AD154" s="207"/>
      <c r="AE154" s="207"/>
      <c r="AF154" s="207"/>
      <c r="AG154" s="207"/>
      <c r="AH154" s="207"/>
      <c r="AI154" s="207"/>
      <c r="AJ154" s="207"/>
      <c r="AK154" s="207"/>
      <c r="AL154" s="207"/>
      <c r="AM154" s="207"/>
      <c r="AN154" s="207"/>
      <c r="AO154" s="207"/>
      <c r="AP154" s="207"/>
      <c r="AQ154" s="207"/>
      <c r="AR154" s="207"/>
      <c r="AS154" s="207"/>
      <c r="AT154" s="207"/>
      <c r="AU154" s="207"/>
      <c r="AV154" s="207"/>
      <c r="AW154" s="207"/>
      <c r="AX154" s="207"/>
      <c r="AY154" s="207"/>
      <c r="AZ154" s="207"/>
      <c r="BA154" s="207"/>
      <c r="BB154" s="207"/>
      <c r="BC154" s="207"/>
      <c r="BD154" s="207"/>
      <c r="BE154" s="207"/>
      <c r="BF154" s="207"/>
      <c r="BG154" s="207"/>
      <c r="BH154" s="207"/>
      <c r="BI154" s="207"/>
      <c r="BJ154" s="207"/>
      <c r="BK154" s="207"/>
      <c r="BL154" s="207"/>
      <c r="BM154" s="207"/>
      <c r="BN154" s="207"/>
      <c r="BO154" s="207"/>
      <c r="BP154" s="207"/>
      <c r="BQ154" s="207"/>
      <c r="BR154" s="207"/>
      <c r="BS154" s="207"/>
      <c r="BT154" s="207"/>
      <c r="BU154" s="207"/>
      <c r="BV154" s="207"/>
      <c r="BW154" s="207"/>
      <c r="BX154" s="207"/>
      <c r="BY154" s="207"/>
      <c r="BZ154" s="207"/>
      <c r="CA154" s="207"/>
      <c r="CB154" s="207"/>
      <c r="CC154" s="207"/>
      <c r="CD154" s="207"/>
      <c r="CE154" s="207"/>
      <c r="CF154" s="207"/>
      <c r="CG154" s="207"/>
      <c r="CH154" s="207"/>
      <c r="CI154" s="207"/>
      <c r="CJ154" s="207"/>
      <c r="CK154" s="207"/>
      <c r="CL154" s="207"/>
      <c r="CM154" s="207"/>
      <c r="CN154" s="207"/>
      <c r="CO154" s="207"/>
      <c r="CP154" s="207"/>
      <c r="CQ154" s="207"/>
      <c r="CR154" s="207"/>
      <c r="CS154" s="207"/>
      <c r="CT154" s="207"/>
      <c r="CU154" s="207"/>
      <c r="CV154" s="207"/>
      <c r="CW154" s="207"/>
      <c r="CX154" s="207"/>
      <c r="CY154" s="82">
        <v>30</v>
      </c>
      <c r="CZ154" s="6"/>
    </row>
    <row r="155" spans="11:104">
      <c r="K155" s="97">
        <v>24492</v>
      </c>
      <c r="L155" s="136"/>
      <c r="M155" s="136"/>
      <c r="N155" s="136"/>
      <c r="O155" s="136"/>
      <c r="P155" s="136"/>
      <c r="Q155" s="136"/>
      <c r="R155" s="136"/>
      <c r="S155" s="136"/>
      <c r="T155" s="136"/>
      <c r="U155" s="136"/>
      <c r="V155" s="136"/>
      <c r="W155" s="136"/>
      <c r="X155" s="136"/>
      <c r="Y155" s="136"/>
      <c r="Z155" s="136"/>
      <c r="AA155" s="136"/>
      <c r="AB155" s="136"/>
      <c r="AC155" s="136"/>
      <c r="AD155" s="136"/>
      <c r="AE155" s="136"/>
      <c r="AF155" s="136"/>
      <c r="AG155" s="136"/>
      <c r="AH155" s="136"/>
      <c r="AI155" s="136"/>
      <c r="AJ155" s="136"/>
      <c r="AK155" s="136"/>
      <c r="AL155" s="136"/>
      <c r="AM155" s="136"/>
      <c r="AN155" s="136"/>
      <c r="AO155" s="136"/>
      <c r="AP155" s="136"/>
      <c r="AQ155" s="136"/>
      <c r="AR155" s="136"/>
      <c r="AS155" s="136"/>
      <c r="AT155" s="136"/>
      <c r="AU155" s="136"/>
      <c r="AV155" s="136"/>
      <c r="AW155" s="136"/>
      <c r="AX155" s="136"/>
      <c r="AY155" s="136"/>
      <c r="AZ155" s="136"/>
      <c r="BA155" s="136"/>
      <c r="BB155" s="136"/>
      <c r="BC155" s="136"/>
      <c r="BD155" s="136"/>
      <c r="BE155" s="136"/>
      <c r="BF155" s="136"/>
      <c r="BG155" s="136"/>
      <c r="BH155" s="136"/>
      <c r="BI155" s="136"/>
      <c r="BJ155" s="136"/>
      <c r="BK155" s="136"/>
      <c r="BL155" s="136"/>
      <c r="BM155" s="136"/>
      <c r="BN155" s="136"/>
      <c r="BO155" s="136"/>
      <c r="BP155" s="136"/>
      <c r="BQ155" s="136"/>
      <c r="BR155" s="136"/>
      <c r="BS155" s="136"/>
      <c r="BT155" s="136"/>
      <c r="BU155" s="136"/>
      <c r="BV155" s="136"/>
      <c r="BW155" s="136"/>
      <c r="BX155" s="136"/>
      <c r="BY155" s="136"/>
      <c r="BZ155" s="136"/>
      <c r="CA155" s="136"/>
      <c r="CB155" s="136"/>
      <c r="CC155" s="136"/>
      <c r="CD155" s="136"/>
      <c r="CE155" s="136"/>
      <c r="CF155" s="136"/>
      <c r="CG155" s="136"/>
      <c r="CH155" s="136"/>
      <c r="CI155" s="136"/>
      <c r="CJ155" s="136"/>
      <c r="CK155" s="136"/>
      <c r="CL155" s="136"/>
      <c r="CM155" s="136"/>
      <c r="CN155" s="136"/>
      <c r="CO155" s="136"/>
      <c r="CP155" s="136"/>
      <c r="CQ155" s="136"/>
      <c r="CR155" s="136"/>
      <c r="CS155" s="136"/>
      <c r="CT155" s="136"/>
      <c r="CU155" s="136"/>
      <c r="CV155" s="136"/>
      <c r="CW155" s="136"/>
      <c r="CX155" s="136"/>
      <c r="CY155" s="187">
        <v>30</v>
      </c>
      <c r="CZ155" s="123"/>
    </row>
    <row r="156" spans="11:104">
      <c r="K156" s="97">
        <v>25569</v>
      </c>
      <c r="L156" s="136"/>
      <c r="M156" s="136"/>
      <c r="N156" s="136"/>
      <c r="O156" s="136"/>
      <c r="P156" s="136"/>
      <c r="Q156" s="136"/>
      <c r="R156" s="136"/>
      <c r="S156" s="136"/>
      <c r="T156" s="136"/>
      <c r="U156" s="136"/>
      <c r="V156" s="136"/>
      <c r="W156" s="136"/>
      <c r="X156" s="136"/>
      <c r="Y156" s="136"/>
      <c r="Z156" s="136"/>
      <c r="AA156" s="136"/>
      <c r="AB156" s="136"/>
      <c r="AC156" s="136"/>
      <c r="AD156" s="136"/>
      <c r="AE156" s="136"/>
      <c r="AF156" s="136"/>
      <c r="AG156" s="136"/>
      <c r="AH156" s="136"/>
      <c r="AI156" s="136"/>
      <c r="AJ156" s="136"/>
      <c r="AK156" s="136"/>
      <c r="AL156" s="136"/>
      <c r="AM156" s="136"/>
      <c r="AN156" s="136"/>
      <c r="AO156" s="136"/>
      <c r="AP156" s="136"/>
      <c r="AQ156" s="136"/>
      <c r="AR156" s="136"/>
      <c r="AS156" s="136"/>
      <c r="AT156" s="136"/>
      <c r="AU156" s="136"/>
      <c r="AV156" s="136"/>
      <c r="AW156" s="136"/>
      <c r="AX156" s="136"/>
      <c r="AY156" s="136"/>
      <c r="AZ156" s="136"/>
      <c r="BA156" s="136"/>
      <c r="BB156" s="136"/>
      <c r="BC156" s="136"/>
      <c r="BD156" s="136"/>
      <c r="BE156" s="136"/>
      <c r="BF156" s="136"/>
      <c r="BG156" s="136"/>
      <c r="BH156" s="136"/>
      <c r="BI156" s="136"/>
      <c r="BJ156" s="136"/>
      <c r="BK156" s="136"/>
      <c r="BL156" s="136"/>
      <c r="BM156" s="136"/>
      <c r="BN156" s="136"/>
      <c r="BO156" s="136"/>
      <c r="BP156" s="136"/>
      <c r="BQ156" s="136"/>
      <c r="BR156" s="136"/>
      <c r="BS156" s="136"/>
      <c r="BT156" s="136"/>
      <c r="BU156" s="136"/>
      <c r="BV156" s="136"/>
      <c r="BW156" s="136"/>
      <c r="BX156" s="136"/>
      <c r="BY156" s="136"/>
      <c r="BZ156" s="136"/>
      <c r="CA156" s="136"/>
      <c r="CB156" s="136"/>
      <c r="CC156" s="136"/>
      <c r="CD156" s="136"/>
      <c r="CE156" s="136"/>
      <c r="CF156" s="136"/>
      <c r="CG156" s="136"/>
      <c r="CH156" s="136"/>
      <c r="CI156" s="136"/>
      <c r="CJ156" s="136"/>
      <c r="CK156" s="136"/>
      <c r="CL156" s="136"/>
      <c r="CM156" s="136"/>
      <c r="CN156" s="136"/>
      <c r="CO156" s="136"/>
      <c r="CP156" s="136"/>
      <c r="CQ156" s="136"/>
      <c r="CR156" s="136"/>
      <c r="CS156" s="136"/>
      <c r="CT156" s="136"/>
      <c r="CU156" s="136"/>
      <c r="CV156" s="136"/>
      <c r="CW156" s="136"/>
      <c r="CX156" s="136"/>
      <c r="CY156" s="187">
        <v>30</v>
      </c>
      <c r="CZ156" s="123"/>
    </row>
    <row r="157" spans="11:104">
      <c r="K157" s="97">
        <v>26299</v>
      </c>
      <c r="L157" s="136"/>
      <c r="M157" s="136"/>
      <c r="N157" s="136"/>
      <c r="O157" s="136"/>
      <c r="P157" s="136"/>
      <c r="Q157" s="136"/>
      <c r="R157" s="136"/>
      <c r="S157" s="136"/>
      <c r="T157" s="136"/>
      <c r="U157" s="136"/>
      <c r="V157" s="136"/>
      <c r="W157" s="136"/>
      <c r="X157" s="136"/>
      <c r="Y157" s="136"/>
      <c r="Z157" s="136"/>
      <c r="AA157" s="136"/>
      <c r="AB157" s="136"/>
      <c r="AC157" s="136"/>
      <c r="AD157" s="136"/>
      <c r="AE157" s="136"/>
      <c r="AF157" s="136"/>
      <c r="AG157" s="136"/>
      <c r="AH157" s="136"/>
      <c r="AI157" s="136"/>
      <c r="AJ157" s="136"/>
      <c r="AK157" s="136"/>
      <c r="AL157" s="136"/>
      <c r="AM157" s="136"/>
      <c r="AN157" s="136"/>
      <c r="AO157" s="136"/>
      <c r="AP157" s="136"/>
      <c r="AQ157" s="136"/>
      <c r="AR157" s="136"/>
      <c r="AS157" s="136"/>
      <c r="AT157" s="136"/>
      <c r="AU157" s="136"/>
      <c r="AV157" s="136"/>
      <c r="AW157" s="136"/>
      <c r="AX157" s="136"/>
      <c r="AY157" s="136"/>
      <c r="AZ157" s="136"/>
      <c r="BA157" s="136"/>
      <c r="BB157" s="136"/>
      <c r="BC157" s="136"/>
      <c r="BD157" s="136"/>
      <c r="BE157" s="136"/>
      <c r="BF157" s="136"/>
      <c r="BG157" s="136"/>
      <c r="BH157" s="136"/>
      <c r="BI157" s="136"/>
      <c r="BJ157" s="136"/>
      <c r="BK157" s="136"/>
      <c r="BL157" s="136"/>
      <c r="BM157" s="136"/>
      <c r="BN157" s="136"/>
      <c r="BO157" s="136"/>
      <c r="BP157" s="136"/>
      <c r="BQ157" s="136"/>
      <c r="BR157" s="136"/>
      <c r="BS157" s="136"/>
      <c r="BT157" s="136"/>
      <c r="BU157" s="136"/>
      <c r="BV157" s="136"/>
      <c r="BW157" s="136"/>
      <c r="BX157" s="136"/>
      <c r="BY157" s="136"/>
      <c r="BZ157" s="136"/>
      <c r="CA157" s="136"/>
      <c r="CB157" s="136"/>
      <c r="CC157" s="136"/>
      <c r="CD157" s="136"/>
      <c r="CE157" s="136"/>
      <c r="CF157" s="136"/>
      <c r="CG157" s="136"/>
      <c r="CH157" s="136"/>
      <c r="CI157" s="136"/>
      <c r="CJ157" s="136"/>
      <c r="CK157" s="136"/>
      <c r="CL157" s="136"/>
      <c r="CM157" s="136"/>
      <c r="CN157" s="136"/>
      <c r="CO157" s="136"/>
      <c r="CP157" s="136"/>
      <c r="CQ157" s="136"/>
      <c r="CR157" s="136"/>
      <c r="CS157" s="136"/>
      <c r="CT157" s="136"/>
      <c r="CU157" s="136"/>
      <c r="CV157" s="136"/>
      <c r="CW157" s="136"/>
      <c r="CX157" s="136"/>
      <c r="CY157" s="187">
        <v>30</v>
      </c>
      <c r="CZ157" s="123"/>
    </row>
    <row r="158" spans="11:104">
      <c r="K158" s="97">
        <v>27395</v>
      </c>
      <c r="L158" s="136"/>
      <c r="M158" s="136"/>
      <c r="N158" s="136"/>
      <c r="O158" s="136"/>
      <c r="P158" s="136"/>
      <c r="Q158" s="136"/>
      <c r="R158" s="136"/>
      <c r="S158" s="136"/>
      <c r="T158" s="136"/>
      <c r="U158" s="136"/>
      <c r="V158" s="136"/>
      <c r="W158" s="136"/>
      <c r="X158" s="136"/>
      <c r="Y158" s="136"/>
      <c r="Z158" s="136"/>
      <c r="AA158" s="136"/>
      <c r="AB158" s="136"/>
      <c r="AC158" s="136"/>
      <c r="AD158" s="136"/>
      <c r="AE158" s="136"/>
      <c r="AF158" s="136"/>
      <c r="AG158" s="136"/>
      <c r="AH158" s="136"/>
      <c r="AI158" s="136"/>
      <c r="AJ158" s="136"/>
      <c r="AK158" s="136"/>
      <c r="AL158" s="136"/>
      <c r="AM158" s="136"/>
      <c r="AN158" s="136"/>
      <c r="AO158" s="136"/>
      <c r="AP158" s="136"/>
      <c r="AQ158" s="136"/>
      <c r="AR158" s="136"/>
      <c r="AS158" s="136"/>
      <c r="AT158" s="136"/>
      <c r="AU158" s="136"/>
      <c r="AV158" s="136"/>
      <c r="AW158" s="136"/>
      <c r="AX158" s="136"/>
      <c r="AY158" s="136"/>
      <c r="AZ158" s="136"/>
      <c r="BA158" s="136"/>
      <c r="BB158" s="136"/>
      <c r="BC158" s="136"/>
      <c r="BD158" s="136"/>
      <c r="BE158" s="136"/>
      <c r="BF158" s="136"/>
      <c r="BG158" s="136"/>
      <c r="BH158" s="136"/>
      <c r="BI158" s="136"/>
      <c r="BJ158" s="136"/>
      <c r="BK158" s="136"/>
      <c r="BL158" s="136"/>
      <c r="BM158" s="136"/>
      <c r="BN158" s="136"/>
      <c r="BO158" s="136"/>
      <c r="BP158" s="136"/>
      <c r="BQ158" s="136"/>
      <c r="BR158" s="136"/>
      <c r="BS158" s="136"/>
      <c r="BT158" s="136"/>
      <c r="BU158" s="136"/>
      <c r="BV158" s="136"/>
      <c r="BW158" s="136"/>
      <c r="BX158" s="136"/>
      <c r="BY158" s="136"/>
      <c r="BZ158" s="136"/>
      <c r="CA158" s="136"/>
      <c r="CB158" s="136"/>
      <c r="CC158" s="136"/>
      <c r="CD158" s="136"/>
      <c r="CE158" s="136"/>
      <c r="CF158" s="136"/>
      <c r="CG158" s="136"/>
      <c r="CH158" s="136"/>
      <c r="CI158" s="136"/>
      <c r="CJ158" s="136"/>
      <c r="CK158" s="136"/>
      <c r="CL158" s="136"/>
      <c r="CM158" s="136"/>
      <c r="CN158" s="136"/>
      <c r="CO158" s="136"/>
      <c r="CP158" s="136"/>
      <c r="CQ158" s="136"/>
      <c r="CR158" s="136"/>
      <c r="CS158" s="136"/>
      <c r="CT158" s="136"/>
      <c r="CU158" s="136"/>
      <c r="CV158" s="136"/>
      <c r="CW158" s="136"/>
      <c r="CX158" s="136"/>
      <c r="CY158" s="187">
        <v>30</v>
      </c>
      <c r="CZ158" s="123"/>
    </row>
    <row r="159" spans="11:104">
      <c r="K159" s="97">
        <v>27760</v>
      </c>
      <c r="L159" s="136"/>
      <c r="M159" s="136"/>
      <c r="N159" s="136"/>
      <c r="O159" s="136"/>
      <c r="P159" s="136"/>
      <c r="Q159" s="136"/>
      <c r="R159" s="136"/>
      <c r="S159" s="136"/>
      <c r="T159" s="136"/>
      <c r="U159" s="136"/>
      <c r="V159" s="136"/>
      <c r="W159" s="136"/>
      <c r="X159" s="136"/>
      <c r="Y159" s="136"/>
      <c r="Z159" s="136"/>
      <c r="AA159" s="136"/>
      <c r="AB159" s="136"/>
      <c r="AC159" s="136"/>
      <c r="AD159" s="136"/>
      <c r="AE159" s="136"/>
      <c r="AF159" s="136"/>
      <c r="AG159" s="136"/>
      <c r="AH159" s="136"/>
      <c r="AI159" s="136"/>
      <c r="AJ159" s="136"/>
      <c r="AK159" s="136"/>
      <c r="AL159" s="136"/>
      <c r="AM159" s="136"/>
      <c r="AN159" s="136"/>
      <c r="AO159" s="136"/>
      <c r="AP159" s="136"/>
      <c r="AQ159" s="136"/>
      <c r="AR159" s="136"/>
      <c r="AS159" s="136"/>
      <c r="AT159" s="136"/>
      <c r="AU159" s="136"/>
      <c r="AV159" s="136"/>
      <c r="AW159" s="136"/>
      <c r="AX159" s="136"/>
      <c r="AY159" s="136"/>
      <c r="AZ159" s="136"/>
      <c r="BA159" s="136"/>
      <c r="BB159" s="136"/>
      <c r="BC159" s="136"/>
      <c r="BD159" s="136"/>
      <c r="BE159" s="136"/>
      <c r="BF159" s="136"/>
      <c r="BG159" s="136"/>
      <c r="BH159" s="136"/>
      <c r="BI159" s="136"/>
      <c r="BJ159" s="136"/>
      <c r="BK159" s="136"/>
      <c r="BL159" s="136"/>
      <c r="BM159" s="136"/>
      <c r="BN159" s="136"/>
      <c r="BO159" s="136"/>
      <c r="BP159" s="136"/>
      <c r="BQ159" s="136"/>
      <c r="BR159" s="136"/>
      <c r="BS159" s="136"/>
      <c r="BT159" s="136"/>
      <c r="BU159" s="136"/>
      <c r="BV159" s="136"/>
      <c r="BW159" s="136"/>
      <c r="BX159" s="136"/>
      <c r="BY159" s="136"/>
      <c r="BZ159" s="136"/>
      <c r="CA159" s="136"/>
      <c r="CB159" s="136"/>
      <c r="CC159" s="136"/>
      <c r="CD159" s="136"/>
      <c r="CE159" s="136"/>
      <c r="CF159" s="136"/>
      <c r="CG159" s="136"/>
      <c r="CH159" s="136"/>
      <c r="CI159" s="136"/>
      <c r="CJ159" s="136"/>
      <c r="CK159" s="136"/>
      <c r="CL159" s="136"/>
      <c r="CM159" s="136"/>
      <c r="CN159" s="136"/>
      <c r="CO159" s="136"/>
      <c r="CP159" s="136"/>
      <c r="CQ159" s="136"/>
      <c r="CR159" s="136"/>
      <c r="CS159" s="136"/>
      <c r="CT159" s="136"/>
      <c r="CU159" s="136"/>
      <c r="CV159" s="136"/>
      <c r="CW159" s="136"/>
      <c r="CX159" s="136"/>
      <c r="CY159" s="187">
        <v>30</v>
      </c>
      <c r="CZ159" s="123"/>
    </row>
    <row r="160" spans="11:104">
      <c r="K160" s="97">
        <v>28126</v>
      </c>
      <c r="L160" s="136"/>
      <c r="M160" s="136"/>
      <c r="N160" s="136"/>
      <c r="O160" s="136"/>
      <c r="P160" s="136"/>
      <c r="Q160" s="136"/>
      <c r="R160" s="136"/>
      <c r="S160" s="136"/>
      <c r="T160" s="136"/>
      <c r="U160" s="136"/>
      <c r="V160" s="136"/>
      <c r="W160" s="136"/>
      <c r="X160" s="136"/>
      <c r="Y160" s="136"/>
      <c r="Z160" s="136"/>
      <c r="AA160" s="136"/>
      <c r="AB160" s="136"/>
      <c r="AC160" s="136"/>
      <c r="AD160" s="136"/>
      <c r="AE160" s="136"/>
      <c r="AF160" s="136"/>
      <c r="AG160" s="136"/>
      <c r="AH160" s="136"/>
      <c r="AI160" s="136"/>
      <c r="AJ160" s="136"/>
      <c r="AK160" s="136"/>
      <c r="AL160" s="136"/>
      <c r="AM160" s="136"/>
      <c r="AN160" s="136"/>
      <c r="AO160" s="136"/>
      <c r="AP160" s="136"/>
      <c r="AQ160" s="136"/>
      <c r="AR160" s="136"/>
      <c r="AS160" s="136"/>
      <c r="AT160" s="136"/>
      <c r="AU160" s="136"/>
      <c r="AV160" s="136"/>
      <c r="AW160" s="136"/>
      <c r="AX160" s="136"/>
      <c r="AY160" s="136"/>
      <c r="AZ160" s="136"/>
      <c r="BA160" s="136"/>
      <c r="BB160" s="136"/>
      <c r="BC160" s="136"/>
      <c r="BD160" s="136"/>
      <c r="BE160" s="136"/>
      <c r="BF160" s="136"/>
      <c r="BG160" s="136"/>
      <c r="BH160" s="136"/>
      <c r="BI160" s="136"/>
      <c r="BJ160" s="136"/>
      <c r="BK160" s="136"/>
      <c r="BL160" s="136"/>
      <c r="BM160" s="136"/>
      <c r="BN160" s="136"/>
      <c r="BO160" s="136"/>
      <c r="BP160" s="136"/>
      <c r="BQ160" s="136"/>
      <c r="BR160" s="136"/>
      <c r="BS160" s="136"/>
      <c r="BT160" s="136"/>
      <c r="BU160" s="136"/>
      <c r="BV160" s="136"/>
      <c r="BW160" s="136"/>
      <c r="BX160" s="136"/>
      <c r="BY160" s="136"/>
      <c r="BZ160" s="136"/>
      <c r="CA160" s="136"/>
      <c r="CB160" s="136"/>
      <c r="CC160" s="136"/>
      <c r="CD160" s="136"/>
      <c r="CE160" s="136"/>
      <c r="CF160" s="136"/>
      <c r="CG160" s="136"/>
      <c r="CH160" s="136"/>
      <c r="CI160" s="136"/>
      <c r="CJ160" s="136"/>
      <c r="CK160" s="136"/>
      <c r="CL160" s="136"/>
      <c r="CM160" s="136"/>
      <c r="CN160" s="136"/>
      <c r="CO160" s="136"/>
      <c r="CP160" s="136"/>
      <c r="CQ160" s="136"/>
      <c r="CR160" s="136"/>
      <c r="CS160" s="136"/>
      <c r="CT160" s="136"/>
      <c r="CU160" s="136"/>
      <c r="CV160" s="136"/>
      <c r="CW160" s="136"/>
      <c r="CX160" s="136"/>
      <c r="CY160" s="187">
        <v>35</v>
      </c>
      <c r="CZ160" s="123"/>
    </row>
    <row r="161" spans="11:124">
      <c r="K161" s="97">
        <v>28856</v>
      </c>
      <c r="L161" s="136"/>
      <c r="M161" s="136"/>
      <c r="N161" s="136"/>
      <c r="O161" s="136"/>
      <c r="P161" s="136"/>
      <c r="Q161" s="136"/>
      <c r="R161" s="136"/>
      <c r="S161" s="136"/>
      <c r="T161" s="136"/>
      <c r="U161" s="136"/>
      <c r="V161" s="136"/>
      <c r="W161" s="136"/>
      <c r="X161" s="136"/>
      <c r="Y161" s="136"/>
      <c r="Z161" s="136"/>
      <c r="AA161" s="136"/>
      <c r="AB161" s="136"/>
      <c r="AC161" s="136"/>
      <c r="AD161" s="136"/>
      <c r="AE161" s="136"/>
      <c r="AF161" s="136"/>
      <c r="AG161" s="136"/>
      <c r="AH161" s="136"/>
      <c r="AI161" s="136"/>
      <c r="AJ161" s="136"/>
      <c r="AK161" s="136"/>
      <c r="AL161" s="136"/>
      <c r="AM161" s="136"/>
      <c r="AN161" s="136"/>
      <c r="AO161" s="136"/>
      <c r="AP161" s="136"/>
      <c r="AQ161" s="136"/>
      <c r="AR161" s="136"/>
      <c r="AS161" s="136"/>
      <c r="AT161" s="136"/>
      <c r="AU161" s="136"/>
      <c r="AV161" s="136"/>
      <c r="AW161" s="136"/>
      <c r="AX161" s="136"/>
      <c r="AY161" s="136"/>
      <c r="AZ161" s="136"/>
      <c r="BA161" s="136"/>
      <c r="BB161" s="136"/>
      <c r="BC161" s="136"/>
      <c r="BD161" s="136"/>
      <c r="BE161" s="136"/>
      <c r="BF161" s="136"/>
      <c r="BG161" s="136"/>
      <c r="BH161" s="136"/>
      <c r="BI161" s="136"/>
      <c r="BJ161" s="136"/>
      <c r="BK161" s="136"/>
      <c r="BL161" s="136"/>
      <c r="BM161" s="136"/>
      <c r="BN161" s="136"/>
      <c r="BO161" s="136"/>
      <c r="BP161" s="136"/>
      <c r="BQ161" s="136"/>
      <c r="BR161" s="136"/>
      <c r="BS161" s="136"/>
      <c r="BT161" s="136"/>
      <c r="BU161" s="136"/>
      <c r="BV161" s="136"/>
      <c r="BW161" s="136"/>
      <c r="BX161" s="136"/>
      <c r="BY161" s="136"/>
      <c r="BZ161" s="136"/>
      <c r="CA161" s="136"/>
      <c r="CB161" s="136"/>
      <c r="CC161" s="136"/>
      <c r="CD161" s="136"/>
      <c r="CE161" s="136"/>
      <c r="CF161" s="136"/>
      <c r="CG161" s="136"/>
      <c r="CH161" s="136"/>
      <c r="CI161" s="136"/>
      <c r="CJ161" s="136"/>
      <c r="CK161" s="136"/>
      <c r="CL161" s="136"/>
      <c r="CM161" s="136"/>
      <c r="CN161" s="136"/>
      <c r="CO161" s="136"/>
      <c r="CP161" s="136"/>
      <c r="CQ161" s="136"/>
      <c r="CR161" s="136"/>
      <c r="CS161" s="136"/>
      <c r="CT161" s="136"/>
      <c r="CU161" s="136"/>
      <c r="CV161" s="136"/>
      <c r="CW161" s="136"/>
      <c r="CX161" s="136"/>
      <c r="CY161" s="187">
        <v>35</v>
      </c>
      <c r="CZ161" s="123"/>
      <c r="DT161" s="46"/>
    </row>
    <row r="162" spans="11:124">
      <c r="K162" s="97">
        <v>29312</v>
      </c>
      <c r="L162" s="136"/>
      <c r="M162" s="136"/>
      <c r="N162" s="136"/>
      <c r="O162" s="136"/>
      <c r="P162" s="136"/>
      <c r="Q162" s="136"/>
      <c r="R162" s="136"/>
      <c r="S162" s="136"/>
      <c r="T162" s="136"/>
      <c r="U162" s="136"/>
      <c r="V162" s="136"/>
      <c r="W162" s="136"/>
      <c r="X162" s="136"/>
      <c r="Y162" s="136"/>
      <c r="Z162" s="136"/>
      <c r="AA162" s="136"/>
      <c r="AB162" s="136"/>
      <c r="AC162" s="136"/>
      <c r="AD162" s="136"/>
      <c r="AE162" s="136"/>
      <c r="AF162" s="136"/>
      <c r="AG162" s="136"/>
      <c r="AH162" s="136"/>
      <c r="AI162" s="136"/>
      <c r="AJ162" s="136"/>
      <c r="AK162" s="136"/>
      <c r="AL162" s="136"/>
      <c r="AM162" s="136"/>
      <c r="AN162" s="136"/>
      <c r="AO162" s="136"/>
      <c r="AP162" s="136"/>
      <c r="AQ162" s="136"/>
      <c r="AR162" s="136"/>
      <c r="AS162" s="136"/>
      <c r="AT162" s="136"/>
      <c r="AU162" s="136"/>
      <c r="AV162" s="136"/>
      <c r="AW162" s="136"/>
      <c r="AX162" s="136"/>
      <c r="AY162" s="136"/>
      <c r="AZ162" s="136"/>
      <c r="BA162" s="136"/>
      <c r="BB162" s="136"/>
      <c r="BC162" s="136"/>
      <c r="BD162" s="136"/>
      <c r="BE162" s="136"/>
      <c r="BF162" s="136"/>
      <c r="BG162" s="136"/>
      <c r="BH162" s="136"/>
      <c r="BI162" s="136"/>
      <c r="BJ162" s="136"/>
      <c r="BK162" s="136"/>
      <c r="BL162" s="136"/>
      <c r="BM162" s="136"/>
      <c r="BN162" s="136"/>
      <c r="BO162" s="136"/>
      <c r="BP162" s="136"/>
      <c r="BQ162" s="136"/>
      <c r="BR162" s="136"/>
      <c r="BS162" s="136"/>
      <c r="BT162" s="136"/>
      <c r="BU162" s="136"/>
      <c r="BV162" s="136"/>
      <c r="BW162" s="136"/>
      <c r="BX162" s="136"/>
      <c r="BY162" s="136"/>
      <c r="BZ162" s="136"/>
      <c r="CA162" s="136"/>
      <c r="CB162" s="136"/>
      <c r="CC162" s="136"/>
      <c r="CD162" s="136"/>
      <c r="CE162" s="136"/>
      <c r="CF162" s="136"/>
      <c r="CG162" s="136"/>
      <c r="CH162" s="136"/>
      <c r="CI162" s="136"/>
      <c r="CJ162" s="136"/>
      <c r="CK162" s="136"/>
      <c r="CL162" s="136"/>
      <c r="CM162" s="136"/>
      <c r="CN162" s="136"/>
      <c r="CO162" s="136"/>
      <c r="CP162" s="136"/>
      <c r="CQ162" s="136"/>
      <c r="CR162" s="136"/>
      <c r="CS162" s="136"/>
      <c r="CT162" s="136"/>
      <c r="CU162" s="136"/>
      <c r="CV162" s="136"/>
      <c r="CW162" s="136"/>
      <c r="CX162" s="136"/>
      <c r="CY162" s="187">
        <v>35</v>
      </c>
      <c r="CZ162" s="123"/>
    </row>
    <row r="163" spans="11:124">
      <c r="K163" s="97">
        <v>29677</v>
      </c>
      <c r="L163" s="136"/>
      <c r="M163" s="136"/>
      <c r="N163" s="136"/>
      <c r="O163" s="136"/>
      <c r="P163" s="136"/>
      <c r="Q163" s="136"/>
      <c r="R163" s="136"/>
      <c r="S163" s="136"/>
      <c r="T163" s="136"/>
      <c r="U163" s="136"/>
      <c r="V163" s="136"/>
      <c r="W163" s="136"/>
      <c r="X163" s="136"/>
      <c r="Y163" s="136"/>
      <c r="Z163" s="136"/>
      <c r="AA163" s="136"/>
      <c r="AB163" s="136"/>
      <c r="AC163" s="136"/>
      <c r="AD163" s="136"/>
      <c r="AE163" s="136"/>
      <c r="AF163" s="136"/>
      <c r="AG163" s="136"/>
      <c r="AH163" s="136"/>
      <c r="AI163" s="136"/>
      <c r="AJ163" s="136"/>
      <c r="AK163" s="136"/>
      <c r="AL163" s="136"/>
      <c r="AM163" s="136"/>
      <c r="AN163" s="136"/>
      <c r="AO163" s="136"/>
      <c r="AP163" s="136"/>
      <c r="AQ163" s="136"/>
      <c r="AR163" s="136"/>
      <c r="AS163" s="136"/>
      <c r="AT163" s="136"/>
      <c r="AU163" s="136"/>
      <c r="AV163" s="136"/>
      <c r="AW163" s="136"/>
      <c r="AX163" s="136"/>
      <c r="AY163" s="136"/>
      <c r="AZ163" s="136"/>
      <c r="BA163" s="136"/>
      <c r="BB163" s="136"/>
      <c r="BC163" s="136"/>
      <c r="BD163" s="136"/>
      <c r="BE163" s="136"/>
      <c r="BF163" s="136"/>
      <c r="BG163" s="136"/>
      <c r="BH163" s="136"/>
      <c r="BI163" s="136"/>
      <c r="BJ163" s="136"/>
      <c r="BK163" s="136"/>
      <c r="BL163" s="136"/>
      <c r="BM163" s="136"/>
      <c r="BN163" s="136"/>
      <c r="BO163" s="136"/>
      <c r="BP163" s="136"/>
      <c r="BQ163" s="136"/>
      <c r="BR163" s="136"/>
      <c r="BS163" s="136"/>
      <c r="BT163" s="136"/>
      <c r="BU163" s="136"/>
      <c r="BV163" s="136"/>
      <c r="BW163" s="136"/>
      <c r="BX163" s="136"/>
      <c r="BY163" s="136"/>
      <c r="BZ163" s="136"/>
      <c r="CA163" s="136"/>
      <c r="CB163" s="136"/>
      <c r="CC163" s="136"/>
      <c r="CD163" s="136"/>
      <c r="CE163" s="136"/>
      <c r="CF163" s="136"/>
      <c r="CG163" s="136"/>
      <c r="CH163" s="136"/>
      <c r="CI163" s="136"/>
      <c r="CJ163" s="136"/>
      <c r="CK163" s="136"/>
      <c r="CL163" s="136"/>
      <c r="CM163" s="136"/>
      <c r="CN163" s="136"/>
      <c r="CO163" s="136"/>
      <c r="CP163" s="136"/>
      <c r="CQ163" s="136"/>
      <c r="CR163" s="136"/>
      <c r="CS163" s="136"/>
      <c r="CT163" s="136"/>
      <c r="CU163" s="136"/>
      <c r="CV163" s="136"/>
      <c r="CW163" s="136"/>
      <c r="CX163" s="136"/>
      <c r="CY163" s="187">
        <v>35</v>
      </c>
      <c r="CZ163" s="123"/>
    </row>
    <row r="164" spans="11:124">
      <c r="K164" s="97">
        <v>30042</v>
      </c>
      <c r="L164" s="136"/>
      <c r="M164" s="136"/>
      <c r="N164" s="136"/>
      <c r="O164" s="136"/>
      <c r="P164" s="136"/>
      <c r="Q164" s="136"/>
      <c r="R164" s="136"/>
      <c r="S164" s="136"/>
      <c r="T164" s="136"/>
      <c r="U164" s="136"/>
      <c r="V164" s="136"/>
      <c r="W164" s="136"/>
      <c r="X164" s="136"/>
      <c r="Y164" s="136"/>
      <c r="Z164" s="136"/>
      <c r="AA164" s="136"/>
      <c r="AB164" s="136"/>
      <c r="AC164" s="136"/>
      <c r="AD164" s="136"/>
      <c r="AE164" s="136"/>
      <c r="AF164" s="136"/>
      <c r="AG164" s="136"/>
      <c r="AH164" s="136"/>
      <c r="AI164" s="136"/>
      <c r="AJ164" s="136"/>
      <c r="AK164" s="136"/>
      <c r="AL164" s="136"/>
      <c r="AM164" s="136"/>
      <c r="AN164" s="136"/>
      <c r="AO164" s="136"/>
      <c r="AP164" s="136"/>
      <c r="AQ164" s="136"/>
      <c r="AR164" s="136"/>
      <c r="AS164" s="136"/>
      <c r="AT164" s="136"/>
      <c r="AU164" s="136"/>
      <c r="AV164" s="136"/>
      <c r="AW164" s="136"/>
      <c r="AX164" s="136"/>
      <c r="AY164" s="136"/>
      <c r="AZ164" s="136"/>
      <c r="BA164" s="136"/>
      <c r="BB164" s="136"/>
      <c r="BC164" s="136"/>
      <c r="BD164" s="136"/>
      <c r="BE164" s="136"/>
      <c r="BF164" s="136"/>
      <c r="BG164" s="136"/>
      <c r="BH164" s="136"/>
      <c r="BI164" s="136"/>
      <c r="BJ164" s="136"/>
      <c r="BK164" s="136"/>
      <c r="BL164" s="136"/>
      <c r="BM164" s="136"/>
      <c r="BN164" s="136"/>
      <c r="BO164" s="136"/>
      <c r="BP164" s="136"/>
      <c r="BQ164" s="136"/>
      <c r="BR164" s="136"/>
      <c r="BS164" s="136"/>
      <c r="BT164" s="136"/>
      <c r="BU164" s="136"/>
      <c r="BV164" s="136"/>
      <c r="BW164" s="136"/>
      <c r="BX164" s="136"/>
      <c r="BY164" s="136"/>
      <c r="BZ164" s="136"/>
      <c r="CA164" s="136"/>
      <c r="CB164" s="136"/>
      <c r="CC164" s="136"/>
      <c r="CD164" s="136"/>
      <c r="CE164" s="136"/>
      <c r="CF164" s="136"/>
      <c r="CG164" s="136"/>
      <c r="CH164" s="136"/>
      <c r="CI164" s="136"/>
      <c r="CJ164" s="136"/>
      <c r="CK164" s="136"/>
      <c r="CL164" s="136"/>
      <c r="CM164" s="136"/>
      <c r="CN164" s="136"/>
      <c r="CO164" s="136"/>
      <c r="CP164" s="136"/>
      <c r="CQ164" s="136"/>
      <c r="CR164" s="136"/>
      <c r="CS164" s="136"/>
      <c r="CT164" s="136"/>
      <c r="CU164" s="136"/>
      <c r="CV164" s="136"/>
      <c r="CW164" s="136"/>
      <c r="CX164" s="136"/>
      <c r="CY164" s="187">
        <v>35</v>
      </c>
      <c r="CZ164" s="123"/>
    </row>
    <row r="165" spans="11:124">
      <c r="K165" s="97">
        <v>30773</v>
      </c>
      <c r="L165" s="136"/>
      <c r="M165" s="136"/>
      <c r="N165" s="136"/>
      <c r="O165" s="136"/>
      <c r="P165" s="136"/>
      <c r="Q165" s="136"/>
      <c r="R165" s="136"/>
      <c r="S165" s="136"/>
      <c r="T165" s="136"/>
      <c r="U165" s="136"/>
      <c r="V165" s="136"/>
      <c r="W165" s="136"/>
      <c r="X165" s="136"/>
      <c r="Y165" s="136"/>
      <c r="Z165" s="136"/>
      <c r="AA165" s="136"/>
      <c r="AB165" s="136"/>
      <c r="AC165" s="136"/>
      <c r="AD165" s="136"/>
      <c r="AE165" s="136"/>
      <c r="AF165" s="136"/>
      <c r="AG165" s="136"/>
      <c r="AH165" s="136"/>
      <c r="AI165" s="136"/>
      <c r="AJ165" s="136"/>
      <c r="AK165" s="136"/>
      <c r="AL165" s="136"/>
      <c r="AM165" s="136"/>
      <c r="AN165" s="136"/>
      <c r="AO165" s="136"/>
      <c r="AP165" s="136"/>
      <c r="AQ165" s="136"/>
      <c r="AR165" s="136"/>
      <c r="AS165" s="136"/>
      <c r="AT165" s="136"/>
      <c r="AU165" s="136"/>
      <c r="AV165" s="136"/>
      <c r="AW165" s="136"/>
      <c r="AX165" s="136"/>
      <c r="AY165" s="136"/>
      <c r="AZ165" s="136"/>
      <c r="BA165" s="136"/>
      <c r="BB165" s="136"/>
      <c r="BC165" s="136"/>
      <c r="BD165" s="136"/>
      <c r="BE165" s="136"/>
      <c r="BF165" s="136"/>
      <c r="BG165" s="136"/>
      <c r="BH165" s="136"/>
      <c r="BI165" s="136"/>
      <c r="BJ165" s="136"/>
      <c r="BK165" s="136"/>
      <c r="BL165" s="136"/>
      <c r="BM165" s="136"/>
      <c r="BN165" s="136"/>
      <c r="BO165" s="136"/>
      <c r="BP165" s="136"/>
      <c r="BQ165" s="136"/>
      <c r="BR165" s="136"/>
      <c r="BS165" s="136"/>
      <c r="BT165" s="136"/>
      <c r="BU165" s="136"/>
      <c r="BV165" s="136"/>
      <c r="BW165" s="136"/>
      <c r="BX165" s="136"/>
      <c r="BY165" s="136"/>
      <c r="BZ165" s="136"/>
      <c r="CA165" s="136"/>
      <c r="CB165" s="136"/>
      <c r="CC165" s="136"/>
      <c r="CD165" s="136"/>
      <c r="CE165" s="136"/>
      <c r="CF165" s="136"/>
      <c r="CG165" s="136"/>
      <c r="CH165" s="136"/>
      <c r="CI165" s="136"/>
      <c r="CJ165" s="136"/>
      <c r="CK165" s="136"/>
      <c r="CL165" s="136"/>
      <c r="CM165" s="136"/>
      <c r="CN165" s="136"/>
      <c r="CO165" s="136"/>
      <c r="CP165" s="136"/>
      <c r="CQ165" s="136"/>
      <c r="CR165" s="136"/>
      <c r="CS165" s="136"/>
      <c r="CT165" s="136"/>
      <c r="CU165" s="136"/>
      <c r="CV165" s="136"/>
      <c r="CW165" s="136"/>
      <c r="CX165" s="136"/>
      <c r="CY165" s="187">
        <v>35</v>
      </c>
      <c r="CZ165" s="123"/>
    </row>
    <row r="166" spans="11:124">
      <c r="K166" s="97">
        <v>31138</v>
      </c>
      <c r="L166" s="136"/>
      <c r="M166" s="136"/>
      <c r="N166" s="136"/>
      <c r="O166" s="136"/>
      <c r="P166" s="136"/>
      <c r="Q166" s="136"/>
      <c r="R166" s="136"/>
      <c r="S166" s="136"/>
      <c r="T166" s="136"/>
      <c r="U166" s="136"/>
      <c r="V166" s="136"/>
      <c r="W166" s="136"/>
      <c r="X166" s="136"/>
      <c r="Y166" s="136"/>
      <c r="Z166" s="136"/>
      <c r="AA166" s="136"/>
      <c r="AB166" s="136"/>
      <c r="AC166" s="136"/>
      <c r="AD166" s="136"/>
      <c r="AE166" s="136"/>
      <c r="AF166" s="136"/>
      <c r="AG166" s="136"/>
      <c r="AH166" s="136"/>
      <c r="AI166" s="136"/>
      <c r="AJ166" s="136"/>
      <c r="AK166" s="136"/>
      <c r="AL166" s="136"/>
      <c r="AM166" s="136"/>
      <c r="AN166" s="136"/>
      <c r="AO166" s="136"/>
      <c r="AP166" s="136"/>
      <c r="AQ166" s="136"/>
      <c r="AR166" s="136"/>
      <c r="AS166" s="136"/>
      <c r="AT166" s="136"/>
      <c r="AU166" s="136"/>
      <c r="AV166" s="136"/>
      <c r="AW166" s="136"/>
      <c r="AX166" s="136"/>
      <c r="AY166" s="136"/>
      <c r="AZ166" s="136"/>
      <c r="BA166" s="136"/>
      <c r="BB166" s="136"/>
      <c r="BC166" s="136"/>
      <c r="BD166" s="136"/>
      <c r="BE166" s="136"/>
      <c r="BF166" s="136"/>
      <c r="BG166" s="136"/>
      <c r="BH166" s="136"/>
      <c r="BI166" s="136"/>
      <c r="BJ166" s="136"/>
      <c r="BK166" s="136"/>
      <c r="BL166" s="136"/>
      <c r="BM166" s="136"/>
      <c r="BN166" s="136"/>
      <c r="BO166" s="136"/>
      <c r="BP166" s="136"/>
      <c r="BQ166" s="136"/>
      <c r="BR166" s="136"/>
      <c r="BS166" s="136"/>
      <c r="BT166" s="136"/>
      <c r="BU166" s="136"/>
      <c r="BV166" s="136"/>
      <c r="BW166" s="136"/>
      <c r="BX166" s="136"/>
      <c r="BY166" s="136"/>
      <c r="BZ166" s="136"/>
      <c r="CA166" s="136"/>
      <c r="CB166" s="136"/>
      <c r="CC166" s="136"/>
      <c r="CD166" s="136"/>
      <c r="CE166" s="136"/>
      <c r="CF166" s="136"/>
      <c r="CG166" s="136"/>
      <c r="CH166" s="136"/>
      <c r="CI166" s="136"/>
      <c r="CJ166" s="136"/>
      <c r="CK166" s="136"/>
      <c r="CL166" s="136"/>
      <c r="CM166" s="136"/>
      <c r="CN166" s="136"/>
      <c r="CO166" s="136"/>
      <c r="CP166" s="136"/>
      <c r="CQ166" s="136"/>
      <c r="CR166" s="136"/>
      <c r="CS166" s="136"/>
      <c r="CT166" s="136"/>
      <c r="CU166" s="136"/>
      <c r="CV166" s="136"/>
      <c r="CW166" s="136"/>
      <c r="CX166" s="136"/>
      <c r="CY166" s="187">
        <v>35</v>
      </c>
      <c r="CZ166" s="129"/>
    </row>
    <row r="167" spans="11:124">
      <c r="K167" s="97">
        <v>31868</v>
      </c>
      <c r="L167" s="136"/>
      <c r="M167" s="136"/>
      <c r="N167" s="136"/>
      <c r="O167" s="136"/>
      <c r="P167" s="136"/>
      <c r="Q167" s="136"/>
      <c r="R167" s="136"/>
      <c r="S167" s="136"/>
      <c r="T167" s="136"/>
      <c r="U167" s="136"/>
      <c r="V167" s="136"/>
      <c r="W167" s="136"/>
      <c r="X167" s="136"/>
      <c r="Y167" s="136"/>
      <c r="Z167" s="136"/>
      <c r="AA167" s="136"/>
      <c r="AB167" s="136"/>
      <c r="AC167" s="136"/>
      <c r="AD167" s="136"/>
      <c r="AE167" s="136"/>
      <c r="AF167" s="136"/>
      <c r="AG167" s="136"/>
      <c r="AH167" s="136"/>
      <c r="AI167" s="136"/>
      <c r="AJ167" s="136"/>
      <c r="AK167" s="136"/>
      <c r="AL167" s="136"/>
      <c r="AM167" s="136"/>
      <c r="AN167" s="136"/>
      <c r="AO167" s="136"/>
      <c r="AP167" s="136"/>
      <c r="AQ167" s="136"/>
      <c r="AR167" s="136"/>
      <c r="AS167" s="136"/>
      <c r="AT167" s="136"/>
      <c r="AU167" s="136"/>
      <c r="AV167" s="136"/>
      <c r="AW167" s="136"/>
      <c r="AX167" s="136"/>
      <c r="AY167" s="136"/>
      <c r="AZ167" s="136"/>
      <c r="BA167" s="136"/>
      <c r="BB167" s="136"/>
      <c r="BC167" s="136"/>
      <c r="BD167" s="136"/>
      <c r="BE167" s="136"/>
      <c r="BF167" s="136"/>
      <c r="BG167" s="136"/>
      <c r="BH167" s="136"/>
      <c r="BI167" s="136"/>
      <c r="BJ167" s="136"/>
      <c r="BK167" s="136"/>
      <c r="BL167" s="136"/>
      <c r="BM167" s="136"/>
      <c r="BN167" s="136"/>
      <c r="BO167" s="136"/>
      <c r="BP167" s="136"/>
      <c r="BQ167" s="136"/>
      <c r="BR167" s="136"/>
      <c r="BS167" s="136"/>
      <c r="BT167" s="136"/>
      <c r="BU167" s="136"/>
      <c r="BV167" s="136"/>
      <c r="BW167" s="136"/>
      <c r="BX167" s="136"/>
      <c r="BY167" s="136"/>
      <c r="BZ167" s="136"/>
      <c r="CA167" s="136"/>
      <c r="CB167" s="136"/>
      <c r="CC167" s="136"/>
      <c r="CD167" s="136"/>
      <c r="CE167" s="136"/>
      <c r="CF167" s="136"/>
      <c r="CG167" s="136"/>
      <c r="CH167" s="136"/>
      <c r="CI167" s="136"/>
      <c r="CJ167" s="136"/>
      <c r="CK167" s="136"/>
      <c r="CL167" s="136"/>
      <c r="CM167" s="136"/>
      <c r="CN167" s="136"/>
      <c r="CO167" s="136"/>
      <c r="CP167" s="136"/>
      <c r="CQ167" s="136"/>
      <c r="CR167" s="136"/>
      <c r="CS167" s="136"/>
      <c r="CT167" s="136"/>
      <c r="CU167" s="136"/>
      <c r="CV167" s="136"/>
      <c r="CW167" s="136"/>
      <c r="CX167" s="136"/>
      <c r="CY167" s="187">
        <v>35</v>
      </c>
      <c r="CZ167" s="129" t="s">
        <v>86</v>
      </c>
    </row>
    <row r="168" spans="11:124">
      <c r="K168" s="97">
        <v>32964</v>
      </c>
      <c r="L168" s="136"/>
      <c r="M168" s="136"/>
      <c r="N168" s="136"/>
      <c r="O168" s="136"/>
      <c r="P168" s="136"/>
      <c r="Q168" s="136"/>
      <c r="R168" s="136"/>
      <c r="S168" s="136"/>
      <c r="T168" s="136"/>
      <c r="U168" s="136"/>
      <c r="V168" s="136"/>
      <c r="W168" s="136"/>
      <c r="X168" s="136"/>
      <c r="Y168" s="136"/>
      <c r="Z168" s="136"/>
      <c r="AA168" s="136"/>
      <c r="AB168" s="136"/>
      <c r="AC168" s="136"/>
      <c r="AD168" s="136"/>
      <c r="AE168" s="136"/>
      <c r="AF168" s="136"/>
      <c r="AG168" s="136"/>
      <c r="AH168" s="136"/>
      <c r="AI168" s="136"/>
      <c r="AJ168" s="136"/>
      <c r="AK168" s="136"/>
      <c r="AL168" s="136"/>
      <c r="AM168" s="136"/>
      <c r="AN168" s="136"/>
      <c r="AO168" s="136"/>
      <c r="AP168" s="136"/>
      <c r="AQ168" s="136"/>
      <c r="AR168" s="136"/>
      <c r="AS168" s="136"/>
      <c r="AT168" s="136"/>
      <c r="AU168" s="136"/>
      <c r="AV168" s="136"/>
      <c r="AW168" s="136"/>
      <c r="AX168" s="136"/>
      <c r="AY168" s="136"/>
      <c r="AZ168" s="136"/>
      <c r="BA168" s="136"/>
      <c r="BB168" s="136"/>
      <c r="BC168" s="136"/>
      <c r="BD168" s="136"/>
      <c r="BE168" s="136"/>
      <c r="BF168" s="136"/>
      <c r="BG168" s="136"/>
      <c r="BH168" s="136"/>
      <c r="BI168" s="136"/>
      <c r="BJ168" s="136"/>
      <c r="BK168" s="136"/>
      <c r="BL168" s="136"/>
      <c r="BM168" s="136"/>
      <c r="BN168" s="136"/>
      <c r="BO168" s="136"/>
      <c r="BP168" s="136"/>
      <c r="BQ168" s="136"/>
      <c r="BR168" s="136"/>
      <c r="BS168" s="136"/>
      <c r="BT168" s="136"/>
      <c r="BU168" s="136"/>
      <c r="BV168" s="136"/>
      <c r="BW168" s="136"/>
      <c r="BX168" s="136"/>
      <c r="BY168" s="136"/>
      <c r="BZ168" s="136"/>
      <c r="CA168" s="136"/>
      <c r="CB168" s="136"/>
      <c r="CC168" s="136"/>
      <c r="CD168" s="136"/>
      <c r="CE168" s="136"/>
      <c r="CF168" s="136"/>
      <c r="CG168" s="136"/>
      <c r="CH168" s="136"/>
      <c r="CI168" s="136"/>
      <c r="CJ168" s="136"/>
      <c r="CK168" s="136"/>
      <c r="CL168" s="136"/>
      <c r="CM168" s="136"/>
      <c r="CN168" s="136"/>
      <c r="CO168" s="136"/>
      <c r="CP168" s="136"/>
      <c r="CQ168" s="136"/>
      <c r="CR168" s="136"/>
      <c r="CS168" s="136"/>
      <c r="CT168" s="136"/>
      <c r="CU168" s="136"/>
      <c r="CV168" s="136"/>
      <c r="CW168" s="136"/>
      <c r="CX168" s="136"/>
      <c r="CY168" s="187">
        <v>40</v>
      </c>
      <c r="CZ168" s="123"/>
    </row>
    <row r="169" spans="11:124">
      <c r="K169" s="97">
        <v>33329</v>
      </c>
      <c r="L169" s="136"/>
      <c r="M169" s="136"/>
      <c r="N169" s="136"/>
      <c r="O169" s="136"/>
      <c r="P169" s="136"/>
      <c r="Q169" s="136"/>
      <c r="R169" s="136"/>
      <c r="S169" s="136"/>
      <c r="T169" s="136"/>
      <c r="U169" s="136"/>
      <c r="V169" s="136"/>
      <c r="W169" s="136"/>
      <c r="X169" s="136"/>
      <c r="Y169" s="136"/>
      <c r="Z169" s="136"/>
      <c r="AA169" s="136"/>
      <c r="AB169" s="136"/>
      <c r="AC169" s="136"/>
      <c r="AD169" s="136"/>
      <c r="AE169" s="136"/>
      <c r="AF169" s="136"/>
      <c r="AG169" s="136"/>
      <c r="AH169" s="136"/>
      <c r="AI169" s="136"/>
      <c r="AJ169" s="136"/>
      <c r="AK169" s="136"/>
      <c r="AL169" s="136"/>
      <c r="AM169" s="136"/>
      <c r="AN169" s="136"/>
      <c r="AO169" s="136"/>
      <c r="AP169" s="136"/>
      <c r="AQ169" s="136"/>
      <c r="AR169" s="136"/>
      <c r="AS169" s="136"/>
      <c r="AT169" s="136"/>
      <c r="AU169" s="136"/>
      <c r="AV169" s="136"/>
      <c r="AW169" s="136"/>
      <c r="AX169" s="136"/>
      <c r="AY169" s="136"/>
      <c r="AZ169" s="136"/>
      <c r="BA169" s="136"/>
      <c r="BB169" s="136"/>
      <c r="BC169" s="136"/>
      <c r="BD169" s="136"/>
      <c r="BE169" s="136"/>
      <c r="BF169" s="136"/>
      <c r="BG169" s="136"/>
      <c r="BH169" s="136"/>
      <c r="BI169" s="136"/>
      <c r="BJ169" s="136"/>
      <c r="BK169" s="136"/>
      <c r="BL169" s="136"/>
      <c r="BM169" s="136"/>
      <c r="BN169" s="136"/>
      <c r="BO169" s="136"/>
      <c r="BP169" s="136"/>
      <c r="BQ169" s="136"/>
      <c r="BR169" s="136"/>
      <c r="BS169" s="136"/>
      <c r="BT169" s="136"/>
      <c r="BU169" s="136"/>
      <c r="BV169" s="136"/>
      <c r="BW169" s="136"/>
      <c r="BX169" s="136"/>
      <c r="BY169" s="136"/>
      <c r="BZ169" s="136"/>
      <c r="CA169" s="136"/>
      <c r="CB169" s="136"/>
      <c r="CC169" s="136"/>
      <c r="CD169" s="136"/>
      <c r="CE169" s="136"/>
      <c r="CF169" s="136"/>
      <c r="CG169" s="136"/>
      <c r="CH169" s="136"/>
      <c r="CI169" s="136"/>
      <c r="CJ169" s="136"/>
      <c r="CK169" s="136"/>
      <c r="CL169" s="136"/>
      <c r="CM169" s="136"/>
      <c r="CN169" s="136"/>
      <c r="CO169" s="136"/>
      <c r="CP169" s="136"/>
      <c r="CQ169" s="136"/>
      <c r="CR169" s="136"/>
      <c r="CS169" s="136"/>
      <c r="CT169" s="136"/>
      <c r="CU169" s="136"/>
      <c r="CV169" s="136"/>
      <c r="CW169" s="136"/>
      <c r="CX169" s="136"/>
      <c r="CY169" s="187">
        <v>40</v>
      </c>
      <c r="CZ169" s="123"/>
    </row>
    <row r="170" spans="11:124">
      <c r="K170" s="97">
        <v>33695</v>
      </c>
      <c r="L170" s="136"/>
      <c r="M170" s="136"/>
      <c r="N170" s="136"/>
      <c r="O170" s="136"/>
      <c r="P170" s="136"/>
      <c r="Q170" s="136"/>
      <c r="R170" s="136"/>
      <c r="S170" s="136"/>
      <c r="T170" s="136"/>
      <c r="U170" s="136"/>
      <c r="V170" s="136"/>
      <c r="W170" s="136"/>
      <c r="X170" s="136"/>
      <c r="Y170" s="136"/>
      <c r="Z170" s="136"/>
      <c r="AA170" s="136"/>
      <c r="AB170" s="136"/>
      <c r="AC170" s="136"/>
      <c r="AD170" s="136"/>
      <c r="AE170" s="136"/>
      <c r="AF170" s="136"/>
      <c r="AG170" s="136"/>
      <c r="AH170" s="136"/>
      <c r="AI170" s="136"/>
      <c r="AJ170" s="136"/>
      <c r="AK170" s="136"/>
      <c r="AL170" s="136"/>
      <c r="AM170" s="136"/>
      <c r="AN170" s="136"/>
      <c r="AO170" s="136"/>
      <c r="AP170" s="136"/>
      <c r="AQ170" s="136"/>
      <c r="AR170" s="136"/>
      <c r="AS170" s="136"/>
      <c r="AT170" s="136"/>
      <c r="AU170" s="136"/>
      <c r="AV170" s="136"/>
      <c r="AW170" s="136"/>
      <c r="AX170" s="136"/>
      <c r="AY170" s="136"/>
      <c r="AZ170" s="136"/>
      <c r="BA170" s="136"/>
      <c r="BB170" s="136"/>
      <c r="BC170" s="136"/>
      <c r="BD170" s="136"/>
      <c r="BE170" s="136"/>
      <c r="BF170" s="136"/>
      <c r="BG170" s="136"/>
      <c r="BH170" s="136"/>
      <c r="BI170" s="136"/>
      <c r="BJ170" s="136"/>
      <c r="BK170" s="136"/>
      <c r="BL170" s="136"/>
      <c r="BM170" s="136"/>
      <c r="BN170" s="136"/>
      <c r="BO170" s="136"/>
      <c r="BP170" s="136"/>
      <c r="BQ170" s="136"/>
      <c r="BR170" s="136"/>
      <c r="BS170" s="136"/>
      <c r="BT170" s="136"/>
      <c r="BU170" s="136"/>
      <c r="BV170" s="136"/>
      <c r="BW170" s="136"/>
      <c r="BX170" s="136"/>
      <c r="BY170" s="136"/>
      <c r="BZ170" s="136"/>
      <c r="CA170" s="136"/>
      <c r="CB170" s="136"/>
      <c r="CC170" s="136"/>
      <c r="CD170" s="136"/>
      <c r="CE170" s="136"/>
      <c r="CF170" s="136"/>
      <c r="CG170" s="136"/>
      <c r="CH170" s="136"/>
      <c r="CI170" s="136"/>
      <c r="CJ170" s="136"/>
      <c r="CK170" s="136"/>
      <c r="CL170" s="136"/>
      <c r="CM170" s="136"/>
      <c r="CN170" s="136"/>
      <c r="CO170" s="136"/>
      <c r="CP170" s="136"/>
      <c r="CQ170" s="136"/>
      <c r="CR170" s="136"/>
      <c r="CS170" s="136"/>
      <c r="CT170" s="136"/>
      <c r="CU170" s="136"/>
      <c r="CV170" s="136"/>
      <c r="CW170" s="136"/>
      <c r="CX170" s="136"/>
      <c r="CY170" s="187">
        <v>40</v>
      </c>
      <c r="CZ170" s="123"/>
    </row>
    <row r="171" spans="11:124">
      <c r="K171" s="97">
        <v>34060</v>
      </c>
      <c r="L171" s="136"/>
      <c r="M171" s="136"/>
      <c r="N171" s="136"/>
      <c r="O171" s="136"/>
      <c r="P171" s="136"/>
      <c r="Q171" s="136"/>
      <c r="R171" s="136"/>
      <c r="S171" s="136"/>
      <c r="T171" s="136"/>
      <c r="U171" s="136"/>
      <c r="V171" s="136"/>
      <c r="W171" s="136"/>
      <c r="X171" s="136"/>
      <c r="Y171" s="136"/>
      <c r="Z171" s="136"/>
      <c r="AA171" s="136"/>
      <c r="AB171" s="136"/>
      <c r="AC171" s="136"/>
      <c r="AD171" s="136"/>
      <c r="AE171" s="136"/>
      <c r="AF171" s="136"/>
      <c r="AG171" s="136"/>
      <c r="AH171" s="136"/>
      <c r="AI171" s="136"/>
      <c r="AJ171" s="136"/>
      <c r="AK171" s="136"/>
      <c r="AL171" s="136"/>
      <c r="AM171" s="136"/>
      <c r="AN171" s="136"/>
      <c r="AO171" s="136"/>
      <c r="AP171" s="136"/>
      <c r="AQ171" s="136"/>
      <c r="AR171" s="136"/>
      <c r="AS171" s="136"/>
      <c r="AT171" s="136"/>
      <c r="AU171" s="136"/>
      <c r="AV171" s="136"/>
      <c r="AW171" s="136"/>
      <c r="AX171" s="136"/>
      <c r="AY171" s="136"/>
      <c r="AZ171" s="136"/>
      <c r="BA171" s="136"/>
      <c r="BB171" s="136"/>
      <c r="BC171" s="136"/>
      <c r="BD171" s="136"/>
      <c r="BE171" s="136"/>
      <c r="BF171" s="136"/>
      <c r="BG171" s="136"/>
      <c r="BH171" s="136"/>
      <c r="BI171" s="136"/>
      <c r="BJ171" s="136"/>
      <c r="BK171" s="136"/>
      <c r="BL171" s="136"/>
      <c r="BM171" s="136"/>
      <c r="BN171" s="136"/>
      <c r="BO171" s="136"/>
      <c r="BP171" s="136"/>
      <c r="BQ171" s="136"/>
      <c r="BR171" s="136"/>
      <c r="BS171" s="136"/>
      <c r="BT171" s="136"/>
      <c r="BU171" s="136"/>
      <c r="BV171" s="136"/>
      <c r="BW171" s="136"/>
      <c r="BX171" s="136"/>
      <c r="BY171" s="136"/>
      <c r="BZ171" s="136"/>
      <c r="CA171" s="136"/>
      <c r="CB171" s="136"/>
      <c r="CC171" s="136"/>
      <c r="CD171" s="136"/>
      <c r="CE171" s="136"/>
      <c r="CF171" s="136"/>
      <c r="CG171" s="136"/>
      <c r="CH171" s="136"/>
      <c r="CI171" s="136"/>
      <c r="CJ171" s="136"/>
      <c r="CK171" s="136"/>
      <c r="CL171" s="136"/>
      <c r="CM171" s="136"/>
      <c r="CN171" s="136"/>
      <c r="CO171" s="136"/>
      <c r="CP171" s="136"/>
      <c r="CQ171" s="136"/>
      <c r="CR171" s="136"/>
      <c r="CS171" s="136"/>
      <c r="CT171" s="136"/>
      <c r="CU171" s="136"/>
      <c r="CV171" s="136"/>
      <c r="CW171" s="136"/>
      <c r="CX171" s="136"/>
      <c r="CY171" s="187">
        <v>40</v>
      </c>
      <c r="CZ171" s="123"/>
    </row>
    <row r="172" spans="11:124">
      <c r="K172" s="97">
        <v>34425</v>
      </c>
      <c r="L172" s="136"/>
      <c r="M172" s="136"/>
      <c r="N172" s="136"/>
      <c r="O172" s="136"/>
      <c r="P172" s="136"/>
      <c r="Q172" s="136"/>
      <c r="R172" s="136"/>
      <c r="S172" s="136"/>
      <c r="T172" s="136"/>
      <c r="U172" s="136"/>
      <c r="V172" s="136"/>
      <c r="W172" s="136"/>
      <c r="X172" s="136"/>
      <c r="Y172" s="136"/>
      <c r="Z172" s="136"/>
      <c r="AA172" s="136"/>
      <c r="AB172" s="136"/>
      <c r="AC172" s="136"/>
      <c r="AD172" s="136"/>
      <c r="AE172" s="136"/>
      <c r="AF172" s="136"/>
      <c r="AG172" s="136"/>
      <c r="AH172" s="136"/>
      <c r="AI172" s="136"/>
      <c r="AJ172" s="136"/>
      <c r="AK172" s="136"/>
      <c r="AL172" s="136"/>
      <c r="AM172" s="136"/>
      <c r="AN172" s="136"/>
      <c r="AO172" s="136"/>
      <c r="AP172" s="136"/>
      <c r="AQ172" s="136"/>
      <c r="AR172" s="136"/>
      <c r="AS172" s="136"/>
      <c r="AT172" s="136"/>
      <c r="AU172" s="136"/>
      <c r="AV172" s="136"/>
      <c r="AW172" s="136"/>
      <c r="AX172" s="136"/>
      <c r="AY172" s="136"/>
      <c r="AZ172" s="136"/>
      <c r="BA172" s="136"/>
      <c r="BB172" s="136"/>
      <c r="BC172" s="136"/>
      <c r="BD172" s="136"/>
      <c r="BE172" s="136"/>
      <c r="BF172" s="136"/>
      <c r="BG172" s="136"/>
      <c r="BH172" s="136"/>
      <c r="BI172" s="136"/>
      <c r="BJ172" s="136"/>
      <c r="BK172" s="136"/>
      <c r="BL172" s="136"/>
      <c r="BM172" s="136"/>
      <c r="BN172" s="136"/>
      <c r="BO172" s="136"/>
      <c r="BP172" s="136"/>
      <c r="BQ172" s="136"/>
      <c r="BR172" s="136"/>
      <c r="BS172" s="136"/>
      <c r="BT172" s="136"/>
      <c r="BU172" s="136"/>
      <c r="BV172" s="136"/>
      <c r="BW172" s="136"/>
      <c r="BX172" s="136"/>
      <c r="BY172" s="136"/>
      <c r="BZ172" s="136"/>
      <c r="CA172" s="136"/>
      <c r="CB172" s="136"/>
      <c r="CC172" s="136"/>
      <c r="CD172" s="136"/>
      <c r="CE172" s="136"/>
      <c r="CF172" s="136"/>
      <c r="CG172" s="136"/>
      <c r="CH172" s="136"/>
      <c r="CI172" s="136"/>
      <c r="CJ172" s="136"/>
      <c r="CK172" s="136"/>
      <c r="CL172" s="136"/>
      <c r="CM172" s="136"/>
      <c r="CN172" s="136"/>
      <c r="CO172" s="136"/>
      <c r="CP172" s="136"/>
      <c r="CQ172" s="136"/>
      <c r="CR172" s="136"/>
      <c r="CS172" s="136"/>
      <c r="CT172" s="136"/>
      <c r="CU172" s="136"/>
      <c r="CV172" s="136"/>
      <c r="CW172" s="136"/>
      <c r="CX172" s="136"/>
      <c r="CY172" s="187">
        <v>40</v>
      </c>
      <c r="CZ172" s="123"/>
    </row>
    <row r="173" spans="11:124">
      <c r="K173" s="97">
        <v>35156</v>
      </c>
      <c r="L173" s="136"/>
      <c r="M173" s="136"/>
      <c r="N173" s="136"/>
      <c r="O173" s="136"/>
      <c r="P173" s="136"/>
      <c r="Q173" s="136"/>
      <c r="R173" s="136"/>
      <c r="S173" s="136"/>
      <c r="T173" s="136"/>
      <c r="U173" s="136"/>
      <c r="V173" s="136"/>
      <c r="W173" s="136"/>
      <c r="X173" s="136"/>
      <c r="Y173" s="136"/>
      <c r="Z173" s="136"/>
      <c r="AA173" s="136"/>
      <c r="AB173" s="136"/>
      <c r="AC173" s="136"/>
      <c r="AD173" s="136"/>
      <c r="AE173" s="136"/>
      <c r="AF173" s="136"/>
      <c r="AG173" s="136"/>
      <c r="AH173" s="136"/>
      <c r="AI173" s="136"/>
      <c r="AJ173" s="136"/>
      <c r="AK173" s="136"/>
      <c r="AL173" s="136"/>
      <c r="AM173" s="136"/>
      <c r="AN173" s="136"/>
      <c r="AO173" s="136"/>
      <c r="AP173" s="136"/>
      <c r="AQ173" s="136"/>
      <c r="AR173" s="136"/>
      <c r="AS173" s="136"/>
      <c r="AT173" s="136"/>
      <c r="AU173" s="136"/>
      <c r="AV173" s="136"/>
      <c r="AW173" s="136"/>
      <c r="AX173" s="136"/>
      <c r="AY173" s="136"/>
      <c r="AZ173" s="136"/>
      <c r="BA173" s="136"/>
      <c r="BB173" s="136"/>
      <c r="BC173" s="136"/>
      <c r="BD173" s="136"/>
      <c r="BE173" s="136"/>
      <c r="BF173" s="136"/>
      <c r="BG173" s="136"/>
      <c r="BH173" s="136"/>
      <c r="BI173" s="136"/>
      <c r="BJ173" s="136"/>
      <c r="BK173" s="136"/>
      <c r="BL173" s="136"/>
      <c r="BM173" s="136"/>
      <c r="BN173" s="136"/>
      <c r="BO173" s="136"/>
      <c r="BP173" s="136"/>
      <c r="BQ173" s="136"/>
      <c r="BR173" s="136"/>
      <c r="BS173" s="136"/>
      <c r="BT173" s="136"/>
      <c r="BU173" s="136"/>
      <c r="BV173" s="136"/>
      <c r="BW173" s="136"/>
      <c r="BX173" s="136"/>
      <c r="BY173" s="136"/>
      <c r="BZ173" s="136"/>
      <c r="CA173" s="136"/>
      <c r="CB173" s="136"/>
      <c r="CC173" s="136"/>
      <c r="CD173" s="136"/>
      <c r="CE173" s="136"/>
      <c r="CF173" s="136"/>
      <c r="CG173" s="136"/>
      <c r="CH173" s="136"/>
      <c r="CI173" s="136"/>
      <c r="CJ173" s="136"/>
      <c r="CK173" s="136"/>
      <c r="CL173" s="136"/>
      <c r="CM173" s="136"/>
      <c r="CN173" s="136"/>
      <c r="CO173" s="136"/>
      <c r="CP173" s="136"/>
      <c r="CQ173" s="136"/>
      <c r="CR173" s="136"/>
      <c r="CS173" s="136"/>
      <c r="CT173" s="136"/>
      <c r="CU173" s="136"/>
      <c r="CV173" s="136"/>
      <c r="CW173" s="136"/>
      <c r="CX173" s="136"/>
      <c r="CY173" s="187">
        <v>40</v>
      </c>
      <c r="CZ173" s="123"/>
    </row>
    <row r="174" spans="11:124">
      <c r="K174" s="97">
        <v>36617</v>
      </c>
      <c r="L174" s="136"/>
      <c r="M174" s="136"/>
      <c r="N174" s="136"/>
      <c r="O174" s="136"/>
      <c r="P174" s="136"/>
      <c r="Q174" s="136"/>
      <c r="R174" s="136"/>
      <c r="S174" s="136"/>
      <c r="T174" s="136"/>
      <c r="U174" s="136"/>
      <c r="V174" s="136"/>
      <c r="W174" s="136"/>
      <c r="X174" s="136"/>
      <c r="Y174" s="136"/>
      <c r="Z174" s="136"/>
      <c r="AA174" s="136"/>
      <c r="AB174" s="136"/>
      <c r="AC174" s="136"/>
      <c r="AD174" s="136"/>
      <c r="AE174" s="136"/>
      <c r="AF174" s="136"/>
      <c r="AG174" s="136"/>
      <c r="AH174" s="136"/>
      <c r="AI174" s="136"/>
      <c r="AJ174" s="136"/>
      <c r="AK174" s="136"/>
      <c r="AL174" s="136"/>
      <c r="AM174" s="136"/>
      <c r="AN174" s="136"/>
      <c r="AO174" s="136"/>
      <c r="AP174" s="136"/>
      <c r="AQ174" s="136"/>
      <c r="AR174" s="136"/>
      <c r="AS174" s="136"/>
      <c r="AT174" s="136"/>
      <c r="AU174" s="136"/>
      <c r="AV174" s="136"/>
      <c r="AW174" s="136"/>
      <c r="AX174" s="136"/>
      <c r="AY174" s="136"/>
      <c r="AZ174" s="136"/>
      <c r="BA174" s="136"/>
      <c r="BB174" s="136"/>
      <c r="BC174" s="136"/>
      <c r="BD174" s="136"/>
      <c r="BE174" s="136"/>
      <c r="BF174" s="136"/>
      <c r="BG174" s="136"/>
      <c r="BH174" s="136"/>
      <c r="BI174" s="136"/>
      <c r="BJ174" s="136"/>
      <c r="BK174" s="136"/>
      <c r="BL174" s="136"/>
      <c r="BM174" s="136"/>
      <c r="BN174" s="136"/>
      <c r="BO174" s="136"/>
      <c r="BP174" s="136"/>
      <c r="BQ174" s="136"/>
      <c r="BR174" s="136"/>
      <c r="BS174" s="136"/>
      <c r="BT174" s="136"/>
      <c r="BU174" s="136"/>
      <c r="BV174" s="136"/>
      <c r="BW174" s="136"/>
      <c r="BX174" s="136"/>
      <c r="BY174" s="136"/>
      <c r="BZ174" s="136"/>
      <c r="CA174" s="136"/>
      <c r="CB174" s="136"/>
      <c r="CC174" s="136"/>
      <c r="CD174" s="136"/>
      <c r="CE174" s="136"/>
      <c r="CF174" s="136"/>
      <c r="CG174" s="136"/>
      <c r="CH174" s="136"/>
      <c r="CI174" s="136"/>
      <c r="CJ174" s="136"/>
      <c r="CK174" s="136"/>
      <c r="CL174" s="136"/>
      <c r="CM174" s="136"/>
      <c r="CN174" s="136"/>
      <c r="CO174" s="136"/>
      <c r="CP174" s="136"/>
      <c r="CQ174" s="136"/>
      <c r="CR174" s="136"/>
      <c r="CS174" s="136"/>
      <c r="CT174" s="136"/>
      <c r="CU174" s="136"/>
      <c r="CV174" s="136"/>
      <c r="CW174" s="136"/>
      <c r="CX174" s="136"/>
      <c r="CY174" s="187">
        <v>40</v>
      </c>
      <c r="CZ174" s="123"/>
    </row>
    <row r="175" spans="11:124">
      <c r="K175" s="97"/>
      <c r="L175" s="136"/>
      <c r="M175" s="136"/>
      <c r="N175" s="136"/>
      <c r="O175" s="136"/>
      <c r="P175" s="136"/>
      <c r="Q175" s="136"/>
      <c r="R175" s="136"/>
      <c r="S175" s="136"/>
      <c r="T175" s="136"/>
      <c r="U175" s="136"/>
      <c r="V175" s="136"/>
      <c r="W175" s="136"/>
      <c r="X175" s="136"/>
      <c r="Y175" s="136"/>
      <c r="Z175" s="136"/>
      <c r="AA175" s="136"/>
      <c r="AB175" s="136"/>
      <c r="AC175" s="136"/>
      <c r="AD175" s="136"/>
      <c r="AE175" s="136"/>
      <c r="AF175" s="136"/>
      <c r="AG175" s="136"/>
      <c r="AH175" s="136"/>
      <c r="AI175" s="136"/>
      <c r="AJ175" s="136"/>
      <c r="AK175" s="136"/>
      <c r="AL175" s="136"/>
      <c r="AM175" s="136"/>
      <c r="AN175" s="136"/>
      <c r="AO175" s="136"/>
      <c r="AP175" s="136"/>
      <c r="AQ175" s="136"/>
      <c r="AR175" s="136"/>
      <c r="AS175" s="136"/>
      <c r="AT175" s="136"/>
      <c r="AU175" s="136"/>
      <c r="AV175" s="136"/>
      <c r="AW175" s="136"/>
      <c r="AX175" s="136"/>
      <c r="AY175" s="136"/>
      <c r="AZ175" s="136"/>
      <c r="BA175" s="136"/>
      <c r="BB175" s="136"/>
      <c r="BC175" s="136"/>
      <c r="BD175" s="136"/>
      <c r="BE175" s="136"/>
      <c r="BF175" s="136"/>
      <c r="BG175" s="136"/>
      <c r="BH175" s="136"/>
      <c r="BI175" s="136"/>
      <c r="BJ175" s="136"/>
      <c r="BK175" s="136"/>
      <c r="BL175" s="136"/>
      <c r="BM175" s="136"/>
      <c r="BN175" s="136"/>
      <c r="BO175" s="136"/>
      <c r="BP175" s="136"/>
      <c r="BQ175" s="136"/>
      <c r="BR175" s="136"/>
      <c r="BS175" s="136"/>
      <c r="BT175" s="136"/>
      <c r="BU175" s="136"/>
      <c r="BV175" s="136"/>
      <c r="BW175" s="136"/>
      <c r="BX175" s="136"/>
      <c r="BY175" s="136"/>
      <c r="BZ175" s="136"/>
      <c r="CA175" s="136"/>
      <c r="CB175" s="136"/>
      <c r="CC175" s="136"/>
      <c r="CD175" s="136"/>
      <c r="CE175" s="136"/>
      <c r="CF175" s="136"/>
      <c r="CG175" s="136"/>
      <c r="CH175" s="136"/>
      <c r="CI175" s="136"/>
      <c r="CJ175" s="136"/>
      <c r="CK175" s="136"/>
      <c r="CL175" s="136"/>
      <c r="CM175" s="136"/>
      <c r="CN175" s="136"/>
      <c r="CO175" s="136"/>
      <c r="CP175" s="136"/>
      <c r="CQ175" s="136"/>
      <c r="CR175" s="136"/>
      <c r="CS175" s="136"/>
      <c r="CT175" s="136"/>
      <c r="CU175" s="136"/>
      <c r="CV175" s="136"/>
      <c r="CW175" s="136"/>
      <c r="CX175" s="136"/>
      <c r="CY175" s="154" t="s">
        <v>305</v>
      </c>
      <c r="CZ175" s="123"/>
    </row>
    <row r="176" spans="11:124" ht="13.5" thickBot="1">
      <c r="K176" s="28"/>
      <c r="L176" s="161"/>
      <c r="M176" s="161"/>
      <c r="N176" s="161"/>
      <c r="O176" s="161"/>
      <c r="P176" s="161"/>
      <c r="Q176" s="161"/>
      <c r="R176" s="161"/>
      <c r="S176" s="161"/>
      <c r="T176" s="161"/>
      <c r="U176" s="161"/>
      <c r="V176" s="161"/>
      <c r="W176" s="161"/>
      <c r="X176" s="161"/>
      <c r="Y176" s="161"/>
      <c r="Z176" s="161"/>
      <c r="AA176" s="161"/>
      <c r="AB176" s="161"/>
      <c r="AC176" s="161"/>
      <c r="AD176" s="161"/>
      <c r="AE176" s="161"/>
      <c r="AF176" s="161"/>
      <c r="AG176" s="161"/>
      <c r="AH176" s="161"/>
      <c r="AI176" s="161"/>
      <c r="AJ176" s="161"/>
      <c r="AK176" s="161"/>
      <c r="AL176" s="161"/>
      <c r="AM176" s="161"/>
      <c r="AN176" s="161"/>
      <c r="AO176" s="161"/>
      <c r="AP176" s="161"/>
      <c r="AQ176" s="161"/>
      <c r="AR176" s="161"/>
      <c r="AS176" s="161"/>
      <c r="AT176" s="161"/>
      <c r="AU176" s="161"/>
      <c r="AV176" s="161"/>
      <c r="AW176" s="161"/>
      <c r="AX176" s="161"/>
      <c r="AY176" s="161"/>
      <c r="AZ176" s="161"/>
      <c r="BA176" s="161"/>
      <c r="BB176" s="161"/>
      <c r="BC176" s="161"/>
      <c r="BD176" s="161"/>
      <c r="BE176" s="161"/>
      <c r="BF176" s="161"/>
      <c r="BG176" s="161"/>
      <c r="BH176" s="161"/>
      <c r="BI176" s="161"/>
      <c r="BJ176" s="161"/>
      <c r="BK176" s="161"/>
      <c r="BL176" s="161"/>
      <c r="BM176" s="161"/>
      <c r="BN176" s="161"/>
      <c r="BO176" s="161"/>
      <c r="BP176" s="161"/>
      <c r="BQ176" s="161"/>
      <c r="BR176" s="161"/>
      <c r="BS176" s="161"/>
      <c r="BT176" s="161"/>
      <c r="BU176" s="161"/>
      <c r="BV176" s="161"/>
      <c r="BW176" s="161"/>
      <c r="BX176" s="161"/>
      <c r="BY176" s="161"/>
      <c r="BZ176" s="161"/>
      <c r="CA176" s="161"/>
      <c r="CB176" s="161"/>
      <c r="CC176" s="161"/>
      <c r="CD176" s="161"/>
      <c r="CE176" s="161"/>
      <c r="CF176" s="161"/>
      <c r="CG176" s="161"/>
      <c r="CH176" s="161"/>
      <c r="CI176" s="161"/>
      <c r="CJ176" s="161"/>
      <c r="CK176" s="161"/>
      <c r="CL176" s="161"/>
      <c r="CM176" s="161"/>
      <c r="CN176" s="161"/>
      <c r="CO176" s="161"/>
      <c r="CP176" s="161"/>
      <c r="CQ176" s="161"/>
      <c r="CR176" s="161"/>
      <c r="CS176" s="161"/>
      <c r="CT176" s="161"/>
      <c r="CU176" s="161"/>
      <c r="CV176" s="161"/>
      <c r="CW176" s="161"/>
      <c r="CX176" s="161"/>
      <c r="CY176" s="64" t="s">
        <v>307</v>
      </c>
      <c r="CZ176" s="192"/>
    </row>
    <row r="177" ht="13.5" thickTop="1"/>
  </sheetData>
  <sortState xmlns:xlrd2="http://schemas.microsoft.com/office/spreadsheetml/2017/richdata2" ref="DT1:DT16384">
    <sortCondition ref="DT1"/>
  </sortState>
  <mergeCells count="14">
    <mergeCell ref="EN1:EN2"/>
    <mergeCell ref="EX1:FK1"/>
    <mergeCell ref="CY58:DJ58"/>
    <mergeCell ref="DW1:DW2"/>
    <mergeCell ref="DX1:EK1"/>
    <mergeCell ref="CY21:CZ21"/>
    <mergeCell ref="CY1:CZ1"/>
    <mergeCell ref="CY3:CZ3"/>
    <mergeCell ref="CY6:CZ6"/>
    <mergeCell ref="CY46:DA46"/>
    <mergeCell ref="CY12:CZ12"/>
    <mergeCell ref="CY32:CZ32"/>
    <mergeCell ref="CY39:CZ39"/>
    <mergeCell ref="CY43:DA43"/>
  </mergeCells>
  <pageMargins left="0.5" right="0.5" top="0.5" bottom="0.5" header="0.5" footer="0.5"/>
  <pageSetup scale="67"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Q53"/>
  <sheetViews>
    <sheetView topLeftCell="EL15" zoomScale="90" zoomScaleNormal="90" workbookViewId="0">
      <selection activeCell="EV36" sqref="EV36"/>
    </sheetView>
  </sheetViews>
  <sheetFormatPr defaultColWidth="16.140625" defaultRowHeight="12.75"/>
  <cols>
    <col min="1" max="1" width="26.28515625" customWidth="1"/>
    <col min="2" max="2" width="16.140625" customWidth="1"/>
    <col min="3" max="3" width="19.42578125" customWidth="1"/>
    <col min="4" max="4" width="8.85546875" customWidth="1"/>
    <col min="5" max="5" width="14" customWidth="1"/>
    <col min="6" max="6" width="15.28515625" customWidth="1"/>
    <col min="7" max="7" width="17.7109375" customWidth="1"/>
    <col min="8" max="8" width="15.85546875" customWidth="1"/>
    <col min="9" max="16" width="14.42578125" customWidth="1"/>
    <col min="17" max="18" width="20.28515625" customWidth="1"/>
    <col min="19" max="19" width="12.5703125" customWidth="1"/>
    <col min="20" max="21" width="14.7109375" customWidth="1"/>
    <col min="22" max="22" width="10.85546875" customWidth="1"/>
    <col min="23" max="23" width="12" customWidth="1"/>
    <col min="24" max="25" width="13.85546875" customWidth="1"/>
    <col min="26" max="27" width="15.85546875" customWidth="1"/>
    <col min="28" max="28" width="12.7109375" customWidth="1"/>
    <col min="29" max="29" width="14.28515625" customWidth="1"/>
    <col min="30" max="30" width="15.85546875" customWidth="1"/>
    <col min="31" max="32" width="17.85546875" customWidth="1"/>
    <col min="33" max="33" width="15.140625" customWidth="1"/>
    <col min="34" max="34" width="14.28515625" customWidth="1"/>
    <col min="35" max="35" width="13.5703125" customWidth="1"/>
    <col min="36" max="36" width="14.28515625" customWidth="1"/>
    <col min="37" max="37" width="12.5703125" customWidth="1"/>
    <col min="38" max="38" width="14.28515625" customWidth="1"/>
    <col min="39" max="39" width="13.42578125" customWidth="1"/>
    <col min="40" max="40" width="13.140625" customWidth="1"/>
    <col min="41" max="41" width="13" customWidth="1"/>
    <col min="42" max="42" width="15.7109375" customWidth="1"/>
    <col min="43" max="43" width="13.5703125" customWidth="1"/>
    <col min="44" max="44" width="16.5703125" customWidth="1"/>
    <col min="45" max="46" width="14.28515625" customWidth="1"/>
    <col min="47" max="47" width="17" customWidth="1"/>
    <col min="48" max="48" width="19.140625" customWidth="1"/>
    <col min="49" max="49" width="17.42578125" customWidth="1"/>
    <col min="50" max="50" width="14.28515625" customWidth="1"/>
    <col min="51" max="51" width="13.7109375" customWidth="1"/>
    <col min="52" max="52" width="16.85546875" customWidth="1"/>
    <col min="53" max="54" width="15.5703125" customWidth="1"/>
    <col min="55" max="55" width="19.5703125" customWidth="1"/>
    <col min="56" max="56" width="18.85546875" customWidth="1"/>
    <col min="57" max="58" width="14.42578125" customWidth="1"/>
    <col min="59" max="59" width="17.85546875" customWidth="1"/>
    <col min="60" max="61" width="19.42578125" customWidth="1"/>
    <col min="62" max="62" width="12.7109375" customWidth="1"/>
    <col min="63" max="63" width="18.28515625" customWidth="1"/>
    <col min="64" max="64" width="8.85546875" customWidth="1"/>
    <col min="65" max="65" width="13.85546875" customWidth="1"/>
    <col min="66" max="66" width="13.28515625" customWidth="1"/>
    <col min="67" max="67" width="14.42578125" customWidth="1"/>
    <col min="68" max="68" width="17.7109375" customWidth="1"/>
    <col min="69" max="69" width="18" customWidth="1"/>
    <col min="70" max="70" width="16" customWidth="1"/>
    <col min="71" max="71" width="15.7109375" customWidth="1"/>
    <col min="72" max="72" width="15" customWidth="1"/>
    <col min="73" max="73" width="16.5703125" customWidth="1"/>
    <col min="74" max="76" width="17.7109375" customWidth="1"/>
    <col min="77" max="77" width="20.140625" customWidth="1"/>
    <col min="78" max="78" width="19.42578125" customWidth="1"/>
    <col min="79" max="79" width="25.140625" customWidth="1"/>
    <col min="80" max="80" width="20.5703125" customWidth="1"/>
    <col min="81" max="81" width="22.28515625" customWidth="1"/>
    <col min="82" max="82" width="22.42578125" customWidth="1"/>
    <col min="83" max="83" width="16.5703125" customWidth="1"/>
    <col min="84" max="84" width="18.85546875" customWidth="1"/>
    <col min="85" max="85" width="18" customWidth="1"/>
    <col min="86" max="86" width="21.5703125" customWidth="1"/>
    <col min="87" max="87" width="24.5703125" customWidth="1"/>
    <col min="88" max="88" width="17.7109375" customWidth="1"/>
    <col min="89" max="89" width="19.140625" customWidth="1"/>
    <col min="90" max="90" width="12.28515625" customWidth="1"/>
    <col min="91" max="91" width="11.7109375" customWidth="1"/>
    <col min="92" max="92" width="10.140625" customWidth="1"/>
    <col min="93" max="95" width="14.140625" customWidth="1"/>
    <col min="96" max="99" width="13.7109375" customWidth="1"/>
    <col min="100" max="101" width="19.140625" customWidth="1"/>
    <col min="102" max="102" width="18.5703125" customWidth="1"/>
    <col min="103" max="105" width="20.140625" customWidth="1"/>
    <col min="106" max="107" width="21.7109375" customWidth="1"/>
    <col min="108" max="108" width="25.140625" customWidth="1"/>
    <col min="109" max="109" width="19" customWidth="1"/>
    <col min="110" max="110" width="16.140625" customWidth="1"/>
    <col min="111" max="111" width="17.140625" customWidth="1"/>
    <col min="112" max="112" width="23.7109375" customWidth="1"/>
    <col min="113" max="113" width="17.140625" customWidth="1"/>
    <col min="114" max="114" width="22.140625" customWidth="1"/>
    <col min="115" max="115" width="28.28515625" customWidth="1"/>
    <col min="116" max="116" width="25.140625" customWidth="1"/>
    <col min="117" max="117" width="21.5703125" customWidth="1"/>
    <col min="118" max="118" width="25.7109375" customWidth="1"/>
    <col min="119" max="120" width="20.140625" customWidth="1"/>
    <col min="121" max="122" width="25.5703125" customWidth="1"/>
    <col min="123" max="126" width="21.5703125" customWidth="1"/>
    <col min="127" max="127" width="25.140625" customWidth="1"/>
    <col min="128" max="134" width="21.5703125" customWidth="1"/>
    <col min="135" max="135" width="24.140625" customWidth="1"/>
    <col min="136" max="137" width="24.28515625" customWidth="1"/>
    <col min="138" max="138" width="20.140625" customWidth="1"/>
    <col min="139" max="139" width="19.7109375" customWidth="1"/>
    <col min="140" max="140" width="25.7109375" customWidth="1"/>
    <col min="141" max="141" width="30.28515625" customWidth="1"/>
    <col min="142" max="142" width="22.42578125" customWidth="1"/>
    <col min="143" max="143" width="18.42578125" customWidth="1"/>
    <col min="144" max="144" width="32.42578125" customWidth="1"/>
    <col min="145" max="145" width="26.140625" customWidth="1"/>
    <col min="146" max="146" width="25.140625" customWidth="1"/>
    <col min="147" max="147" width="24.28515625" customWidth="1"/>
    <col min="148" max="148" width="26.28515625" customWidth="1"/>
    <col min="149" max="149" width="20.5703125" customWidth="1"/>
    <col min="150" max="150" width="20" customWidth="1"/>
    <col min="151" max="151" width="32.42578125" customWidth="1"/>
    <col min="152" max="152" width="26.28515625" customWidth="1"/>
    <col min="153" max="153" width="29.7109375" customWidth="1"/>
    <col min="154" max="154" width="24" customWidth="1"/>
    <col min="155" max="155" width="23.85546875" customWidth="1"/>
    <col min="156" max="156" width="16.140625" customWidth="1"/>
    <col min="157" max="157" width="15.7109375" customWidth="1"/>
    <col min="158" max="158" width="18.5703125" customWidth="1"/>
    <col min="159" max="159" width="16.5703125" customWidth="1"/>
    <col min="160" max="160" width="14.7109375" customWidth="1"/>
    <col min="161" max="161" width="12.85546875" customWidth="1"/>
    <col min="162" max="162" width="14.28515625" customWidth="1"/>
    <col min="163" max="163" width="16.7109375" customWidth="1"/>
    <col min="164" max="164" width="21.140625" customWidth="1"/>
    <col min="165" max="165" width="18.42578125" customWidth="1"/>
    <col min="166" max="166" width="21.42578125" customWidth="1"/>
    <col min="167" max="167" width="16.7109375" customWidth="1"/>
    <col min="168" max="168" width="14.7109375" customWidth="1"/>
    <col min="169" max="170" width="19.85546875" customWidth="1"/>
    <col min="171" max="171" width="17.28515625" customWidth="1"/>
    <col min="172" max="172" width="21.7109375" customWidth="1"/>
    <col min="173" max="173" width="10.5703125" customWidth="1"/>
    <col min="174" max="175" width="16.140625" customWidth="1"/>
    <col min="176" max="176" width="11.42578125" customWidth="1"/>
    <col min="177" max="177" width="12" customWidth="1"/>
    <col min="178" max="178" width="19.140625" customWidth="1"/>
    <col min="179" max="179" width="11.5703125" customWidth="1"/>
    <col min="180" max="180" width="22.140625" customWidth="1"/>
    <col min="181" max="181" width="15.42578125" customWidth="1"/>
    <col min="182" max="182" width="15" customWidth="1"/>
    <col min="183" max="183" width="15.7109375" customWidth="1"/>
    <col min="184" max="184" width="19.42578125" customWidth="1"/>
    <col min="185" max="185" width="17.85546875" customWidth="1"/>
    <col min="186" max="186" width="18.85546875" customWidth="1"/>
    <col min="187" max="187" width="15" customWidth="1"/>
    <col min="188" max="190" width="16.140625" customWidth="1"/>
    <col min="191" max="191" width="17.85546875" customWidth="1"/>
    <col min="192" max="193" width="16.140625" customWidth="1"/>
    <col min="194" max="194" width="17.28515625" customWidth="1"/>
    <col min="195" max="195" width="17.5703125" customWidth="1"/>
    <col min="196" max="196" width="17.140625" customWidth="1"/>
    <col min="197" max="197" width="17.85546875" customWidth="1"/>
    <col min="198" max="198" width="17.7109375" customWidth="1"/>
    <col min="199" max="199" width="18" customWidth="1"/>
  </cols>
  <sheetData>
    <row r="1" spans="1:199" ht="13.5" thickBot="1">
      <c r="A1" s="70" t="s">
        <v>468</v>
      </c>
      <c r="B1" s="61" t="s">
        <v>663</v>
      </c>
      <c r="C1" s="61" t="s">
        <v>519</v>
      </c>
      <c r="D1" s="83" t="s">
        <v>405</v>
      </c>
      <c r="E1" s="61" t="s">
        <v>306</v>
      </c>
      <c r="F1" s="133" t="s">
        <v>28</v>
      </c>
      <c r="G1" s="133" t="s">
        <v>67</v>
      </c>
      <c r="H1" s="83" t="s">
        <v>168</v>
      </c>
      <c r="I1" s="57" t="s">
        <v>314</v>
      </c>
      <c r="J1" s="57" t="s">
        <v>87</v>
      </c>
      <c r="K1" s="57" t="s">
        <v>230</v>
      </c>
      <c r="L1" s="57" t="s">
        <v>144</v>
      </c>
      <c r="M1" s="57" t="s">
        <v>434</v>
      </c>
      <c r="N1" s="57" t="s">
        <v>183</v>
      </c>
      <c r="O1" s="57" t="s">
        <v>302</v>
      </c>
      <c r="P1" s="57" t="s">
        <v>580</v>
      </c>
      <c r="Q1" s="57" t="s">
        <v>156</v>
      </c>
      <c r="R1" s="57" t="s">
        <v>303</v>
      </c>
      <c r="S1" s="57" t="s">
        <v>164</v>
      </c>
      <c r="T1" s="57" t="s">
        <v>408</v>
      </c>
      <c r="U1" s="57" t="s">
        <v>372</v>
      </c>
      <c r="V1" s="57" t="s">
        <v>105</v>
      </c>
      <c r="W1" s="57" t="s">
        <v>529</v>
      </c>
      <c r="X1" s="57" t="s">
        <v>478</v>
      </c>
      <c r="Y1" s="57" t="s">
        <v>439</v>
      </c>
      <c r="Z1" s="57" t="s">
        <v>75</v>
      </c>
      <c r="AA1" s="57" t="s">
        <v>675</v>
      </c>
      <c r="AB1" s="57" t="s">
        <v>111</v>
      </c>
      <c r="AC1" s="57" t="s">
        <v>293</v>
      </c>
      <c r="AD1" s="57" t="s">
        <v>312</v>
      </c>
      <c r="AE1" s="57" t="s">
        <v>416</v>
      </c>
      <c r="AF1" s="57" t="s">
        <v>430</v>
      </c>
      <c r="AG1" s="57" t="s">
        <v>438</v>
      </c>
      <c r="AH1" s="57" t="s">
        <v>705</v>
      </c>
      <c r="AI1" s="57" t="s">
        <v>15</v>
      </c>
      <c r="AJ1" s="57" t="s">
        <v>560</v>
      </c>
      <c r="AK1" s="57" t="s">
        <v>9</v>
      </c>
      <c r="AL1" s="57" t="s">
        <v>575</v>
      </c>
      <c r="AM1" s="57" t="s">
        <v>417</v>
      </c>
      <c r="AN1" s="57" t="s">
        <v>374</v>
      </c>
      <c r="AO1" s="57" t="s">
        <v>353</v>
      </c>
      <c r="AP1" s="57" t="s">
        <v>247</v>
      </c>
      <c r="AQ1" s="57" t="s">
        <v>497</v>
      </c>
      <c r="AR1" s="57" t="s">
        <v>402</v>
      </c>
      <c r="AS1" s="57" t="s">
        <v>447</v>
      </c>
      <c r="AT1" s="57" t="s">
        <v>452</v>
      </c>
      <c r="AU1" s="204" t="s">
        <v>119</v>
      </c>
      <c r="AV1" s="204" t="s">
        <v>589</v>
      </c>
      <c r="AW1" s="204" t="s">
        <v>64</v>
      </c>
      <c r="AX1" s="57" t="s">
        <v>480</v>
      </c>
      <c r="AY1" s="57" t="s">
        <v>548</v>
      </c>
      <c r="AZ1" s="204" t="s">
        <v>322</v>
      </c>
      <c r="BA1" s="204" t="s">
        <v>261</v>
      </c>
      <c r="BB1" s="204" t="s">
        <v>770</v>
      </c>
      <c r="BC1" s="204" t="s">
        <v>55</v>
      </c>
      <c r="BD1" s="57" t="s">
        <v>531</v>
      </c>
      <c r="BE1" s="204" t="s">
        <v>375</v>
      </c>
      <c r="BF1" s="204" t="s">
        <v>771</v>
      </c>
      <c r="BG1" s="204" t="s">
        <v>594</v>
      </c>
      <c r="BH1" s="301" t="s">
        <v>612</v>
      </c>
      <c r="BI1" s="301" t="s">
        <v>613</v>
      </c>
      <c r="BJ1" s="204" t="s">
        <v>574</v>
      </c>
      <c r="BK1" s="204" t="s">
        <v>359</v>
      </c>
      <c r="BL1" s="204" t="s">
        <v>93</v>
      </c>
      <c r="BM1" s="204" t="s">
        <v>199</v>
      </c>
      <c r="BN1" s="204" t="s">
        <v>252</v>
      </c>
      <c r="BO1" s="204" t="s">
        <v>152</v>
      </c>
      <c r="BP1" s="204" t="s">
        <v>556</v>
      </c>
      <c r="BQ1" s="204" t="s">
        <v>499</v>
      </c>
      <c r="BR1" s="204" t="s">
        <v>210</v>
      </c>
      <c r="BS1" s="204" t="s">
        <v>163</v>
      </c>
      <c r="BT1" s="204" t="s">
        <v>201</v>
      </c>
      <c r="BU1" s="204" t="s">
        <v>54</v>
      </c>
      <c r="BV1" s="204" t="s">
        <v>133</v>
      </c>
      <c r="BW1" s="204" t="s">
        <v>234</v>
      </c>
      <c r="BX1" s="204" t="s">
        <v>56</v>
      </c>
      <c r="BY1" s="204" t="s">
        <v>441</v>
      </c>
      <c r="BZ1" s="204" t="s">
        <v>108</v>
      </c>
      <c r="CA1" s="309" t="s">
        <v>666</v>
      </c>
      <c r="CB1" s="204" t="s">
        <v>668</v>
      </c>
      <c r="CC1" s="204" t="s">
        <v>670</v>
      </c>
      <c r="CD1" s="204" t="s">
        <v>657</v>
      </c>
      <c r="CE1" s="204" t="s">
        <v>658</v>
      </c>
      <c r="CF1" s="204" t="s">
        <v>659</v>
      </c>
      <c r="CG1" s="204" t="s">
        <v>332</v>
      </c>
      <c r="CH1" s="204" t="s">
        <v>361</v>
      </c>
      <c r="CI1" s="204" t="s">
        <v>522</v>
      </c>
      <c r="CJ1" s="204" t="s">
        <v>563</v>
      </c>
      <c r="CK1" s="204" t="s">
        <v>414</v>
      </c>
      <c r="CL1" s="204" t="s">
        <v>72</v>
      </c>
      <c r="CM1" s="204" t="s">
        <v>35</v>
      </c>
      <c r="CN1" s="204" t="s">
        <v>118</v>
      </c>
      <c r="CO1" s="204" t="s">
        <v>258</v>
      </c>
      <c r="CP1" s="204" t="s">
        <v>401</v>
      </c>
      <c r="CQ1" s="204" t="s">
        <v>283</v>
      </c>
      <c r="CR1" s="204" t="s">
        <v>66</v>
      </c>
      <c r="CS1" s="204" t="s">
        <v>577</v>
      </c>
      <c r="CT1" s="204" t="s">
        <v>725</v>
      </c>
      <c r="CU1" s="204" t="s">
        <v>376</v>
      </c>
      <c r="CV1" s="204" t="s">
        <v>506</v>
      </c>
      <c r="CW1" s="204" t="s">
        <v>708</v>
      </c>
      <c r="CX1" s="204" t="s">
        <v>324</v>
      </c>
      <c r="CY1" s="204" t="s">
        <v>518</v>
      </c>
      <c r="CZ1" s="204" t="s">
        <v>187</v>
      </c>
      <c r="DA1" s="204" t="s">
        <v>526</v>
      </c>
      <c r="DB1" s="147" t="s">
        <v>295</v>
      </c>
      <c r="DC1" s="147" t="s">
        <v>358</v>
      </c>
      <c r="DD1" s="147" t="s">
        <v>371</v>
      </c>
      <c r="DE1" s="172" t="s">
        <v>510</v>
      </c>
      <c r="DF1" s="204" t="s">
        <v>21</v>
      </c>
      <c r="DG1" s="172" t="s">
        <v>328</v>
      </c>
      <c r="DH1" s="172" t="s">
        <v>454</v>
      </c>
      <c r="DI1" s="172" t="s">
        <v>758</v>
      </c>
      <c r="DJ1" s="147" t="s">
        <v>687</v>
      </c>
      <c r="DK1" s="147" t="s">
        <v>688</v>
      </c>
      <c r="DL1" s="147" t="s">
        <v>266</v>
      </c>
      <c r="DM1" s="204" t="s">
        <v>259</v>
      </c>
      <c r="DN1" s="204" t="s">
        <v>550</v>
      </c>
      <c r="DO1" s="204" t="s">
        <v>400</v>
      </c>
      <c r="DP1" s="204" t="s">
        <v>508</v>
      </c>
      <c r="DQ1" s="2" t="s">
        <v>65</v>
      </c>
      <c r="DR1" s="2" t="s">
        <v>271</v>
      </c>
      <c r="DS1" s="2" t="s">
        <v>13</v>
      </c>
      <c r="DT1" s="2" t="s">
        <v>472</v>
      </c>
      <c r="DU1" s="2" t="s">
        <v>11</v>
      </c>
      <c r="DV1" s="2" t="s">
        <v>586</v>
      </c>
      <c r="DW1" s="2" t="s">
        <v>113</v>
      </c>
      <c r="DX1" s="2" t="s">
        <v>298</v>
      </c>
      <c r="DY1" s="2" t="s">
        <v>131</v>
      </c>
      <c r="DZ1" s="2" t="s">
        <v>458</v>
      </c>
      <c r="EA1" s="2" t="s">
        <v>444</v>
      </c>
      <c r="EB1" s="2" t="s">
        <v>14</v>
      </c>
      <c r="EC1" s="2" t="s">
        <v>172</v>
      </c>
      <c r="ED1" s="204" t="s">
        <v>679</v>
      </c>
      <c r="EE1" s="204" t="s">
        <v>253</v>
      </c>
      <c r="EF1" s="204" t="s">
        <v>672</v>
      </c>
      <c r="EG1" s="204" t="s">
        <v>724</v>
      </c>
      <c r="EH1" s="204" t="s">
        <v>716</v>
      </c>
      <c r="EI1" s="204" t="s">
        <v>0</v>
      </c>
      <c r="EJ1" s="204" t="s">
        <v>349</v>
      </c>
      <c r="EK1" s="172" t="s">
        <v>173</v>
      </c>
      <c r="EL1" s="172" t="s">
        <v>689</v>
      </c>
      <c r="EM1" s="172" t="s">
        <v>690</v>
      </c>
      <c r="EN1" s="172" t="s">
        <v>488</v>
      </c>
      <c r="EO1" s="172" t="s">
        <v>290</v>
      </c>
      <c r="EP1" s="172" t="s">
        <v>127</v>
      </c>
      <c r="EQ1" s="172" t="s">
        <v>561</v>
      </c>
      <c r="ER1" s="172" t="s">
        <v>195</v>
      </c>
      <c r="ES1" s="172" t="s">
        <v>19</v>
      </c>
      <c r="ET1" s="172" t="s">
        <v>413</v>
      </c>
      <c r="EU1" s="172" t="s">
        <v>572</v>
      </c>
      <c r="EV1" s="172" t="s">
        <v>363</v>
      </c>
      <c r="EW1" s="172" t="s">
        <v>323</v>
      </c>
      <c r="EX1" s="172" t="s">
        <v>208</v>
      </c>
      <c r="EY1" s="172" t="s">
        <v>567</v>
      </c>
      <c r="EZ1" s="204" t="s">
        <v>150</v>
      </c>
      <c r="FA1" s="172" t="s">
        <v>245</v>
      </c>
      <c r="FB1" s="172" t="s">
        <v>513</v>
      </c>
      <c r="FC1" s="172" t="s">
        <v>346</v>
      </c>
      <c r="FD1" s="172" t="s">
        <v>24</v>
      </c>
      <c r="FE1" s="172" t="s">
        <v>192</v>
      </c>
      <c r="FF1" s="172" t="s">
        <v>121</v>
      </c>
      <c r="FG1" s="172" t="s">
        <v>410</v>
      </c>
      <c r="FH1" s="172" t="s">
        <v>304</v>
      </c>
      <c r="FI1" s="172" t="s">
        <v>48</v>
      </c>
      <c r="FJ1" s="172" t="s">
        <v>509</v>
      </c>
      <c r="FK1" s="172" t="s">
        <v>393</v>
      </c>
      <c r="FL1" s="172" t="s">
        <v>500</v>
      </c>
      <c r="FM1" s="204" t="s">
        <v>576</v>
      </c>
      <c r="FN1" s="204" t="s">
        <v>126</v>
      </c>
      <c r="FO1" s="172" t="s">
        <v>537</v>
      </c>
      <c r="FP1" s="204" t="s">
        <v>492</v>
      </c>
      <c r="FQ1" s="204" t="s">
        <v>540</v>
      </c>
      <c r="FR1" s="204" t="s">
        <v>202</v>
      </c>
      <c r="FS1" s="204" t="s">
        <v>330</v>
      </c>
      <c r="FT1" s="204" t="s">
        <v>720</v>
      </c>
      <c r="FU1" s="204" t="s">
        <v>721</v>
      </c>
      <c r="FV1" s="204" t="s">
        <v>723</v>
      </c>
      <c r="FW1" s="204" t="s">
        <v>273</v>
      </c>
      <c r="FX1" s="204" t="s">
        <v>418</v>
      </c>
      <c r="FY1" s="204" t="s">
        <v>255</v>
      </c>
      <c r="FZ1" s="204" t="s">
        <v>474</v>
      </c>
      <c r="GA1" s="204" t="s">
        <v>51</v>
      </c>
      <c r="GB1" s="57" t="s">
        <v>287</v>
      </c>
      <c r="GC1" s="204" t="s">
        <v>551</v>
      </c>
      <c r="GD1" s="57" t="s">
        <v>585</v>
      </c>
      <c r="GE1" s="204" t="s">
        <v>112</v>
      </c>
      <c r="GF1" s="204" t="s">
        <v>368</v>
      </c>
      <c r="GG1" s="204" t="s">
        <v>186</v>
      </c>
      <c r="GH1" s="204" t="s">
        <v>350</v>
      </c>
      <c r="GI1" s="204" t="s">
        <v>181</v>
      </c>
      <c r="GJ1" s="204" t="s">
        <v>426</v>
      </c>
      <c r="GK1" s="204" t="s">
        <v>96</v>
      </c>
      <c r="GL1" s="204" t="s">
        <v>599</v>
      </c>
      <c r="GM1" s="204" t="s">
        <v>601</v>
      </c>
      <c r="GN1" s="204" t="s">
        <v>602</v>
      </c>
      <c r="GO1" s="204" t="s">
        <v>603</v>
      </c>
      <c r="GP1" s="204" t="s">
        <v>604</v>
      </c>
      <c r="GQ1" s="204" t="s">
        <v>605</v>
      </c>
    </row>
    <row r="2" spans="1:199" s="15" customFormat="1" ht="13.5" thickTop="1">
      <c r="A2" s="70" t="s">
        <v>213</v>
      </c>
      <c r="B2" s="216">
        <v>20908700</v>
      </c>
      <c r="C2" s="182" t="s">
        <v>685</v>
      </c>
      <c r="D2" s="182" t="s">
        <v>496</v>
      </c>
      <c r="E2" s="182"/>
      <c r="F2" s="85" t="s">
        <v>252</v>
      </c>
      <c r="G2" s="85" t="s">
        <v>160</v>
      </c>
      <c r="H2" s="182"/>
      <c r="I2" s="206"/>
      <c r="J2" s="206"/>
      <c r="K2" s="182"/>
      <c r="L2" s="206"/>
      <c r="M2" s="206"/>
      <c r="N2" s="206"/>
      <c r="O2" s="206"/>
      <c r="P2" s="206"/>
      <c r="Q2" s="206" t="s">
        <v>449</v>
      </c>
      <c r="R2" s="182" t="s">
        <v>392</v>
      </c>
      <c r="S2" s="206" t="s">
        <v>424</v>
      </c>
      <c r="T2" s="31" t="s">
        <v>116</v>
      </c>
      <c r="U2" s="31"/>
      <c r="V2" s="31" t="s">
        <v>424</v>
      </c>
      <c r="W2" s="205">
        <v>15049</v>
      </c>
      <c r="X2" s="205">
        <v>15890</v>
      </c>
      <c r="Y2" s="205"/>
      <c r="Z2" s="205">
        <f>IF(AND(G2="V",OR(F2="XRD",F2="QPSA")),IF(AND(F2="XRD",OR(V2="S",V2="D",V2="W")),"NULL",IF(NOT(ISBLANK(X2)),X2,DATE(YEAR(W2)+IF(S2="M",4,-4),MONTH(W2),DAY(W2)))),IF(Q2="Y",Y2,IF(ISBLANK(X2),"NULL",X2)))</f>
        <v>15890</v>
      </c>
      <c r="AA2" s="205">
        <f>IF(Z2="null",DATE(YEAR(W2)+IF(S2="M",4,-4),MONTH(W2),DAY(W2)),Z2)</f>
        <v>15890</v>
      </c>
      <c r="AB2" s="205">
        <v>25430</v>
      </c>
      <c r="AC2" s="32">
        <f>DATE(YEAR(W2)+21,MONTH(W2),DAY(W2))</f>
        <v>22719</v>
      </c>
      <c r="AD2" s="32">
        <f>DATE(YEAR(AB2)+1,MONTH(AB2),DAY(AB2))</f>
        <v>25795</v>
      </c>
      <c r="AE2" s="32">
        <f t="shared" ref="AE2" si="0">MAX(AC2,AD2)</f>
        <v>25795</v>
      </c>
      <c r="AF2" s="32">
        <f>[1]!NRD(MIN(DATE(2008,12,31),AE2),0)</f>
        <v>25812</v>
      </c>
      <c r="AG2" s="32">
        <v>26390</v>
      </c>
      <c r="AH2" s="32">
        <v>39813</v>
      </c>
      <c r="AI2" s="32">
        <v>39721</v>
      </c>
      <c r="AJ2" s="32"/>
      <c r="AK2" s="32"/>
      <c r="AL2" s="32"/>
      <c r="AM2" s="261">
        <f>MAX([1]!NRD(W2,65),[1]!NRD(AF2,5))</f>
        <v>38808</v>
      </c>
      <c r="AN2" s="307">
        <f>[1]!ATT(W2,AM2)</f>
        <v>65</v>
      </c>
      <c r="AO2" s="262">
        <f>[1]!SERVYCA(AF2,MIN(AI2,AH2),1000)</f>
        <v>38</v>
      </c>
      <c r="AP2" s="263">
        <v>33</v>
      </c>
      <c r="AQ2" s="263">
        <f>[1]!SERVYCA(AB2,MIN(AI2,AH2,DATE(2010,4,13)),1000)</f>
        <v>39</v>
      </c>
      <c r="AR2" s="236">
        <v>3596.18</v>
      </c>
      <c r="AS2" s="236">
        <f>AR2</f>
        <v>3596.18</v>
      </c>
      <c r="AT2" s="32">
        <f>DATE(YEAR(W2)+18,MONTH(W2),DAY(W2))</f>
        <v>21623</v>
      </c>
      <c r="AU2" s="113">
        <f>[1]!SERVYCA(AB2,MIN(AI2,DOPT),1000)</f>
        <v>39</v>
      </c>
      <c r="AV2" s="33">
        <f>IF(AU2&gt;=5,1,0)</f>
        <v>1</v>
      </c>
      <c r="AW2" s="45">
        <f>ROUND(AS2*AV2,2)</f>
        <v>3596.18</v>
      </c>
      <c r="AX2" s="31">
        <f>[1]!anb(W2,DOPT)</f>
        <v>72</v>
      </c>
      <c r="AY2" s="31">
        <f>IF(Z2="NULL","NULL",IF(Z2&gt;DOPT,0,[1]!anb(Z2,DOPT)))</f>
        <v>70</v>
      </c>
      <c r="AZ2" s="173">
        <v>4789.7700000000004</v>
      </c>
      <c r="BA2" s="60">
        <f>MAX(AM2,[1]!NRD(DOPT,0))</f>
        <v>41395</v>
      </c>
      <c r="BB2" s="60">
        <f>MAX(BA2,[1]!NRD(DOPT,0))</f>
        <v>41395</v>
      </c>
      <c r="BC2" s="92">
        <f>IF(AM2&lt;DOPT,AX2,AN2)</f>
        <v>72</v>
      </c>
      <c r="BD2" s="205" t="str">
        <f>[1]!RBD(C2,DOPT,"P",W2,AI2,AJ2,"N",Q2)</f>
        <v>Error #2109 - dote</v>
      </c>
      <c r="BE2" s="60">
        <f>IF(AU2&gt;=10,[1]!NRD(W2,60),AM2)</f>
        <v>36982</v>
      </c>
      <c r="BF2" s="60">
        <f>MAX(BE2,[1]!NRD(DOPT,0))</f>
        <v>41395</v>
      </c>
      <c r="BG2" s="77">
        <f>IF([1]!NRD(W2,60)&lt;DOPT,AX2,[1]!anb(W2,BE2))</f>
        <v>72</v>
      </c>
      <c r="BH2" s="302"/>
      <c r="BI2" s="302" t="str">
        <f>IF(BH2="Y",BE2,"NULL")</f>
        <v>NULL</v>
      </c>
      <c r="BJ2" s="60">
        <v>38473</v>
      </c>
      <c r="BK2" s="60">
        <v>39234</v>
      </c>
      <c r="BL2" s="45" t="str">
        <f>[1]!BL(DOPT,AB2,AI2,"N","Y","Y",C2,BC2,AW2)</f>
        <v>HIGH</v>
      </c>
      <c r="BM2" s="87">
        <f>[1]!XRA2(BL2,MIN(AN2,BG2),AN2,DOPT,W2,IF(Z2="NULL",0,Z2),C2,D2,0,"")</f>
        <v>72</v>
      </c>
      <c r="BN2" s="60">
        <f>IF(OR(F2="DORNSF",F2="DOR"),BJ2,[1]!NRD(W2,BM2))</f>
        <v>41365</v>
      </c>
      <c r="BO2" s="77">
        <f>IF(Z2="NULL","NULL",[1]!anb(Z2,BN2))</f>
        <v>70</v>
      </c>
      <c r="BP2" s="195" t="s">
        <v>520</v>
      </c>
      <c r="BQ2" s="195" t="s">
        <v>218</v>
      </c>
      <c r="BR2" s="31">
        <f t="shared" ref="BR2" si="1">0</f>
        <v>0</v>
      </c>
      <c r="BS2" s="33">
        <v>0.5</v>
      </c>
      <c r="BT2" s="31">
        <v>0</v>
      </c>
      <c r="BU2" s="31">
        <v>0</v>
      </c>
      <c r="BV2" s="131" t="s">
        <v>59</v>
      </c>
      <c r="BW2" s="131" t="s">
        <v>392</v>
      </c>
      <c r="BX2" s="131" t="s">
        <v>109</v>
      </c>
      <c r="BY2" s="87" t="str">
        <f>IF(AND(BV2="5",[1]!COMPM(BJ2,BK2)&lt;BX2),BV2,IF(AND(AJ2&gt;0,BV2="9"),2,"NULL"))</f>
        <v>5</v>
      </c>
      <c r="BZ2" s="87">
        <f>IF(AND(BV2="5",[1]!COMPM(BJ2,BK2)&lt;BX2),[1]!COMPM(BK2,DATE(YEAR(BJ2)+(BX2/12),MONTH(BJ2)-1,1)),"NULL")</f>
        <v>94</v>
      </c>
      <c r="CA2" s="310" t="str">
        <f>IF(AND(OR(V2="U",V2="M"),OR(CI2="9",CI2="0")),"9",IF(CI2="5","5","2"))</f>
        <v>9</v>
      </c>
      <c r="CB2" s="308">
        <f>IF(OR(CA2="9",CA2="0"),0.5,0)</f>
        <v>0.5</v>
      </c>
      <c r="CC2" s="31" t="str">
        <f>IF(CA2="5",BX2-BZ2,"0")</f>
        <v>0</v>
      </c>
      <c r="CD2" s="87" t="s">
        <v>520</v>
      </c>
      <c r="CE2" s="31" t="str">
        <f>CC2</f>
        <v>0</v>
      </c>
      <c r="CF2" s="31">
        <f>IF(BZ2="NULL","0",BZ2)</f>
        <v>94</v>
      </c>
      <c r="CG2" s="31">
        <v>1</v>
      </c>
      <c r="CH2" s="87">
        <v>3</v>
      </c>
      <c r="CI2" s="31" t="str">
        <f>IF(OR(AND(OR(AND(F2="XRD",G2="V"),F2="RBD"),OR(V2="M",V2="U")),AND(F2="DOR",OR(CH2="3",CH2="1"),OR(BV2="9",BV2="0"))),BQ2,IF(OR(F2="QPSA",AND(OR(F2="ERD",F2="EURD",F2="NRD",F2="RETRO"),V2="M",IF(OR(F2="ERD",F2="EURD",F2="NRD",F2="RETRO"),FX2="A",1),NOT(ISBLANK(AJ2)),OR(ISBLANK(AK2),AK2&gt;AJ2)),AND(OR(F2="DOR",F2="DORNSF"),CG2="Y")),CA2,IF(AND(F2="DOR",BV2="5"),BV2,BP2)))</f>
        <v>9</v>
      </c>
      <c r="CJ2" s="33">
        <f>IF(OR(AND(OR(AND(F2="XRD",G2="V"),F2="RBD"),OR(V2="M",V2="U")),AND(F2="DOR",OR(CH2="1",CH2="3"),OR(BV2="9",BV2="0"))),BS2,IF(OR(F2="QPSA",AND(OR(F2="ERD",F2="EURD",F2="NRD",F2="RETRO"),V2="M",IF(OR(F2="ERD",F2="EURD",F2="NRD",F2="RETRO"),FX2="A",1),NOT(ISBLANK(AJ2)),OR(ISBLANK(AK2),AK2&gt;AJ2)),AND(OR(F2="DORNSF",F2="DOR"),CG2="Y")),CB2,IF(AND(F2="DOR",BV2="5"),BW2,BR2)))</f>
        <v>0.5</v>
      </c>
      <c r="CK2" s="31">
        <f>IF(OR(AND(OR(AND(F2="XRD",G2="V"),F2="RBD"),OR(V2="M",V2="U")),AND(F2="DOR",CH2="3",OR(BV2="9",BV2="0"))),BU2,IF(OR(F2="QPSA",AND(OR(F2="ERD",F2="EURD",F2="NRD",F2="RETRO"),V2="M",IF(OR(F2="ERD",F2="EURD",F2="NRD",F2="RETRO"),FX2="A",1),NOT(ISBLANK(AJ2)),OR(ISBLANK(AK2),AK2&gt;AJ2)),AND(OR(F2="DORNSF",F2="DOR"),CG2="Y")),CC2,IF(AND(F2="DOR",BV2="5"),IF(AJ2&gt;0,BZ2,BX2),BT2)))</f>
        <v>0</v>
      </c>
      <c r="CL2" s="31">
        <f>BM2</f>
        <v>72</v>
      </c>
      <c r="CM2" s="31">
        <v>999</v>
      </c>
      <c r="CN2" s="31">
        <f>IF(BN2&lt;AM2,[1]!COMPM(BN2,AM2),0)</f>
        <v>0</v>
      </c>
      <c r="CO2" s="324">
        <f>VLOOKUP(CN2,ERF_Table,2,FALSE)</f>
        <v>1</v>
      </c>
      <c r="CP2" s="77">
        <f>[1]!anb(W2,BN2)</f>
        <v>72</v>
      </c>
      <c r="CQ2" s="77">
        <f>IF(OR(Z2="NULL",ISBLANK(Z2)),"NULL",[1]!anb(Z2,BN2))</f>
        <v>70</v>
      </c>
      <c r="CR2" s="100">
        <f>IF(CI2="2",1,ROUND([1]!BFCFAEQ("SLA",BR2,BT2,0,IF(OR(CI2="9",CI2="0"),"JSC","SLA"),CJ2,CK2,0,CP2,IF(CQ2="NULL",0,CQ2),S2,IF(AND(ISBLANK(T2),S2="M"),"F","M"),0.065,"GM71","GM71","MP","","","",""),4))</f>
        <v>0.86599999999999999</v>
      </c>
      <c r="CS2" s="113">
        <f>[1]!COMPM(AM2,MAX(AM2,BN2))</f>
        <v>84</v>
      </c>
      <c r="CT2" s="100">
        <f>IF(AI2&gt;AM2,ROUND([1]!LRFAEQ(0.065,S2,AN2,[1]!COMPM(AM2,AI2),BT2,"GM71","GM71","MP","Y",,,AN2),4),"NULL")</f>
        <v>1.3405</v>
      </c>
      <c r="CU2" s="100">
        <f>IF(AI2&gt;AM2,ROUND([1]!LRFAEQ(0.065,S2,AN2,CS2,BT2,"GM71","GM71","MP","Y",,,AN2)/CT2,4),ROUND([1]!LRFAEQ(0.065,S2,AN2,CS2,BT2,"GM71","GM71","MP","N",,,AN2),4))</f>
        <v>1.7914000000000001</v>
      </c>
      <c r="CV2" s="266">
        <f>ROUND(AW2*CO2*CR2*CU2,2)</f>
        <v>5578.94</v>
      </c>
      <c r="CW2" s="266">
        <f>ROUND(AW2*CO2*CU2,2)</f>
        <v>6442.2</v>
      </c>
      <c r="CX2" s="31">
        <f>IF(DATE(YEAR($W2)+65,MONTH($W2),DAY($W2))&lt;BN2,0,[1]!COMPM(BN2,DATE(YEAR($W2)+65,MONTH($W2),DAY($W2))))</f>
        <v>0</v>
      </c>
      <c r="CY2" s="115">
        <f>[1]!PBGCERF(CX2)</f>
        <v>1</v>
      </c>
      <c r="CZ2" s="31">
        <f>IF(DATE(YEAR($W2)+65,MONTH($W2),DAY($W2))&gt;=BN2,0,[1]!COMPM(DATE(YEAR($W2)+65,MONTH($W2),DAY($W2)),BN2))</f>
        <v>84</v>
      </c>
      <c r="DA2" s="115">
        <f>[1]!PBGCLRF(65+CZ2/12)</f>
        <v>2.2120000000000002</v>
      </c>
      <c r="DB2" s="144">
        <f>ROUND([1]!PBGCBFCF2("SLA",0,0,IF(OR(CI2="0",CI2="9"),"JSC","SLA"),CJ2,CK2,CP2,IF(CQ2="NULL",0,CQ2)),4)</f>
        <v>0.88200000000000001</v>
      </c>
      <c r="DC2" s="7">
        <f t="shared" ref="DC2" si="2">ROUND(PBGC_MAX*CY2*DA2*DB2,2)</f>
        <v>9344.76</v>
      </c>
      <c r="DD2" s="7">
        <f>MIN(CV2,DC2)</f>
        <v>5578.94</v>
      </c>
      <c r="DE2" s="100">
        <f>IF(OR(AJ2&gt;DOPT,AND(Z2&gt;DOPT,CG2="N")),0,[1]!QPSAPVF("MP","SLA",DOPT,R2,S2,IF(S2="M","F","M"),AX2,CP2,IF(AY2="NULL",AX2+IF(S2="M",-4,4),AY2),IF(BO2="NULL",CP2+IF(S2="M",-4,4),CQ2),CE2,CF2,0))</f>
        <v>0</v>
      </c>
      <c r="DF2" s="115">
        <f>ROUND([1]!NPVF2("MP",IF(CI2="9","JSC","SLA"),"N",Annuity_Rates,S2,AX2,BM2,IF(BO2="NULL",0,BO2),CJ2,CK2,0,DOPT,DOPT,"P","","",R2),4)</f>
        <v>13.777200000000001</v>
      </c>
      <c r="DG2" s="100">
        <f>IF(AX2&gt;=BM2,0,ROUND(1-[1]!lx(IF(S2="M","2M13","2F13"),S2,BM2)/[1]!lx(IF(S2="M","2M13","2F13"),S2,AX2),4))</f>
        <v>0</v>
      </c>
      <c r="DH2" s="317">
        <f>IF(AND(G2="V",V2="S"),ROUND(DD2*DF2*12*DG2,0),0)</f>
        <v>0</v>
      </c>
      <c r="DI2" s="267">
        <f>IF(V2="S",ROUND(DH2/(DF2*12),2),0)</f>
        <v>0</v>
      </c>
      <c r="DJ2" s="267">
        <f>0</f>
        <v>0</v>
      </c>
      <c r="DK2" s="238">
        <f>PC6_4022C_AR</f>
        <v>0.17230000000000001</v>
      </c>
      <c r="DL2" s="7">
        <f>IF(V2="S",ROUND((DH2*DK2)/(DF2*12),2),0)</f>
        <v>0</v>
      </c>
      <c r="DM2" s="45">
        <f>DD2+DL2</f>
        <v>5578.94</v>
      </c>
      <c r="DN2" s="45">
        <f>IF(OR(CI2="9",CI2="0"),ROUND(DM2*CJ2,2),0)</f>
        <v>2789.47</v>
      </c>
      <c r="DO2" s="45" t="str">
        <f>IF(OR(AND(F2="XRD",G2="V"),CV2&lt;=DC2),"NULL","The benefits PBGC guarantees are limited by federal pension law to PBGC's maximum monthly amount that was in effect on the date of plan termination.  This amount is adjusted to reflect the participant's age and form of annuity.")</f>
        <v>NULL</v>
      </c>
      <c r="DP2" s="45" t="str">
        <f>IF(OR(AND(F2="XRD",G2="V"),DL2=0),"NULL","Under Section 4022(c) of ERISA, PBGC has allocated additional funds to non-guaranteed benefits based on PBGC's experience in recovering on claims against plan sponsors. PBGC has, therefore, increased your monthly benefit, as shown below.")</f>
        <v>NULL</v>
      </c>
      <c r="DQ2" s="152" t="str">
        <f>IF(OR(AND(F2="XRD",G2="V"),CH2="0",CH2="1",CH2="2",AND(NOT(ISBLANK(AJ2)),AJ2&lt;BN2,D2="1",DN2="NULL"),AND(V2="S",Q2="N"),D2&lt;&gt;"1"),"NULL",DM2/CR2)</f>
        <v>NULL</v>
      </c>
      <c r="DR2" s="152" t="str">
        <f>IF(OR(AND(F2="XRD",G2="V"),CH2="0",CH2="1",CH2="2",AND(NOT(ISBLANK(AJ2)),AJ2&lt;BN2,D2="1",DN2="NULL")),"NULL",IF(OR(D2="4",AND(NOT(ISBLANK(AJ2)),AJ2&lt;=BN2)),[1]!PBGCOFA(DOPT,Z2,0,0,"N",BN2,"MP","SLA",0,0,0,IF(D2="1",DN2,DM2),0,0,"VALUE",0,0,0,0,0,0,0),[1]!PBGCOFA(DOPT,W2,0,0,"N",BN2,"MP","SLA",0,IF(F2="DORNSF",CK2,BT2),0,DM2/CR2,0,0,"VALUE",0,0,0,0,0,0,0)))</f>
        <v>NULL</v>
      </c>
      <c r="DS2" s="152" t="str">
        <f>IF(OR(AND(F2="XRD",G2="V"),CH2="0",CH2="1",CH2="2",AND(NOT(ISBLANK(AJ2)),AJ2&lt;BN2,D2="1",DN2="NULL")),"NULL",IF(OR(D2="4",AND(NOT(ISBLANK(AJ2)),AJ2&lt;=BN2)),[1]!PBGCOFA(DOPT,Z2,0,0,"N",BN2,"MP","SLA",0,0,0,IF(D2="1",DN2,DM2),0,0,"SLA",0,0,0,0,0,0,0),[1]!PBGCOFA(DOPT,W2,0,0,"N",BN2,"MP","SLA",0,IF(F2="DORNSF",CK2,BT2),0,DM2/CR2,0,0,"SLA",0,0,0,0,0,0,0)))</f>
        <v>NULL</v>
      </c>
      <c r="DT2" s="170" t="str">
        <f>IF(OR(AND(F2="XRD",G2="V"),CH2="0",CH2="1",CH2="2",AND(NOT(ISBLANK(AJ2)),AJ2&lt;BN2,D2="1",DN2="NULL")),"NULL",IF(OR(D2="4",AND(NOT(ISBLANK(AJ2)),AJ2&lt;=BN2)),[1]!PBGCOFA(DOPT,Z2,0,0,"N",BN2,"MP","SLA",0,0,0,IF(D2="1",DN2,DM2),0,0,"5CC",0,0,0,0,0,0,0),[1]!PBGCOFA(DOPT,W2,0,0,"N",BN2,"MP","SLA",0,IF(F2="DORNSF",CK2,BT2),0,DS2,0,0,"5CC",0,0,0,0,0,0,0)))</f>
        <v>NULL</v>
      </c>
      <c r="DU2" s="170" t="str">
        <f>IF(OR(AND(F2="XRD",G2="V"),CH2="0",CH2="1",CH2="2",AND(NOT(ISBLANK(AJ2)),AJ2&lt;BN2,D2="1",DN2="NULL")),"NULL",IF(OR(D2="4",AND(NOT(ISBLANK(AJ2)),AJ2&lt;=BN2)),[1]!PBGCOFA(DOPT,Z2,0,0,"N",BN2,"MP","SLA",0,0,0,IF(D2="1",DN2,DM2),0,0,"10CC",0,0,0,0,0,0,0),[1]!PBGCOFA(DOPT,W2,0,0,"N",BN2,"MP","SLA",0,IF(F2="DORNSF",CK2,BT2),0,DS2,0,0,"10CC",0,0,0,0,0,0,0)))</f>
        <v>NULL</v>
      </c>
      <c r="DV2" s="170" t="str">
        <f>IF(OR(AND(F2="XRD",G2="V"),CH2="0",CH2="1",CH2="2",AND(NOT(ISBLANK(AJ2)),AJ2&lt;BN2,D2="1",DN2="NULL")),"NULL",IF(OR(D2="4",AND(NOT(ISBLANK(AJ2)),AJ2&lt;=BN2)),[1]!PBGCOFA(DOPT,Z2,0,0,"N",BN2,"MP","SLA",0,0,0,IF(D2="1",DN2,DM2),0,0,"15CC",0,0,0,0,0,0,0),[1]!PBGCOFA(DOPT,W2,0,0,"N",BN2,"MP","SLA",0,IF(F2="DORNSF",CK2,BT2),0,DS2,0,0,"15CC",0,0,0,0,0,0,0)))</f>
        <v>NULL</v>
      </c>
      <c r="DW2" s="170" t="str">
        <f>IF(OR(AND(F2="XRD",G2="V"),CH2="0",CH2="1",CH2="2"),"NULL",IF(AND(OR(BV2="9",BV2="0"),D2="1",OR(ISBLANK(AJ2),AJ2&gt;BN2)),[1]!PBGCOFA(DOPT,W2,IF(RIGHT(F2,5)="NMFSP",Z2,X2),Y2,Q2,BN2,"MP","JSC",BS2,BU2,0,DM2,0,DS2,"VALUE",0,0,0,0,0,0,0),"NULL"))</f>
        <v>NULL</v>
      </c>
      <c r="DX2" s="152" t="str">
        <f>IF(OR(AND(F2="XRD",G2="V"),CH2="0",CH2="1",CH2="2"),"NULL",IF(AND(OR(BV2="9",BV2="0"),D2="1",OR(ISBLANK(AJ2),AJ2&gt;BN2)),[1]!PBGCOFA(DOPT,W2,IF(RIGHT(F2,5)="NMFSP",Z2,X2),Y2,Q2,BN2,"MP","JSC",BS2,BU2,0,DM2,0,DS2,"JS50",0,0,0,0,0,0,0),"NULL"))</f>
        <v>NULL</v>
      </c>
      <c r="DY2" s="170" t="str">
        <f t="shared" ref="DY2" si="3">IF(DX2="NULL","NULL",ROUND(DX2*0.5,2))</f>
        <v>NULL</v>
      </c>
      <c r="DZ2" s="152" t="str">
        <f>IF(OR(AND(F2="XRD",G2="V"),CH2="0",CH2="1",CH2="2"),"NULL",IF(AND(OR(BV2="9",BV2="0"),D2="1",OR(ISBLANK(AJ2),AJ2&gt;BN2)),[1]!PBGCOFA(DOPT,W2,IF(RIGHT(F2,5)="NMFSP",Z2,X2),Y2,Q2,BN2,"MP","JSC",BS2,BU2,0,DM2,0,DS2,"JS75",0,0,0,0,0,0,0),"NULL"))</f>
        <v>NULL</v>
      </c>
      <c r="EA2" s="170" t="str">
        <f t="shared" ref="EA2" si="4">IF(DZ2="NULL","NULL",ROUND(DZ2*0.75,2))</f>
        <v>NULL</v>
      </c>
      <c r="EB2" s="170" t="str">
        <f>IF(OR(AND(F2="XRD",G2="V"),CH2="0",CH2="1",CH2="2"),"NULL",IF(AND(OR(BV2="9",BV2="0"),D2="1",OR(ISBLANK(AJ2),AJ2&gt;BN2)),[1]!PBGCOFA(DOPT,W2,IF(RIGHT(F2,5)="NMFSP",Z2,X2),Y2,Q2,BN2,"MP","JSC",BS2,BU2,0,DM2,0,DS2,"JS100",0,0,0,0,0,0,0),"NULL"))</f>
        <v>NULL</v>
      </c>
      <c r="EC2" s="170" t="str">
        <f>IF(OR(AND(F2="XRD",G2="V"),CH2="0",CH2="1",CH2="2"),"NULL",IF(AND(OR(BV2="9",BV2="0"),D2="1",OR(ISBLANK(AJ2),AJ2&gt;BN2),DS2&lt;&gt;"NULL"),[1]!PBGCOFA(DOPT,W2,IF(RIGHT(F2,5)="NMFSP",Z2,X2),Y2,Q2,BN2,"MP","JSC",BS2,BU2,0,DM2,0,DS2,"JSPOP",0,0,0,0,0,0,0),"NULL"))</f>
        <v>NULL</v>
      </c>
      <c r="ED2" s="45"/>
      <c r="EE2" s="45"/>
      <c r="EF2" s="266" t="str">
        <f>IF(AND(F2="DOR",G2="V",OR(AND(CH2="1",BV2="9"),AND(CH2="0",BV2="2"))),DM2,IF(OR(AND(F2="XRD",G2="V"),ISBLANK(CH2),CH2&lt;&gt;"3"),"NULL",IF(CG2="Y",IF(BY2="2",DS2,IF(BZ2=60,DT2,IF(BZ2=120,DU2,DV2))),IF(BV2="2",DS2,IF(BV2="0",EC2,IF(BW2=0.5,DX2,IF(BW2=0.75,DZ2,IF(BW2=1,EB2,IF(BX2=60,DT2,IF(BX2=120,DU2,DV2))))))))))</f>
        <v>NULL</v>
      </c>
      <c r="EG2" s="266" t="str">
        <f>IF(BV2="0",CW2,"NULL")</f>
        <v>NULL</v>
      </c>
      <c r="EH2" s="266" t="str">
        <f>IF(AND(F2="XRD",G2="V"),"NULL",IF(CG2="Y",IF(BY2=2,"Straight Life Annuity",TEXT(BZ2/12,"0")&amp;"-Year Certain-and-Continuous Annuity"),IF(BV2="2","Straight Life Annuity",IF(BV2="5",TEXT(BX2/12,"0")&amp;"-Year Certain-and-Continuous Annuity",IF(BV2="0","Joint-and-50% Survivor Popup Annuity","Joint-and-"&amp;TEXT(BW2*100,"00")&amp;"% Survivor Annuity")))))</f>
        <v>NULL</v>
      </c>
      <c r="EI2" s="45" t="str">
        <f>IF(OR(AND(F2="XRD",G2="V"),ISBLANK(ED2)),"NULL",IF(AND(IF(ISBLANK(EE2),ED2,EE2)&gt;IF(OR(NOT(ISBLANK(EE2)),EF2="NULL"),IF(DN2="NULL",DM2,DN2),EF2),IF(ISBLANK(EE2),ED2,EE2)-IF(OR(NOT(ISBLANK(EE2)),EF2="NULL"),IF(DN2="NULL",DM2,DN2),EF2)&gt;=5),"D",IF(AND(IF(ISBLANK(EE2),ED2,EE2)&gt;IF(OR(NOT(ISBLANK(EE2)),EF2="NULL"),IF(DN2="NULL",DM2,DN2),EF2),IF(ISBLANK(EE2),ED2,EE2)-IF(OR(NOT(ISBLANK(EE2)),EF2="NULL"),IF(DN2="NULL",DM2,DN2),EF2)&lt;5),"N",IF(IF(ISBLANK(EE2),ED2,EE2)=IF(OR(NOT(ISBLANK(EE2)),EF2="NULL"),IF(DN2="NULL",DM2,DN2),EF2),"M","I"))))</f>
        <v>NULL</v>
      </c>
      <c r="EJ2" s="45" t="str">
        <f>IF(OR(AND(F2="XRD",G2="V"),ISBLANK(ED2)),"NULL",IF(EI2="D","Your current monthly benefit of $"&amp;TEXT(IF(ISBLANK(EE2),ED2,EE2),"0.00")&amp;" will decrease to $"&amp;TEXT(IF(OR(NOT(ISBLANK(EE2)),EF2="NULL"),IF(DN2="NULL",DM2,DN2),EF2),"0.00")&amp;" because of the limitations placed on the monthly benefit payable at DOPT.  See the Benefit Calculation section for further details.",IF(EI2="N","Your current monthly benefit of $"&amp;TEXT(IF(ISBLANK(EE2),ED2,EE2),"0.00")&amp;" will not change. Although the amount of the PBGC monthly benefit shown above is slightly less than the amount you are currently receiving, we will not change the amount of your current monthly benefit",IF(EI2="I","Your current monthly benefit of $"&amp;TEXT(IF(ISBLANK(EE2),ED2,EE2),"0.00")&amp;" will increase to $"&amp;TEXT(IF(OR(NOT(ISBLANK(EE2)),EF2="NULL"),IF(DN2="NULL",DM2,DN2),EF2),"0.00")&amp;".","Your current monthly benefit of $"&amp;TEXT(IF(ISBLANK(EE2),ED2,EE2),"0.00")&amp;" will not change."))))</f>
        <v>NULL</v>
      </c>
      <c r="EK2" s="169">
        <f>ROUND(DD2*DF2*12,0)</f>
        <v>922346</v>
      </c>
      <c r="EL2" s="169">
        <f>0</f>
        <v>0</v>
      </c>
      <c r="EM2" s="169">
        <f>0</f>
        <v>0</v>
      </c>
      <c r="EN2" s="169">
        <f t="shared" ref="EN2" si="5">EK2+EL2</f>
        <v>922346</v>
      </c>
      <c r="EO2" s="169">
        <f>ROUND(DL2*DF2*12,0)</f>
        <v>0</v>
      </c>
      <c r="EP2" s="169">
        <f t="shared" ref="EP2" si="6">EK2+EO2</f>
        <v>922346</v>
      </c>
      <c r="EQ2" s="169">
        <f t="shared" ref="EQ2" si="7">IF(CI2="9",ROUND(DD2*CB2*DE2*12,0),0)</f>
        <v>0</v>
      </c>
      <c r="ER2" s="169">
        <f>EQ2+EM2</f>
        <v>0</v>
      </c>
      <c r="ES2" s="169">
        <f>0</f>
        <v>0</v>
      </c>
      <c r="ET2" s="169">
        <f>EQ2+ES2</f>
        <v>0</v>
      </c>
      <c r="EU2" s="20">
        <f>EK2+EQ2</f>
        <v>922346</v>
      </c>
      <c r="EV2" s="20">
        <f>DH2</f>
        <v>0</v>
      </c>
      <c r="EW2" s="49">
        <f>EU2+EV2</f>
        <v>922346</v>
      </c>
      <c r="EX2" s="49">
        <f>EO2+ES2</f>
        <v>0</v>
      </c>
      <c r="EY2" s="49">
        <f>EU2+EX2</f>
        <v>922346</v>
      </c>
      <c r="EZ2" s="17">
        <f t="shared" ref="EZ2" si="8">Load_Percent</f>
        <v>1.11E-2</v>
      </c>
      <c r="FA2" s="20">
        <f t="shared" ref="FA2" si="9">ROUND(EU2*EZ2,0)</f>
        <v>10238</v>
      </c>
      <c r="FB2" s="20">
        <f>ROUND(EV2*EZ2,0)</f>
        <v>0</v>
      </c>
      <c r="FC2" s="49">
        <f>FB2</f>
        <v>0</v>
      </c>
      <c r="FD2" s="49">
        <f t="shared" ref="FD2" si="10">FA2+FC2</f>
        <v>10238</v>
      </c>
      <c r="FE2" s="49">
        <f>ROUND(EX2*EZ2,0)</f>
        <v>0</v>
      </c>
      <c r="FF2" s="49">
        <f>FA2+FE2</f>
        <v>10238</v>
      </c>
      <c r="FG2" s="49">
        <f>EU2+FA2</f>
        <v>932584</v>
      </c>
      <c r="FH2" s="49">
        <f>DH2+FB2</f>
        <v>0</v>
      </c>
      <c r="FI2" s="49">
        <f>EV2+FC2</f>
        <v>0</v>
      </c>
      <c r="FJ2" s="49">
        <f>FG2+FI2</f>
        <v>932584</v>
      </c>
      <c r="FK2" s="49">
        <f t="shared" ref="FK2" si="11">EX2+FE2</f>
        <v>0</v>
      </c>
      <c r="FL2" s="49">
        <f>FG2+FK2</f>
        <v>932584</v>
      </c>
      <c r="FM2" s="100">
        <f>IF(CI2="2",1,ROUND([1]!BFCFAEQ("SLA",BR2,BT2,0,IF(OR(CI2="9",CI2="0"),"JSC","SLA"),CJ2,CK2,0,CP2,CP2,S2,IF(S2="M","F","M"),0.065,"GM71","GM71","MP","","","",""),4))</f>
        <v>0.88049999999999995</v>
      </c>
      <c r="FN2" s="115">
        <f>IF(OR(CI2="2",NOT(ISBLANK(X2))),1,ROUND(FM2/CR2,4))</f>
        <v>1</v>
      </c>
      <c r="FO2" s="45">
        <f>ROUND(DM2*FN2,2)</f>
        <v>5578.94</v>
      </c>
      <c r="FP2" s="31">
        <f>ROUND([1]!NPVF2("MP",IF(CI2="9","JSC","SLA"),"O",LS_Rates,S2,AX2,BM2,IF(ISBLANK(X2),BM2,IF(BO2="NULL",0,BO2)),CJ2,CK2,0,DOPT,DOPT,"P","",""),4)</f>
        <v>12.368</v>
      </c>
      <c r="FQ2" s="186">
        <f>ROUND(12*FP2*FO2,0)</f>
        <v>828004</v>
      </c>
      <c r="FR2" s="250" t="str">
        <f>IF(CG2="Y",ROUND([1]!NPVF2("MP","SLA","O",LS_Rates,IF(S2="M","F","M"),AY2,BO2,0,0,0,0,DOPT,DOPT,"P","",""),4),"NULL")</f>
        <v>NULL</v>
      </c>
      <c r="FS2" s="40" t="str">
        <f>IF(CG2="Y",ROUND(DN2*FR2*12,0),"NULL")</f>
        <v>NULL</v>
      </c>
      <c r="FT2" s="186"/>
      <c r="FU2" s="186">
        <v>733000</v>
      </c>
      <c r="FV2" s="186">
        <f>IF(FU2&gt;0,MAX(FQ2-FU2,0),"NULL")</f>
        <v>95004</v>
      </c>
      <c r="FW2" s="31" t="str">
        <f>IF(FQ2&lt;=5000,"Y","N")</f>
        <v>N</v>
      </c>
      <c r="FX2" s="31" t="str">
        <f t="shared" ref="FX2" si="12">IF(FQ2&gt;5000,"A","L")</f>
        <v>A</v>
      </c>
      <c r="FY2" s="186">
        <f>ROUND(EY2*AX2,0)</f>
        <v>66408912</v>
      </c>
      <c r="FZ2" s="186">
        <f>ROUND(EY2*BM2,0)</f>
        <v>66408912</v>
      </c>
      <c r="GA2" s="60" t="e">
        <f ca="1">MIN(MAX([1]!NRD(TODAY(),0),BE2),BD2)</f>
        <v>#NAME?</v>
      </c>
      <c r="GB2" s="205">
        <v>73020</v>
      </c>
      <c r="GC2" s="60" t="e">
        <f ca="1">MIN(MAX([1]!NRD(TODAY(),0),BA2),BD2)</f>
        <v>#NAME?</v>
      </c>
      <c r="GD2" s="205">
        <v>73020</v>
      </c>
      <c r="GE2" s="186" t="str">
        <f>IF(D2="2","SB",IF(BN2&lt;AM2,"ER","NR"))</f>
        <v>NR</v>
      </c>
      <c r="GF2" s="45" t="str">
        <f>"Y"</f>
        <v>Y</v>
      </c>
      <c r="GG2" s="45" t="str">
        <f>IF(OR(G2="R",ISBLANK(BJ2)),"Y","N")</f>
        <v>N</v>
      </c>
      <c r="GH2" s="45" t="str">
        <f>IF(GF2="N","N",IF(OR(G2="R",ISBLANK(BJ2)),"Y","N"))</f>
        <v>N</v>
      </c>
      <c r="GI2" s="87">
        <v>0</v>
      </c>
      <c r="GJ2" s="3" t="s">
        <v>140</v>
      </c>
      <c r="GK2" s="3" t="s">
        <v>140</v>
      </c>
      <c r="GL2" s="3" t="s">
        <v>449</v>
      </c>
      <c r="GM2" s="3" t="s">
        <v>449</v>
      </c>
      <c r="GN2" s="3" t="s">
        <v>449</v>
      </c>
      <c r="GO2" s="3" t="s">
        <v>449</v>
      </c>
      <c r="GP2" s="3" t="s">
        <v>449</v>
      </c>
      <c r="GQ2" s="3" t="s">
        <v>449</v>
      </c>
    </row>
    <row r="3" spans="1:199" ht="13.5" thickBot="1">
      <c r="A3" s="102"/>
      <c r="B3" s="158"/>
      <c r="C3" s="158"/>
      <c r="D3" s="158"/>
      <c r="E3" s="158"/>
      <c r="F3" s="8"/>
      <c r="G3" s="8"/>
      <c r="H3" s="158"/>
      <c r="I3" s="158"/>
      <c r="J3" s="158"/>
      <c r="K3" s="158"/>
      <c r="L3" s="158"/>
      <c r="M3" s="158"/>
      <c r="N3" s="158"/>
      <c r="O3" s="158"/>
      <c r="P3" s="158"/>
      <c r="Q3" s="158"/>
      <c r="R3" s="58"/>
      <c r="S3" s="58"/>
      <c r="T3" s="58"/>
      <c r="U3" s="44"/>
      <c r="V3" s="44"/>
      <c r="W3" s="44"/>
      <c r="X3" s="44"/>
      <c r="Y3" s="235"/>
      <c r="Z3" s="235"/>
      <c r="AA3" s="235"/>
      <c r="AB3" s="235"/>
      <c r="AC3" s="235"/>
      <c r="AD3" s="44"/>
      <c r="AE3" s="58"/>
      <c r="AF3" s="58"/>
      <c r="AG3" s="58"/>
      <c r="AH3" s="58"/>
      <c r="AI3" s="58"/>
      <c r="AJ3" s="58"/>
      <c r="AK3" s="4"/>
      <c r="AL3" s="4"/>
      <c r="AM3" s="58"/>
      <c r="AN3" s="120"/>
      <c r="AO3" s="58"/>
      <c r="AP3" s="58"/>
      <c r="AQ3" s="241"/>
      <c r="AR3" s="56"/>
      <c r="AS3" s="243"/>
      <c r="AT3" s="243"/>
      <c r="AU3" s="243"/>
      <c r="AV3" s="56"/>
      <c r="AW3" s="243"/>
      <c r="AX3" s="243"/>
      <c r="AY3" s="58"/>
      <c r="AZ3" s="146"/>
      <c r="BA3" s="58"/>
      <c r="BB3" s="58"/>
      <c r="BC3" s="58"/>
      <c r="BD3" s="241"/>
      <c r="BE3" s="241"/>
      <c r="BF3" s="241"/>
      <c r="BG3" s="241"/>
      <c r="BH3" s="303"/>
      <c r="BI3" s="303"/>
      <c r="BJ3" s="241"/>
      <c r="BK3" s="241"/>
      <c r="BL3" s="241"/>
      <c r="BM3" s="241"/>
      <c r="BN3" s="241"/>
      <c r="BO3" s="241"/>
      <c r="BP3" s="241"/>
      <c r="BQ3" s="241"/>
      <c r="BR3" s="241"/>
      <c r="BS3" s="241"/>
      <c r="BT3" s="241"/>
      <c r="BU3" s="241"/>
      <c r="BV3" s="241"/>
      <c r="BW3" s="241"/>
      <c r="BX3" s="241"/>
      <c r="BY3" s="241"/>
      <c r="BZ3" s="241"/>
      <c r="CA3" s="311"/>
      <c r="CB3" s="241"/>
      <c r="CC3" s="241"/>
      <c r="CD3" s="241"/>
      <c r="CE3" s="241"/>
      <c r="CF3" s="241"/>
      <c r="CG3" s="241"/>
      <c r="CH3" s="241"/>
      <c r="CI3" s="241"/>
      <c r="CJ3" s="241"/>
      <c r="CK3" s="241"/>
      <c r="CL3" s="241"/>
      <c r="CM3" s="241"/>
      <c r="CN3" s="241"/>
      <c r="CO3" s="241"/>
      <c r="CP3" s="241"/>
      <c r="CQ3" s="241"/>
      <c r="CR3" s="241"/>
      <c r="CS3" s="241"/>
      <c r="CT3" s="241"/>
      <c r="CU3" s="241"/>
      <c r="CV3" s="241"/>
      <c r="CW3" s="241"/>
      <c r="CX3" s="241"/>
      <c r="CY3" s="241"/>
      <c r="CZ3" s="241"/>
      <c r="DA3" s="241"/>
      <c r="DB3" s="241"/>
      <c r="DC3" s="241"/>
      <c r="DD3" s="241"/>
      <c r="DE3" s="241"/>
      <c r="DF3" s="241"/>
      <c r="DG3" s="241"/>
      <c r="DH3" s="241"/>
      <c r="DI3" s="241"/>
      <c r="DJ3" s="241"/>
      <c r="DK3" s="241"/>
      <c r="DL3" s="241"/>
      <c r="DM3" s="241"/>
      <c r="DN3" s="241"/>
      <c r="DO3" s="241"/>
      <c r="DP3" s="241"/>
      <c r="DQ3" s="241"/>
      <c r="DR3" s="241"/>
      <c r="DS3" s="241"/>
      <c r="DT3" s="241"/>
      <c r="DU3" s="241"/>
      <c r="DV3" s="241"/>
      <c r="DW3" s="241"/>
      <c r="DX3" s="241"/>
      <c r="DY3" s="241"/>
      <c r="DZ3" s="241"/>
      <c r="EA3" s="241"/>
      <c r="EB3" s="241"/>
      <c r="EC3" s="241"/>
      <c r="ED3" s="241"/>
      <c r="EE3" s="241"/>
      <c r="EF3" s="241"/>
      <c r="EG3" s="241"/>
      <c r="EH3" s="241"/>
      <c r="EI3" s="241"/>
      <c r="EJ3" s="241"/>
      <c r="EK3" s="241"/>
      <c r="EL3" s="241"/>
      <c r="EM3" s="241"/>
      <c r="EN3" s="241"/>
      <c r="EO3" s="241"/>
      <c r="EP3" s="241"/>
      <c r="EQ3" s="241"/>
      <c r="ER3" s="241"/>
      <c r="ES3" s="241"/>
      <c r="ET3" s="241"/>
      <c r="EU3" s="241"/>
      <c r="EV3" s="241"/>
      <c r="EW3" s="241"/>
      <c r="EX3" s="241"/>
      <c r="EY3" s="241"/>
      <c r="EZ3" s="241"/>
      <c r="FA3" s="241"/>
      <c r="FB3" s="241"/>
      <c r="FC3" s="241"/>
      <c r="FD3" s="241"/>
      <c r="FE3" s="241"/>
      <c r="FF3" s="241"/>
      <c r="FG3" s="241"/>
      <c r="FH3" s="241"/>
      <c r="FI3" s="241"/>
      <c r="FJ3" s="241"/>
      <c r="FK3" s="241"/>
      <c r="FL3" s="241"/>
      <c r="FM3" s="241"/>
      <c r="FN3" s="241"/>
      <c r="FO3" s="241"/>
      <c r="FP3" s="241"/>
      <c r="FQ3" s="241"/>
      <c r="FR3" s="241"/>
      <c r="FS3" s="241"/>
      <c r="FT3" s="241"/>
      <c r="FU3" s="241"/>
      <c r="FV3" s="241"/>
      <c r="FW3" s="241"/>
      <c r="FX3" s="241"/>
      <c r="FY3" s="241"/>
      <c r="FZ3" s="241"/>
      <c r="GA3" s="241"/>
      <c r="GB3" s="241"/>
      <c r="GC3" s="146"/>
      <c r="GD3" s="146"/>
      <c r="GE3" s="241"/>
      <c r="GF3" s="241"/>
      <c r="GG3" s="241"/>
      <c r="GH3" s="241"/>
      <c r="GI3" s="241"/>
      <c r="GJ3" s="241"/>
      <c r="GK3" s="241"/>
      <c r="GL3" s="241"/>
      <c r="GM3" s="241"/>
      <c r="GN3" s="241"/>
      <c r="GO3" s="241"/>
      <c r="GP3" s="241"/>
      <c r="GQ3" s="241"/>
    </row>
    <row r="4" spans="1:199" ht="13.5" thickTop="1">
      <c r="A4" s="201"/>
      <c r="B4" s="216"/>
      <c r="D4" s="15"/>
      <c r="E4" s="15"/>
      <c r="F4" s="8"/>
      <c r="G4" s="8"/>
      <c r="H4" s="206"/>
      <c r="I4" s="206"/>
      <c r="J4" s="206"/>
      <c r="K4" s="206"/>
      <c r="L4" s="206"/>
      <c r="M4" s="206"/>
      <c r="N4" s="206"/>
      <c r="O4" s="206"/>
      <c r="P4" s="206"/>
      <c r="Q4" s="206"/>
      <c r="R4" s="31"/>
      <c r="S4" s="31"/>
      <c r="T4" s="31"/>
      <c r="U4" s="205"/>
      <c r="V4" s="205"/>
      <c r="W4" s="205"/>
      <c r="X4" s="205"/>
      <c r="Y4" s="32"/>
      <c r="Z4" s="32"/>
      <c r="AA4" s="32"/>
      <c r="AB4" s="32"/>
      <c r="AC4" s="32"/>
      <c r="AD4" s="205"/>
      <c r="AE4" s="31"/>
      <c r="AF4" s="31"/>
      <c r="AG4" s="31"/>
      <c r="AH4" s="31"/>
      <c r="AI4" s="31"/>
      <c r="AJ4" s="31"/>
      <c r="AK4" s="60"/>
      <c r="AL4" s="60"/>
      <c r="AM4" s="31"/>
      <c r="AN4" s="33"/>
      <c r="AO4" s="31"/>
      <c r="AP4" s="31"/>
      <c r="AQ4" s="45"/>
      <c r="AR4" s="100"/>
      <c r="AS4" s="49"/>
      <c r="AT4" s="49"/>
      <c r="AU4" s="49"/>
      <c r="AV4" s="100"/>
      <c r="AW4" s="49"/>
      <c r="AX4" s="49"/>
      <c r="AY4" s="31"/>
      <c r="AZ4" s="186"/>
      <c r="BA4" s="31"/>
      <c r="BB4" s="31"/>
      <c r="BC4" s="31"/>
      <c r="BD4" s="45"/>
      <c r="BE4" s="45"/>
      <c r="BF4" s="45"/>
      <c r="BG4" s="45"/>
      <c r="BH4" s="304"/>
      <c r="BI4" s="304"/>
      <c r="BJ4" s="45"/>
      <c r="BK4" s="45"/>
      <c r="BL4" s="45"/>
      <c r="BM4" s="45"/>
      <c r="BN4" s="45"/>
      <c r="BO4" s="45"/>
      <c r="BP4" s="45"/>
      <c r="BQ4" s="45"/>
      <c r="BR4" s="45"/>
      <c r="BS4" s="45"/>
      <c r="BT4" s="45"/>
      <c r="BU4" s="45"/>
      <c r="BV4" s="45"/>
      <c r="BW4" s="45"/>
      <c r="BX4" s="45"/>
      <c r="BY4" s="45" t="s">
        <v>780</v>
      </c>
      <c r="BZ4" s="45"/>
      <c r="CA4" s="312"/>
      <c r="CB4" s="162"/>
      <c r="CC4" s="162"/>
      <c r="CD4" s="162"/>
      <c r="CE4" s="162"/>
      <c r="CF4" s="162"/>
      <c r="CG4" s="45"/>
      <c r="CH4" s="87"/>
      <c r="CI4" s="45"/>
      <c r="CJ4" s="45"/>
      <c r="CK4" s="45"/>
      <c r="CL4" s="45"/>
      <c r="CM4" s="45"/>
      <c r="CN4" s="45"/>
      <c r="CO4" s="45"/>
      <c r="CP4" s="45"/>
      <c r="CQ4" s="45"/>
      <c r="CR4" s="45"/>
      <c r="CS4" s="45"/>
      <c r="CT4" s="45"/>
      <c r="CU4" s="45"/>
      <c r="CV4" s="45"/>
      <c r="CW4" s="162"/>
      <c r="CX4" s="45"/>
      <c r="CY4" s="45"/>
      <c r="CZ4" s="45"/>
      <c r="DA4" s="45"/>
      <c r="DB4" s="45"/>
      <c r="DC4" s="45"/>
      <c r="DD4" s="45"/>
      <c r="DE4" s="100" t="s">
        <v>778</v>
      </c>
      <c r="DF4" s="266"/>
      <c r="DG4" s="162"/>
      <c r="DH4" s="162"/>
      <c r="DI4" s="162"/>
      <c r="DJ4" s="236"/>
      <c r="DK4" s="162"/>
      <c r="DL4" s="45"/>
      <c r="DM4" s="45"/>
      <c r="DN4" s="45"/>
      <c r="DO4" s="45"/>
      <c r="DP4" s="45"/>
      <c r="DQ4" s="45"/>
      <c r="DR4" s="45"/>
      <c r="DS4" s="45"/>
      <c r="DT4" s="45"/>
      <c r="DU4" s="45"/>
      <c r="DV4" s="45"/>
      <c r="DW4" s="45"/>
      <c r="DX4" s="45"/>
      <c r="DY4" s="45"/>
      <c r="DZ4" s="45"/>
      <c r="EA4" s="45"/>
      <c r="EB4" s="45"/>
      <c r="EC4" s="45"/>
      <c r="ED4" s="45"/>
      <c r="EE4" s="45"/>
      <c r="EF4" s="266" t="s">
        <v>717</v>
      </c>
      <c r="EG4" s="266"/>
      <c r="EH4" s="45"/>
      <c r="EI4" s="45"/>
      <c r="EJ4" s="45"/>
      <c r="EK4" s="280"/>
      <c r="EL4" s="281"/>
      <c r="EM4" s="169" t="s">
        <v>727</v>
      </c>
      <c r="EN4" s="45"/>
      <c r="EO4" s="45"/>
      <c r="EP4" s="45"/>
      <c r="EQ4" s="277"/>
      <c r="ER4" s="277"/>
      <c r="ES4" s="277"/>
      <c r="ET4" s="277"/>
      <c r="EU4" s="45"/>
      <c r="EV4" s="45"/>
      <c r="EW4" s="45"/>
      <c r="EX4" s="45"/>
      <c r="EY4" s="45"/>
      <c r="EZ4" s="268"/>
      <c r="FA4" s="268"/>
      <c r="FB4" s="268"/>
      <c r="FC4" s="268"/>
      <c r="FD4" s="268"/>
      <c r="FE4" s="268"/>
      <c r="FF4" s="268"/>
      <c r="FG4" s="45"/>
      <c r="FH4" s="45"/>
      <c r="FI4" s="45"/>
      <c r="FJ4" s="45"/>
      <c r="FK4" s="45"/>
      <c r="FL4" s="45"/>
      <c r="FM4" s="100"/>
      <c r="FN4" s="45"/>
      <c r="FO4" s="45"/>
      <c r="FP4" s="45"/>
      <c r="FQ4" s="45"/>
      <c r="FR4" s="45"/>
      <c r="FS4" s="45"/>
      <c r="FT4" s="318"/>
      <c r="FU4" s="318"/>
      <c r="FV4" s="318"/>
      <c r="FW4" s="45"/>
      <c r="FX4" s="45"/>
      <c r="FY4" s="45"/>
      <c r="FZ4" s="45"/>
      <c r="GA4" s="45"/>
      <c r="GB4" s="45"/>
      <c r="GC4" s="186"/>
      <c r="GD4" s="186"/>
      <c r="GE4" s="45"/>
      <c r="GF4" s="45"/>
      <c r="GG4" s="45"/>
      <c r="GH4" s="45"/>
      <c r="GI4" s="45"/>
      <c r="GJ4" s="45"/>
      <c r="GK4" s="45"/>
      <c r="GL4" s="45"/>
      <c r="GM4" s="45"/>
      <c r="GN4" s="45"/>
      <c r="GO4" s="45"/>
      <c r="GP4" s="45"/>
      <c r="GQ4" s="45"/>
    </row>
    <row r="5" spans="1:199">
      <c r="A5" s="201"/>
      <c r="B5" s="168"/>
      <c r="D5" s="15"/>
      <c r="E5" s="15"/>
      <c r="F5" s="8"/>
      <c r="G5" s="8"/>
      <c r="H5" s="15"/>
      <c r="I5" s="15"/>
      <c r="J5" s="15"/>
      <c r="K5" s="15"/>
      <c r="L5" s="15"/>
      <c r="M5" s="15"/>
      <c r="N5" s="15"/>
      <c r="O5" s="15"/>
      <c r="P5" s="15"/>
      <c r="Q5" s="15"/>
      <c r="R5" s="15"/>
      <c r="S5" s="55"/>
      <c r="T5" s="55"/>
      <c r="U5" s="55"/>
      <c r="V5" s="55"/>
      <c r="W5" s="55"/>
      <c r="X5" s="55"/>
      <c r="Y5" s="55"/>
      <c r="Z5" s="55"/>
      <c r="AA5" s="55"/>
      <c r="AB5" s="55"/>
      <c r="AC5" s="15"/>
      <c r="AD5" s="15"/>
      <c r="AE5" s="15"/>
      <c r="AF5" s="15"/>
      <c r="AG5" s="15"/>
      <c r="AH5" s="15"/>
      <c r="AI5" s="15"/>
      <c r="AJ5" s="15"/>
      <c r="AK5" s="15"/>
      <c r="AL5" s="15"/>
      <c r="AM5" s="55"/>
      <c r="AN5" s="55"/>
      <c r="AO5" s="15"/>
      <c r="AP5" s="15"/>
      <c r="AQ5" s="15"/>
      <c r="AR5" s="15"/>
      <c r="AS5" s="15"/>
      <c r="AT5" s="15"/>
      <c r="AU5" s="55"/>
      <c r="AV5" s="55"/>
      <c r="AW5" s="15"/>
      <c r="AX5" s="55"/>
      <c r="AY5" s="55"/>
      <c r="AZ5" s="162"/>
      <c r="BA5" s="21"/>
      <c r="BB5" s="21"/>
      <c r="BC5" s="21"/>
      <c r="BD5" s="55"/>
      <c r="BE5" s="21"/>
      <c r="BF5" s="21"/>
      <c r="BG5" s="21"/>
      <c r="BH5" s="305"/>
      <c r="BI5" s="305"/>
      <c r="BJ5" s="21"/>
      <c r="BK5" s="21"/>
      <c r="BL5" s="15"/>
      <c r="BM5" s="55"/>
      <c r="BN5" s="55"/>
      <c r="BO5" s="55"/>
      <c r="BP5" s="15"/>
      <c r="BQ5" s="15"/>
      <c r="BR5" s="55"/>
      <c r="BS5" s="55"/>
      <c r="BT5" s="55"/>
      <c r="BU5" s="55"/>
      <c r="BV5" s="15"/>
      <c r="BW5" s="15"/>
      <c r="BX5" s="15"/>
      <c r="BY5" s="15"/>
      <c r="BZ5" s="15"/>
      <c r="CA5" s="312"/>
      <c r="CB5" s="162"/>
      <c r="CC5" s="162"/>
      <c r="CD5" s="162"/>
      <c r="CE5" s="162"/>
      <c r="CF5" s="162"/>
      <c r="CG5" s="55"/>
      <c r="CH5" s="21"/>
      <c r="CI5" s="55"/>
      <c r="CJ5" s="55"/>
      <c r="CK5" s="55"/>
      <c r="CL5" s="55"/>
      <c r="CM5" s="55"/>
      <c r="CN5" s="55"/>
      <c r="CO5" s="55"/>
      <c r="CP5" s="55"/>
      <c r="CQ5" s="55"/>
      <c r="CR5" s="55"/>
      <c r="CS5" s="55"/>
      <c r="CT5" s="55"/>
      <c r="CU5" s="55"/>
      <c r="CV5" s="55"/>
      <c r="CW5" s="162"/>
      <c r="CX5" s="21"/>
      <c r="CY5" s="21"/>
      <c r="CZ5" s="21"/>
      <c r="DA5" s="21"/>
      <c r="DB5" s="162"/>
      <c r="DC5" s="162"/>
      <c r="DD5" s="162"/>
      <c r="DE5" s="100" t="s">
        <v>779</v>
      </c>
      <c r="DF5" s="266"/>
      <c r="DG5" s="162"/>
      <c r="DH5" s="162"/>
      <c r="DI5" s="162"/>
      <c r="DJ5" s="162"/>
      <c r="DK5" s="162"/>
      <c r="DL5" s="162"/>
      <c r="DM5" s="21"/>
      <c r="DN5" s="21"/>
      <c r="DO5" s="55"/>
      <c r="DP5" s="55"/>
      <c r="DQ5" s="249"/>
      <c r="DR5" s="249"/>
      <c r="DS5" s="285" t="s">
        <v>731</v>
      </c>
      <c r="DT5" s="249"/>
      <c r="DU5" s="249"/>
      <c r="DV5" s="249"/>
      <c r="DW5" s="249"/>
      <c r="DX5" s="249"/>
      <c r="DY5" s="249"/>
      <c r="DZ5" s="249"/>
      <c r="EA5" s="249"/>
      <c r="EB5" s="249"/>
      <c r="EC5" s="249"/>
      <c r="ED5" s="21"/>
      <c r="EE5" s="21"/>
      <c r="EF5" s="55"/>
      <c r="EG5" s="55"/>
      <c r="EH5" s="55"/>
      <c r="EI5" s="55"/>
      <c r="EJ5" s="55"/>
      <c r="EK5" s="15"/>
      <c r="EL5" s="162"/>
      <c r="EM5" s="277"/>
      <c r="EN5" s="15"/>
      <c r="EO5" s="15"/>
      <c r="EP5" s="15"/>
      <c r="EQ5" s="277"/>
      <c r="ER5" s="277"/>
      <c r="ES5" s="277"/>
      <c r="ET5" s="277"/>
      <c r="EU5" s="15"/>
      <c r="EV5" s="15"/>
      <c r="EW5" s="15"/>
      <c r="EX5" s="15"/>
      <c r="EY5" s="15"/>
      <c r="EZ5" s="269"/>
      <c r="FA5" s="270"/>
      <c r="FB5" s="270"/>
      <c r="FC5" s="270"/>
      <c r="FD5" s="270"/>
      <c r="FE5" s="270"/>
      <c r="FF5" s="270"/>
      <c r="FG5" s="15"/>
      <c r="FH5" s="15"/>
      <c r="FI5" s="15"/>
      <c r="FJ5" s="15"/>
      <c r="FK5" s="15"/>
      <c r="FL5" s="15"/>
      <c r="FM5" s="55"/>
      <c r="FN5" s="55"/>
      <c r="FO5" s="15"/>
      <c r="FP5" s="55"/>
      <c r="FQ5" s="55"/>
      <c r="FR5" s="55"/>
      <c r="FS5" s="55"/>
      <c r="FT5" s="319"/>
      <c r="FU5" s="319"/>
      <c r="FV5" s="319"/>
      <c r="FW5" s="55"/>
      <c r="FX5" s="55"/>
      <c r="FY5" s="55"/>
      <c r="FZ5" s="55"/>
      <c r="GA5" s="21"/>
      <c r="GB5" s="55"/>
      <c r="GC5" s="60"/>
      <c r="GD5" s="55"/>
      <c r="GE5" s="55"/>
      <c r="GF5" s="55"/>
      <c r="GG5" s="55"/>
      <c r="GH5" s="55"/>
      <c r="GI5" s="55"/>
      <c r="GJ5" s="55"/>
      <c r="GK5" s="55"/>
      <c r="GL5" s="15"/>
      <c r="GM5" s="15"/>
      <c r="GN5" s="15"/>
      <c r="GO5" s="15"/>
      <c r="GP5" s="15"/>
      <c r="GQ5" s="15"/>
    </row>
    <row r="6" spans="1:199">
      <c r="A6" s="201"/>
      <c r="B6" s="131"/>
      <c r="D6" s="15"/>
      <c r="E6" s="15"/>
      <c r="F6" s="8"/>
      <c r="G6" s="8"/>
      <c r="H6" s="15"/>
      <c r="I6" s="15"/>
      <c r="J6" s="15"/>
      <c r="K6" s="15"/>
      <c r="L6" s="15"/>
      <c r="M6" s="15"/>
      <c r="N6" s="15"/>
      <c r="O6" s="15"/>
      <c r="P6" s="15"/>
      <c r="Q6" s="15"/>
      <c r="R6" s="15"/>
      <c r="S6" s="15"/>
      <c r="T6" s="15"/>
      <c r="U6" s="15"/>
      <c r="V6" s="15"/>
      <c r="W6" s="232"/>
      <c r="X6" s="232"/>
      <c r="Y6" s="15"/>
      <c r="Z6" s="15"/>
      <c r="AA6" s="15"/>
      <c r="AB6" s="15"/>
      <c r="AC6" s="232"/>
      <c r="AD6" s="232"/>
      <c r="AE6" s="232"/>
      <c r="AF6" s="232"/>
      <c r="AG6" s="232"/>
      <c r="AH6" s="232"/>
      <c r="AI6" s="15"/>
      <c r="AJ6" s="15"/>
      <c r="AK6" s="15"/>
      <c r="AL6" s="15"/>
      <c r="AM6" s="205"/>
      <c r="AN6" s="15"/>
      <c r="AO6" s="15"/>
      <c r="AP6" s="15"/>
      <c r="AQ6" s="15"/>
      <c r="AR6" s="15"/>
      <c r="AS6" s="15"/>
      <c r="AT6" s="15"/>
      <c r="AU6" s="15"/>
      <c r="AV6" s="15"/>
      <c r="AW6" s="15"/>
      <c r="AX6" s="15"/>
      <c r="AY6" s="15"/>
      <c r="AZ6" s="162"/>
      <c r="BA6" s="103"/>
      <c r="BB6" s="103"/>
      <c r="BC6" s="103"/>
      <c r="BD6" s="15"/>
      <c r="BE6" s="103"/>
      <c r="BF6" s="103"/>
      <c r="BG6" s="103"/>
      <c r="BH6" s="299"/>
      <c r="BI6" s="299"/>
      <c r="BJ6" s="103"/>
      <c r="BK6" s="103"/>
      <c r="BL6" s="15"/>
      <c r="BM6" s="15"/>
      <c r="BN6" s="15"/>
      <c r="BO6" s="15"/>
      <c r="BP6" s="15"/>
      <c r="BQ6" s="15"/>
      <c r="BR6" s="15"/>
      <c r="BS6" s="15"/>
      <c r="BT6" s="15"/>
      <c r="BU6" s="15"/>
      <c r="BV6" s="15"/>
      <c r="BW6" s="15"/>
      <c r="BX6" s="15"/>
      <c r="BY6" s="15"/>
      <c r="BZ6" s="15"/>
      <c r="CA6" s="313" t="s">
        <v>712</v>
      </c>
      <c r="CC6" s="162"/>
      <c r="CD6" s="162"/>
      <c r="CE6" s="162"/>
      <c r="CF6" s="162"/>
      <c r="CG6" s="15"/>
      <c r="CH6" s="103"/>
      <c r="CI6" s="15"/>
      <c r="CJ6" s="15"/>
      <c r="CK6" s="15"/>
      <c r="CL6" s="15"/>
      <c r="CM6" s="15"/>
      <c r="CN6" s="15"/>
      <c r="CO6" s="10"/>
      <c r="CP6" s="10"/>
      <c r="CQ6" s="10"/>
      <c r="CR6" s="100"/>
      <c r="CS6" s="10"/>
      <c r="CT6" s="10"/>
      <c r="CU6" s="10"/>
      <c r="CV6" s="10"/>
      <c r="CW6" s="162"/>
      <c r="CX6" s="265"/>
      <c r="CY6" s="265"/>
      <c r="CZ6" s="103"/>
      <c r="DA6" s="103"/>
      <c r="DB6" s="162"/>
      <c r="DC6" s="162"/>
      <c r="DD6" s="162"/>
      <c r="DE6" s="100"/>
      <c r="DF6" s="266"/>
      <c r="DG6" s="162"/>
      <c r="DH6" s="162"/>
      <c r="DI6" s="162"/>
      <c r="DJ6" s="267" t="s">
        <v>768</v>
      </c>
      <c r="DK6" s="162"/>
      <c r="DL6" s="7"/>
      <c r="DM6" s="103"/>
      <c r="DN6" s="103"/>
      <c r="DO6" s="15"/>
      <c r="DP6" s="15"/>
      <c r="DQ6" s="230"/>
      <c r="DR6" s="230"/>
      <c r="DS6" s="230"/>
      <c r="DT6" s="230"/>
      <c r="DU6" s="230"/>
      <c r="DV6" s="230"/>
      <c r="DW6" s="230"/>
      <c r="DX6" s="230"/>
      <c r="DY6" s="230"/>
      <c r="DZ6" s="230"/>
      <c r="EA6" s="230"/>
      <c r="EB6" s="230"/>
      <c r="EC6" s="230"/>
      <c r="ED6" s="103"/>
      <c r="EE6" s="103"/>
      <c r="EF6" s="15"/>
      <c r="EG6" s="15"/>
      <c r="EH6" s="15"/>
      <c r="EI6" s="15"/>
      <c r="EJ6" s="15"/>
      <c r="EK6" s="15"/>
      <c r="EL6" s="282" t="s">
        <v>711</v>
      </c>
      <c r="EM6" s="277"/>
      <c r="EN6" s="15"/>
      <c r="EO6" s="15"/>
      <c r="EP6" s="15"/>
      <c r="EQ6" s="283" t="s">
        <v>712</v>
      </c>
      <c r="ER6" s="277"/>
      <c r="ES6" s="277" t="s">
        <v>769</v>
      </c>
      <c r="ET6" s="277"/>
      <c r="EU6" s="15"/>
      <c r="EV6" s="15"/>
      <c r="EW6" s="15"/>
      <c r="EX6" s="15"/>
      <c r="EY6" s="15"/>
      <c r="EZ6" s="271" t="s">
        <v>710</v>
      </c>
      <c r="FA6" s="270"/>
      <c r="FB6" s="270"/>
      <c r="FC6" s="270"/>
      <c r="FD6" s="270"/>
      <c r="FE6" s="270"/>
      <c r="FF6" s="270"/>
      <c r="FG6" s="15"/>
      <c r="FH6" s="15"/>
      <c r="FI6" s="15"/>
      <c r="FJ6" s="15"/>
      <c r="FK6" s="15"/>
      <c r="FL6" s="15"/>
      <c r="FM6" s="10"/>
      <c r="FN6" s="10"/>
      <c r="FO6" s="15"/>
      <c r="FP6" s="10"/>
      <c r="FQ6" s="10"/>
      <c r="FR6" s="15"/>
      <c r="FS6" s="15"/>
      <c r="FT6" s="320"/>
      <c r="FU6" s="320"/>
      <c r="FV6" s="320"/>
      <c r="FW6" s="15"/>
      <c r="FX6" s="15"/>
      <c r="FY6" s="15"/>
      <c r="FZ6" s="15"/>
      <c r="GA6" s="103"/>
      <c r="GB6" s="15"/>
      <c r="GC6" s="103"/>
      <c r="GD6" s="15"/>
      <c r="GE6" s="15"/>
      <c r="GF6" s="15"/>
      <c r="GG6" s="15"/>
      <c r="GH6" s="15"/>
      <c r="GI6" s="15"/>
      <c r="GJ6" s="15"/>
      <c r="GK6" s="15"/>
      <c r="GL6" s="55"/>
      <c r="GM6" s="55"/>
      <c r="GN6" s="55"/>
      <c r="GO6" s="55"/>
      <c r="GP6" s="55"/>
      <c r="GQ6" s="55"/>
    </row>
    <row r="7" spans="1:199">
      <c r="A7" s="201"/>
      <c r="B7" s="220"/>
      <c r="D7" s="15"/>
      <c r="E7" s="15"/>
      <c r="F7" s="8"/>
      <c r="G7" s="8"/>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62"/>
      <c r="BA7" s="103"/>
      <c r="BB7" s="103"/>
      <c r="BC7" s="103"/>
      <c r="BD7" s="15"/>
      <c r="BE7" s="103"/>
      <c r="BF7" s="103"/>
      <c r="BG7" s="103"/>
      <c r="BH7" s="299"/>
      <c r="BI7" s="299"/>
      <c r="BJ7" s="103"/>
      <c r="BK7" s="103"/>
      <c r="BL7" s="15"/>
      <c r="BM7" s="15"/>
      <c r="BN7" s="15"/>
      <c r="BO7" s="15"/>
      <c r="BP7" s="15"/>
      <c r="BQ7" s="15"/>
      <c r="BR7" s="15"/>
      <c r="BS7" s="15"/>
      <c r="BT7" s="15"/>
      <c r="BU7" s="15"/>
      <c r="BV7" s="15"/>
      <c r="BW7" s="15"/>
      <c r="BX7" s="15"/>
      <c r="BY7" s="15"/>
      <c r="BZ7" s="15"/>
      <c r="CA7" s="312"/>
      <c r="CB7" s="162"/>
      <c r="CC7" s="162"/>
      <c r="CD7" s="162"/>
      <c r="CE7" s="162"/>
      <c r="CF7" s="162"/>
      <c r="CG7" s="15"/>
      <c r="CH7" s="103"/>
      <c r="CI7" s="15"/>
      <c r="CJ7" s="15"/>
      <c r="CK7" s="15"/>
      <c r="CL7" s="15"/>
      <c r="CM7" s="15"/>
      <c r="CN7" s="15"/>
      <c r="CO7" s="10"/>
      <c r="CP7" s="10"/>
      <c r="CQ7" s="10"/>
      <c r="CR7" s="10"/>
      <c r="CS7" s="10"/>
      <c r="CT7" s="10"/>
      <c r="CU7" s="10"/>
      <c r="CV7" s="10"/>
      <c r="CW7" s="162"/>
      <c r="CX7" s="103"/>
      <c r="CY7" s="103"/>
      <c r="CZ7" s="103"/>
      <c r="DA7" s="103"/>
      <c r="DB7" s="162"/>
      <c r="DC7" s="162"/>
      <c r="DD7" s="162"/>
      <c r="DE7" s="100"/>
      <c r="DF7" s="266"/>
      <c r="DG7" s="162"/>
      <c r="DH7" s="162"/>
      <c r="DI7" s="162"/>
      <c r="DJ7" s="162"/>
      <c r="DK7" s="162"/>
      <c r="DL7" s="162"/>
      <c r="DM7" s="103"/>
      <c r="DN7" s="103"/>
      <c r="DO7" s="15"/>
      <c r="DP7" s="15"/>
      <c r="DQ7" s="230"/>
      <c r="DR7" s="230"/>
      <c r="DS7" s="230"/>
      <c r="DT7" s="230"/>
      <c r="DU7" s="230"/>
      <c r="DV7" s="230"/>
      <c r="DW7" s="230"/>
      <c r="DX7" s="230"/>
      <c r="DY7" s="230"/>
      <c r="DZ7" s="230"/>
      <c r="EA7" s="230"/>
      <c r="EB7" s="230"/>
      <c r="EC7" s="230"/>
      <c r="ED7" s="103"/>
      <c r="EE7" s="103"/>
      <c r="EF7" s="15"/>
      <c r="EG7" s="15"/>
      <c r="EH7" s="15"/>
      <c r="EI7" s="15"/>
      <c r="EJ7" s="15"/>
      <c r="EL7" s="169" t="s">
        <v>767</v>
      </c>
      <c r="EM7" s="277"/>
      <c r="EN7" s="15"/>
      <c r="EO7" s="15"/>
      <c r="EP7" s="15"/>
      <c r="EQ7" s="277"/>
      <c r="ER7" s="277"/>
      <c r="ES7" s="277"/>
      <c r="ET7" s="277"/>
      <c r="EU7" s="15"/>
      <c r="EV7" s="15"/>
      <c r="EW7" s="15"/>
      <c r="EX7" s="15"/>
      <c r="EY7" s="15"/>
      <c r="EZ7" s="271"/>
      <c r="FA7" s="270"/>
      <c r="FB7" s="270"/>
      <c r="FC7" s="270"/>
      <c r="FD7" s="270"/>
      <c r="FE7" s="270"/>
      <c r="FF7" s="270"/>
      <c r="FG7" s="15"/>
      <c r="FH7" s="15"/>
      <c r="FI7" s="15"/>
      <c r="FJ7" s="15"/>
      <c r="FK7" s="15"/>
      <c r="FL7" s="15"/>
      <c r="FM7" s="15"/>
      <c r="FN7" s="15"/>
      <c r="FO7" s="15"/>
      <c r="FP7" s="10"/>
      <c r="FQ7" s="10"/>
      <c r="FR7" s="15"/>
      <c r="FS7" s="15"/>
      <c r="FT7" s="320"/>
      <c r="FU7" s="320"/>
      <c r="FV7" s="320"/>
      <c r="FW7" s="15"/>
      <c r="FX7" s="15"/>
      <c r="FY7" s="15"/>
      <c r="FZ7" s="15"/>
      <c r="GA7" s="103"/>
      <c r="GB7" s="15"/>
      <c r="GC7" s="103"/>
      <c r="GD7" s="15"/>
      <c r="GE7" s="15"/>
      <c r="GF7" s="15"/>
      <c r="GG7" s="15"/>
      <c r="GH7" s="15"/>
      <c r="GI7" s="15"/>
      <c r="GJ7" s="15"/>
      <c r="GK7" s="15"/>
      <c r="GL7" s="15"/>
      <c r="GM7" s="15"/>
      <c r="GN7" s="15"/>
      <c r="GO7" s="15"/>
      <c r="GP7" s="15"/>
      <c r="GQ7" s="15"/>
    </row>
    <row r="8" spans="1:199">
      <c r="A8" s="201"/>
      <c r="B8" s="15"/>
      <c r="D8" s="15"/>
      <c r="E8" s="15"/>
      <c r="F8" s="8"/>
      <c r="G8" s="8"/>
      <c r="H8" s="15"/>
      <c r="I8" s="15"/>
      <c r="J8" s="15"/>
      <c r="K8" s="15"/>
      <c r="L8" s="15"/>
      <c r="M8" s="15"/>
      <c r="N8" s="15"/>
      <c r="O8" s="15"/>
      <c r="P8" s="15"/>
      <c r="Q8" s="15"/>
      <c r="R8" s="15"/>
      <c r="S8" s="55"/>
      <c r="T8" s="55"/>
      <c r="U8" s="55"/>
      <c r="V8" s="55"/>
      <c r="W8" s="55"/>
      <c r="X8" s="55"/>
      <c r="Y8" s="55"/>
      <c r="Z8" s="55"/>
      <c r="AA8" s="55"/>
      <c r="AB8" s="55"/>
      <c r="AC8" s="15"/>
      <c r="AD8" s="15"/>
      <c r="AE8" s="15"/>
      <c r="AF8" s="15"/>
      <c r="AG8" s="15"/>
      <c r="AH8" s="15"/>
      <c r="AI8" s="15"/>
      <c r="AJ8" s="15"/>
      <c r="AK8" s="15"/>
      <c r="AL8" s="15"/>
      <c r="AM8" s="55"/>
      <c r="AN8" s="55"/>
      <c r="AO8" s="15"/>
      <c r="AP8" s="15"/>
      <c r="AQ8" s="15"/>
      <c r="AR8" s="15"/>
      <c r="AS8" s="15"/>
      <c r="AT8" s="15"/>
      <c r="AU8" s="55"/>
      <c r="AV8" s="55"/>
      <c r="AW8" s="15"/>
      <c r="AX8" s="55"/>
      <c r="AY8" s="55"/>
      <c r="AZ8" s="103"/>
      <c r="BA8" s="21"/>
      <c r="BB8" s="21"/>
      <c r="BC8" s="21"/>
      <c r="BD8" s="55"/>
      <c r="BE8" s="21"/>
      <c r="BF8" s="21"/>
      <c r="BG8" s="21"/>
      <c r="BH8" s="305"/>
      <c r="BI8" s="305"/>
      <c r="BJ8" s="21"/>
      <c r="BK8" s="21"/>
      <c r="BL8" s="15"/>
      <c r="BM8" s="55"/>
      <c r="BN8" s="55"/>
      <c r="BO8" s="55"/>
      <c r="BP8" s="15"/>
      <c r="BQ8" s="15"/>
      <c r="BR8" s="55"/>
      <c r="BS8" s="55"/>
      <c r="BT8" s="55"/>
      <c r="BU8" s="55"/>
      <c r="BV8" s="15"/>
      <c r="BW8" s="15"/>
      <c r="BX8" s="15"/>
      <c r="BY8" s="15"/>
      <c r="BZ8" s="15"/>
      <c r="CA8" s="312"/>
      <c r="CB8" s="162"/>
      <c r="CC8" s="162"/>
      <c r="CD8" s="162"/>
      <c r="CE8" s="162"/>
      <c r="CF8" s="162"/>
      <c r="CG8" s="55"/>
      <c r="CH8" s="21"/>
      <c r="CI8" s="55"/>
      <c r="CJ8" s="55"/>
      <c r="CK8" s="55"/>
      <c r="CL8" s="55"/>
      <c r="CM8" s="55"/>
      <c r="CN8" s="55"/>
      <c r="CO8" s="138"/>
      <c r="CP8" s="138"/>
      <c r="CQ8" s="138"/>
      <c r="CR8" s="138"/>
      <c r="CS8" s="138"/>
      <c r="CT8" s="138"/>
      <c r="CU8" s="138"/>
      <c r="CV8" s="138"/>
      <c r="CW8" s="162"/>
      <c r="CX8" s="21"/>
      <c r="CY8" s="21"/>
      <c r="CZ8" s="21"/>
      <c r="DA8" s="21"/>
      <c r="DB8" s="103"/>
      <c r="DC8" s="103"/>
      <c r="DD8" s="103"/>
      <c r="DE8" s="162"/>
      <c r="DF8" s="138"/>
      <c r="DG8" s="162"/>
      <c r="DH8" s="162"/>
      <c r="DI8" s="162"/>
      <c r="DJ8" s="162"/>
      <c r="DK8" s="162"/>
      <c r="DL8" s="103"/>
      <c r="DM8" s="21"/>
      <c r="DN8" s="21"/>
      <c r="DO8" s="55"/>
      <c r="DP8" s="55"/>
      <c r="DQ8" s="249"/>
      <c r="DR8" s="249"/>
      <c r="DS8" s="249"/>
      <c r="DT8" s="249"/>
      <c r="DU8" s="249"/>
      <c r="DV8" s="249"/>
      <c r="DW8" s="249"/>
      <c r="DX8" s="249"/>
      <c r="DY8" s="249"/>
      <c r="DZ8" s="249"/>
      <c r="EA8" s="249"/>
      <c r="EB8" s="249"/>
      <c r="EC8" s="249"/>
      <c r="ED8" s="21"/>
      <c r="EE8" s="21"/>
      <c r="EF8" s="55"/>
      <c r="EG8" s="55"/>
      <c r="EH8" s="55"/>
      <c r="EI8" s="55"/>
      <c r="EJ8" s="55"/>
      <c r="EK8" s="15"/>
      <c r="EL8" s="162"/>
      <c r="EM8" s="277"/>
      <c r="EN8" s="15"/>
      <c r="EO8" s="15"/>
      <c r="EP8" s="15"/>
      <c r="EQ8" s="277"/>
      <c r="ER8" s="277"/>
      <c r="ES8" s="277"/>
      <c r="ET8" s="277"/>
      <c r="EU8" s="15"/>
      <c r="EV8" s="15"/>
      <c r="EW8" s="15"/>
      <c r="EX8" s="15"/>
      <c r="EY8" s="15"/>
      <c r="EZ8" s="272"/>
      <c r="FA8" s="270"/>
      <c r="FB8" s="270"/>
      <c r="FC8" s="270"/>
      <c r="FD8" s="270"/>
      <c r="FE8" s="270"/>
      <c r="FF8" s="270"/>
      <c r="FG8" s="15"/>
      <c r="FH8" s="15"/>
      <c r="FI8" s="15"/>
      <c r="FJ8" s="15"/>
      <c r="FK8" s="15"/>
      <c r="FL8" s="15"/>
      <c r="FM8" s="55"/>
      <c r="FN8" s="55"/>
      <c r="FO8" s="15"/>
      <c r="FP8" s="138"/>
      <c r="FQ8" s="138"/>
      <c r="FR8" s="55"/>
      <c r="FS8" s="55"/>
      <c r="FT8" s="321"/>
      <c r="FU8" s="321"/>
      <c r="FV8" s="321"/>
      <c r="FW8" s="55"/>
      <c r="FX8" s="55"/>
      <c r="FY8" s="55"/>
      <c r="FZ8" s="55"/>
      <c r="GA8" s="21"/>
      <c r="GB8" s="55"/>
      <c r="GC8" s="21"/>
      <c r="GD8" s="55"/>
      <c r="GE8" s="55"/>
      <c r="GF8" s="55"/>
      <c r="GG8" s="55"/>
      <c r="GH8" s="55"/>
      <c r="GI8" s="55"/>
      <c r="GJ8" s="55"/>
      <c r="GK8" s="55"/>
      <c r="GL8" s="15"/>
      <c r="GM8" s="15"/>
      <c r="GN8" s="15"/>
      <c r="GO8" s="15"/>
      <c r="GP8" s="15"/>
      <c r="GQ8" s="15"/>
    </row>
    <row r="9" spans="1:199" ht="13.5" thickBot="1">
      <c r="A9" s="201"/>
      <c r="B9" s="15"/>
      <c r="D9" s="15"/>
      <c r="E9" s="15"/>
      <c r="F9" s="8"/>
      <c r="G9" s="8"/>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299"/>
      <c r="BI9" s="299"/>
      <c r="BJ9" s="15"/>
      <c r="BK9" s="15"/>
      <c r="BL9" s="15"/>
      <c r="BM9" s="15"/>
      <c r="BN9" s="15"/>
      <c r="BO9" s="15"/>
      <c r="BP9" s="15"/>
      <c r="BQ9" s="15"/>
      <c r="BR9" s="15"/>
      <c r="BS9" s="15"/>
      <c r="BT9" s="15"/>
      <c r="BU9" s="15"/>
      <c r="BV9" s="15"/>
      <c r="BW9" s="15"/>
      <c r="BX9" s="15"/>
      <c r="BY9" s="15"/>
      <c r="BZ9" s="15"/>
      <c r="CA9" s="312"/>
      <c r="CB9" s="162"/>
      <c r="CC9" s="162"/>
      <c r="CD9" s="162"/>
      <c r="CE9" s="162"/>
      <c r="CF9" s="162"/>
      <c r="CG9" s="15"/>
      <c r="CH9" s="15"/>
      <c r="CI9" s="15"/>
      <c r="CJ9" s="15"/>
      <c r="CK9" s="15"/>
      <c r="CL9" s="15"/>
      <c r="CM9" s="15"/>
      <c r="CN9" s="15"/>
      <c r="CO9" s="15"/>
      <c r="CP9" s="15"/>
      <c r="CQ9" s="15"/>
      <c r="CR9" s="15"/>
      <c r="CS9" s="15"/>
      <c r="CT9" s="15"/>
      <c r="CU9" s="15"/>
      <c r="CV9" s="15"/>
      <c r="CW9" s="162"/>
      <c r="CX9" s="15"/>
      <c r="CY9" s="15"/>
      <c r="CZ9" s="15"/>
      <c r="DA9" s="15"/>
      <c r="DB9" s="15"/>
      <c r="DC9" s="15"/>
      <c r="DD9" s="15"/>
      <c r="DE9" s="162"/>
      <c r="DF9" s="15"/>
      <c r="DG9" s="162"/>
      <c r="DH9" s="162"/>
      <c r="DI9" s="162"/>
      <c r="DJ9" s="162"/>
      <c r="DK9" s="162"/>
      <c r="DL9" s="15"/>
      <c r="DM9" s="15"/>
      <c r="DN9" s="15"/>
      <c r="DO9" s="15"/>
      <c r="DP9" s="15"/>
      <c r="DQ9" s="8"/>
      <c r="DR9" s="8"/>
      <c r="DS9" s="8"/>
      <c r="DT9" s="8"/>
      <c r="DU9" s="8"/>
      <c r="DV9" s="8"/>
      <c r="DW9" s="8"/>
      <c r="DX9" s="8"/>
      <c r="DY9" s="8"/>
      <c r="DZ9" s="8"/>
      <c r="EA9" s="8"/>
      <c r="EB9" s="8"/>
      <c r="EC9" s="8"/>
      <c r="ED9" s="15"/>
      <c r="EE9" s="15"/>
      <c r="EF9" s="15"/>
      <c r="EG9" s="15"/>
      <c r="EH9" s="15"/>
      <c r="EI9" s="15"/>
      <c r="EJ9" s="15"/>
      <c r="EK9" s="15"/>
      <c r="EL9" s="162"/>
      <c r="EM9" s="277"/>
      <c r="EN9" s="15"/>
      <c r="EO9" s="15"/>
      <c r="EP9" s="15"/>
      <c r="EQ9" s="277"/>
      <c r="ER9" s="277"/>
      <c r="ES9" s="277"/>
      <c r="ET9" s="277"/>
      <c r="EU9" s="15"/>
      <c r="EV9" s="15"/>
      <c r="EW9" s="15"/>
      <c r="EX9" s="15"/>
      <c r="EY9" s="15"/>
      <c r="EZ9" s="270"/>
      <c r="FA9" s="270"/>
      <c r="FB9" s="270"/>
      <c r="FC9" s="270"/>
      <c r="FD9" s="270"/>
      <c r="FE9" s="270"/>
      <c r="FF9" s="270"/>
      <c r="FG9" s="15"/>
      <c r="FH9" s="15"/>
      <c r="FI9" s="15"/>
      <c r="FJ9" s="15"/>
      <c r="FK9" s="15"/>
      <c r="FL9" s="15"/>
      <c r="FM9" s="15"/>
      <c r="FN9" s="15"/>
      <c r="FO9" s="15"/>
      <c r="FP9" s="15"/>
      <c r="FQ9" s="15"/>
      <c r="FR9" s="15"/>
      <c r="FS9" s="15"/>
      <c r="FT9" s="322"/>
      <c r="FU9" s="322"/>
      <c r="FV9" s="322"/>
      <c r="FW9" s="15"/>
      <c r="FX9" s="15"/>
      <c r="FY9" s="15"/>
      <c r="FZ9" s="15"/>
      <c r="GA9" s="15"/>
      <c r="GB9" s="15"/>
      <c r="GC9" s="15"/>
      <c r="GD9" s="15"/>
      <c r="GE9" s="15"/>
      <c r="GF9" s="15"/>
      <c r="GG9" s="15"/>
      <c r="GH9" s="15"/>
      <c r="GI9" s="15"/>
      <c r="GJ9" s="15"/>
      <c r="GK9" s="15"/>
      <c r="GL9" s="55"/>
      <c r="GM9" s="55"/>
      <c r="GN9" s="55"/>
      <c r="GO9" s="55"/>
      <c r="GP9" s="55"/>
      <c r="GQ9" s="55"/>
    </row>
    <row r="10" spans="1:199" ht="14.25" thickTop="1" thickBot="1">
      <c r="A10" s="201" t="s">
        <v>76</v>
      </c>
      <c r="B10" s="35" t="s">
        <v>269</v>
      </c>
      <c r="C10" s="35" t="s">
        <v>269</v>
      </c>
      <c r="D10" s="35" t="s">
        <v>269</v>
      </c>
      <c r="E10" s="35" t="s">
        <v>269</v>
      </c>
      <c r="F10" s="73" t="s">
        <v>449</v>
      </c>
      <c r="G10" s="73" t="s">
        <v>565</v>
      </c>
      <c r="H10" s="35" t="s">
        <v>269</v>
      </c>
      <c r="I10" s="35" t="s">
        <v>269</v>
      </c>
      <c r="J10" s="35" t="s">
        <v>269</v>
      </c>
      <c r="K10" s="35" t="s">
        <v>269</v>
      </c>
      <c r="L10" s="35" t="s">
        <v>269</v>
      </c>
      <c r="M10" s="35" t="s">
        <v>269</v>
      </c>
      <c r="N10" s="35" t="s">
        <v>269</v>
      </c>
      <c r="O10" s="35" t="s">
        <v>269</v>
      </c>
      <c r="P10" s="35" t="s">
        <v>269</v>
      </c>
      <c r="Q10" s="35" t="s">
        <v>269</v>
      </c>
      <c r="R10" s="35" t="s">
        <v>269</v>
      </c>
      <c r="S10" s="35" t="s">
        <v>269</v>
      </c>
      <c r="T10" s="35" t="s">
        <v>269</v>
      </c>
      <c r="U10" s="35" t="s">
        <v>269</v>
      </c>
      <c r="V10" s="35" t="s">
        <v>269</v>
      </c>
      <c r="W10" s="35" t="s">
        <v>269</v>
      </c>
      <c r="X10" s="35" t="s">
        <v>269</v>
      </c>
      <c r="Y10" s="35" t="s">
        <v>269</v>
      </c>
      <c r="Z10" s="35" t="s">
        <v>464</v>
      </c>
      <c r="AA10" s="35" t="s">
        <v>565</v>
      </c>
      <c r="AB10" s="35" t="s">
        <v>269</v>
      </c>
      <c r="AC10" s="35" t="s">
        <v>464</v>
      </c>
      <c r="AD10" s="35" t="s">
        <v>464</v>
      </c>
      <c r="AE10" s="35" t="s">
        <v>464</v>
      </c>
      <c r="AF10" s="35" t="s">
        <v>464</v>
      </c>
      <c r="AG10" s="35" t="s">
        <v>269</v>
      </c>
      <c r="AH10" s="35" t="s">
        <v>464</v>
      </c>
      <c r="AI10" s="35" t="s">
        <v>269</v>
      </c>
      <c r="AJ10" s="35" t="s">
        <v>269</v>
      </c>
      <c r="AK10" s="35" t="s">
        <v>269</v>
      </c>
      <c r="AL10" s="35" t="s">
        <v>269</v>
      </c>
      <c r="AM10" s="35" t="s">
        <v>464</v>
      </c>
      <c r="AN10" s="35" t="s">
        <v>464</v>
      </c>
      <c r="AO10" s="35" t="s">
        <v>464</v>
      </c>
      <c r="AP10" s="35" t="s">
        <v>269</v>
      </c>
      <c r="AQ10" s="35" t="s">
        <v>464</v>
      </c>
      <c r="AR10" s="35" t="s">
        <v>269</v>
      </c>
      <c r="AS10" s="35" t="s">
        <v>464</v>
      </c>
      <c r="AT10" s="35" t="s">
        <v>464</v>
      </c>
      <c r="AU10" s="35" t="s">
        <v>464</v>
      </c>
      <c r="AV10" s="35" t="s">
        <v>464</v>
      </c>
      <c r="AW10" s="35" t="s">
        <v>464</v>
      </c>
      <c r="AX10" s="35" t="s">
        <v>464</v>
      </c>
      <c r="AY10" s="35" t="s">
        <v>464</v>
      </c>
      <c r="AZ10" s="239" t="s">
        <v>464</v>
      </c>
      <c r="BA10" s="35" t="s">
        <v>464</v>
      </c>
      <c r="BB10" s="35" t="s">
        <v>464</v>
      </c>
      <c r="BC10" s="35" t="s">
        <v>464</v>
      </c>
      <c r="BD10" s="35" t="s">
        <v>464</v>
      </c>
      <c r="BE10" s="35" t="s">
        <v>464</v>
      </c>
      <c r="BF10" s="35" t="s">
        <v>464</v>
      </c>
      <c r="BG10" s="35" t="s">
        <v>464</v>
      </c>
      <c r="BH10" s="300" t="s">
        <v>269</v>
      </c>
      <c r="BI10" s="300" t="s">
        <v>464</v>
      </c>
      <c r="BJ10" s="35" t="s">
        <v>269</v>
      </c>
      <c r="BK10" s="35" t="s">
        <v>269</v>
      </c>
      <c r="BL10" s="35" t="s">
        <v>464</v>
      </c>
      <c r="BM10" s="35" t="s">
        <v>464</v>
      </c>
      <c r="BN10" s="35" t="s">
        <v>565</v>
      </c>
      <c r="BO10" s="35" t="s">
        <v>464</v>
      </c>
      <c r="BP10" s="35" t="s">
        <v>464</v>
      </c>
      <c r="BQ10" s="35" t="s">
        <v>464</v>
      </c>
      <c r="BR10" s="35" t="s">
        <v>464</v>
      </c>
      <c r="BS10" s="35" t="s">
        <v>464</v>
      </c>
      <c r="BT10" s="35" t="s">
        <v>464</v>
      </c>
      <c r="BU10" s="35" t="s">
        <v>464</v>
      </c>
      <c r="BV10" s="35" t="s">
        <v>269</v>
      </c>
      <c r="BW10" s="35" t="s">
        <v>269</v>
      </c>
      <c r="BX10" s="35" t="s">
        <v>269</v>
      </c>
      <c r="BY10" s="35" t="s">
        <v>464</v>
      </c>
      <c r="BZ10" s="35" t="s">
        <v>464</v>
      </c>
      <c r="CA10" s="314" t="s">
        <v>464</v>
      </c>
      <c r="CB10" s="35" t="s">
        <v>464</v>
      </c>
      <c r="CC10" s="35" t="s">
        <v>464</v>
      </c>
      <c r="CD10" s="35" t="s">
        <v>464</v>
      </c>
      <c r="CE10" s="35" t="s">
        <v>464</v>
      </c>
      <c r="CF10" s="35" t="s">
        <v>464</v>
      </c>
      <c r="CG10" s="35" t="s">
        <v>269</v>
      </c>
      <c r="CH10" s="35" t="s">
        <v>269</v>
      </c>
      <c r="CI10" s="35" t="s">
        <v>565</v>
      </c>
      <c r="CJ10" s="35" t="s">
        <v>565</v>
      </c>
      <c r="CK10" s="35" t="s">
        <v>565</v>
      </c>
      <c r="CL10" s="35" t="s">
        <v>464</v>
      </c>
      <c r="CM10" s="35" t="s">
        <v>464</v>
      </c>
      <c r="CN10" s="35" t="s">
        <v>464</v>
      </c>
      <c r="CO10" s="35" t="s">
        <v>464</v>
      </c>
      <c r="CP10" s="35" t="s">
        <v>464</v>
      </c>
      <c r="CQ10" s="35" t="s">
        <v>464</v>
      </c>
      <c r="CR10" s="35" t="s">
        <v>464</v>
      </c>
      <c r="CS10" s="35" t="s">
        <v>464</v>
      </c>
      <c r="CT10" s="35" t="s">
        <v>464</v>
      </c>
      <c r="CU10" s="35" t="s">
        <v>464</v>
      </c>
      <c r="CV10" s="35" t="s">
        <v>464</v>
      </c>
      <c r="CW10" s="35" t="s">
        <v>464</v>
      </c>
      <c r="CX10" s="35" t="s">
        <v>464</v>
      </c>
      <c r="CY10" s="35" t="s">
        <v>464</v>
      </c>
      <c r="CZ10" s="35" t="s">
        <v>464</v>
      </c>
      <c r="DA10" s="35" t="s">
        <v>464</v>
      </c>
      <c r="DB10" s="239" t="s">
        <v>464</v>
      </c>
      <c r="DC10" s="239" t="s">
        <v>464</v>
      </c>
      <c r="DD10" s="239" t="s">
        <v>464</v>
      </c>
      <c r="DE10" s="35" t="s">
        <v>464</v>
      </c>
      <c r="DF10" s="35" t="s">
        <v>464</v>
      </c>
      <c r="DG10" s="35" t="s">
        <v>464</v>
      </c>
      <c r="DH10" s="35" t="s">
        <v>464</v>
      </c>
      <c r="DI10" s="35" t="s">
        <v>464</v>
      </c>
      <c r="DJ10" s="239" t="s">
        <v>464</v>
      </c>
      <c r="DK10" s="239" t="s">
        <v>464</v>
      </c>
      <c r="DL10" s="239" t="s">
        <v>464</v>
      </c>
      <c r="DM10" s="35" t="s">
        <v>464</v>
      </c>
      <c r="DN10" s="35" t="s">
        <v>464</v>
      </c>
      <c r="DO10" s="35" t="s">
        <v>464</v>
      </c>
      <c r="DP10" s="35" t="s">
        <v>464</v>
      </c>
      <c r="DQ10" s="73" t="s">
        <v>578</v>
      </c>
      <c r="DR10" s="73" t="s">
        <v>578</v>
      </c>
      <c r="DS10" s="73" t="s">
        <v>578</v>
      </c>
      <c r="DT10" s="73" t="s">
        <v>578</v>
      </c>
      <c r="DU10" s="73" t="s">
        <v>578</v>
      </c>
      <c r="DV10" s="73" t="s">
        <v>578</v>
      </c>
      <c r="DW10" s="73" t="s">
        <v>464</v>
      </c>
      <c r="DX10" s="73" t="s">
        <v>464</v>
      </c>
      <c r="DY10" s="73" t="s">
        <v>464</v>
      </c>
      <c r="DZ10" s="73" t="s">
        <v>464</v>
      </c>
      <c r="EA10" s="73" t="s">
        <v>464</v>
      </c>
      <c r="EB10" s="73" t="s">
        <v>464</v>
      </c>
      <c r="EC10" s="73" t="s">
        <v>464</v>
      </c>
      <c r="ED10" s="35" t="s">
        <v>269</v>
      </c>
      <c r="EE10" s="35" t="s">
        <v>269</v>
      </c>
      <c r="EF10" s="35" t="s">
        <v>449</v>
      </c>
      <c r="EG10" s="35" t="s">
        <v>464</v>
      </c>
      <c r="EH10" s="35" t="s">
        <v>449</v>
      </c>
      <c r="EI10" s="35" t="s">
        <v>449</v>
      </c>
      <c r="EJ10" s="35" t="s">
        <v>449</v>
      </c>
      <c r="EK10" s="35" t="s">
        <v>464</v>
      </c>
      <c r="EL10" s="35" t="s">
        <v>464</v>
      </c>
      <c r="EM10" s="35" t="s">
        <v>464</v>
      </c>
      <c r="EN10" s="35" t="s">
        <v>464</v>
      </c>
      <c r="EO10" s="35" t="s">
        <v>464</v>
      </c>
      <c r="EP10" s="35" t="s">
        <v>464</v>
      </c>
      <c r="EQ10" s="35" t="s">
        <v>464</v>
      </c>
      <c r="ER10" s="35" t="s">
        <v>464</v>
      </c>
      <c r="ES10" s="35" t="s">
        <v>464</v>
      </c>
      <c r="ET10" s="35" t="s">
        <v>464</v>
      </c>
      <c r="EU10" s="35" t="s">
        <v>464</v>
      </c>
      <c r="EV10" s="35" t="s">
        <v>464</v>
      </c>
      <c r="EW10" s="35" t="s">
        <v>464</v>
      </c>
      <c r="EX10" s="35" t="s">
        <v>464</v>
      </c>
      <c r="EY10" s="35" t="s">
        <v>464</v>
      </c>
      <c r="EZ10" s="35" t="s">
        <v>464</v>
      </c>
      <c r="FA10" s="35" t="s">
        <v>464</v>
      </c>
      <c r="FB10" s="35" t="s">
        <v>464</v>
      </c>
      <c r="FC10" s="35" t="s">
        <v>464</v>
      </c>
      <c r="FD10" s="35" t="s">
        <v>464</v>
      </c>
      <c r="FE10" s="35" t="s">
        <v>464</v>
      </c>
      <c r="FF10" s="35" t="s">
        <v>464</v>
      </c>
      <c r="FG10" s="35" t="s">
        <v>464</v>
      </c>
      <c r="FH10" s="35" t="s">
        <v>464</v>
      </c>
      <c r="FI10" s="35" t="s">
        <v>464</v>
      </c>
      <c r="FJ10" s="35" t="s">
        <v>464</v>
      </c>
      <c r="FK10" s="35" t="s">
        <v>464</v>
      </c>
      <c r="FL10" s="35" t="s">
        <v>464</v>
      </c>
      <c r="FM10" s="35" t="s">
        <v>464</v>
      </c>
      <c r="FN10" s="35" t="s">
        <v>464</v>
      </c>
      <c r="FO10" s="35" t="s">
        <v>464</v>
      </c>
      <c r="FP10" s="35" t="s">
        <v>464</v>
      </c>
      <c r="FQ10" s="35" t="s">
        <v>565</v>
      </c>
      <c r="FR10" s="35" t="s">
        <v>269</v>
      </c>
      <c r="FS10" s="35" t="s">
        <v>269</v>
      </c>
      <c r="FT10" s="35" t="s">
        <v>269</v>
      </c>
      <c r="FU10" s="35" t="s">
        <v>269</v>
      </c>
      <c r="FV10" s="35" t="s">
        <v>464</v>
      </c>
      <c r="FW10" s="35" t="s">
        <v>464</v>
      </c>
      <c r="FX10" s="35" t="s">
        <v>464</v>
      </c>
      <c r="FY10" s="35" t="s">
        <v>464</v>
      </c>
      <c r="FZ10" s="35" t="s">
        <v>464</v>
      </c>
      <c r="GA10" s="35" t="s">
        <v>464</v>
      </c>
      <c r="GB10" s="35" t="s">
        <v>464</v>
      </c>
      <c r="GC10" s="35" t="s">
        <v>464</v>
      </c>
      <c r="GD10" s="35" t="s">
        <v>464</v>
      </c>
      <c r="GE10" s="35" t="s">
        <v>464</v>
      </c>
      <c r="GF10" s="35" t="s">
        <v>464</v>
      </c>
      <c r="GG10" s="35" t="s">
        <v>464</v>
      </c>
      <c r="GH10" s="35" t="s">
        <v>464</v>
      </c>
      <c r="GI10" s="35" t="s">
        <v>464</v>
      </c>
      <c r="GJ10" s="35" t="s">
        <v>464</v>
      </c>
      <c r="GK10" s="35" t="s">
        <v>464</v>
      </c>
      <c r="GL10" s="35" t="s">
        <v>464</v>
      </c>
      <c r="GM10" s="35" t="s">
        <v>464</v>
      </c>
      <c r="GN10" s="35" t="s">
        <v>464</v>
      </c>
      <c r="GO10" s="35" t="s">
        <v>464</v>
      </c>
      <c r="GP10" s="35" t="s">
        <v>464</v>
      </c>
      <c r="GQ10" s="35" t="s">
        <v>464</v>
      </c>
    </row>
    <row r="11" spans="1:199" ht="14.25" thickTop="1" thickBot="1">
      <c r="A11" s="201" t="s">
        <v>99</v>
      </c>
      <c r="B11" s="61" t="s">
        <v>663</v>
      </c>
      <c r="C11" s="61" t="s">
        <v>519</v>
      </c>
      <c r="D11" s="83" t="s">
        <v>405</v>
      </c>
      <c r="E11" s="61" t="s">
        <v>306</v>
      </c>
      <c r="F11" s="133" t="s">
        <v>28</v>
      </c>
      <c r="G11" s="133" t="s">
        <v>67</v>
      </c>
      <c r="H11" s="83" t="s">
        <v>168</v>
      </c>
      <c r="I11" s="57" t="s">
        <v>314</v>
      </c>
      <c r="J11" s="57" t="s">
        <v>87</v>
      </c>
      <c r="K11" s="57" t="s">
        <v>230</v>
      </c>
      <c r="L11" s="57" t="s">
        <v>144</v>
      </c>
      <c r="M11" s="57" t="s">
        <v>434</v>
      </c>
      <c r="N11" s="57" t="s">
        <v>183</v>
      </c>
      <c r="O11" s="57" t="s">
        <v>302</v>
      </c>
      <c r="P11" s="57" t="s">
        <v>580</v>
      </c>
      <c r="Q11" s="57" t="s">
        <v>156</v>
      </c>
      <c r="R11" s="57" t="s">
        <v>303</v>
      </c>
      <c r="S11" s="57" t="s">
        <v>164</v>
      </c>
      <c r="T11" s="57" t="s">
        <v>408</v>
      </c>
      <c r="U11" s="57" t="s">
        <v>372</v>
      </c>
      <c r="V11" s="57" t="s">
        <v>105</v>
      </c>
      <c r="W11" s="57" t="s">
        <v>529</v>
      </c>
      <c r="X11" s="57" t="s">
        <v>478</v>
      </c>
      <c r="Y11" s="57" t="s">
        <v>439</v>
      </c>
      <c r="Z11" s="57" t="s">
        <v>75</v>
      </c>
      <c r="AA11" s="57" t="s">
        <v>675</v>
      </c>
      <c r="AB11" s="57" t="s">
        <v>111</v>
      </c>
      <c r="AC11" s="57" t="s">
        <v>293</v>
      </c>
      <c r="AD11" s="57" t="s">
        <v>312</v>
      </c>
      <c r="AE11" s="57" t="s">
        <v>416</v>
      </c>
      <c r="AF11" s="57" t="s">
        <v>430</v>
      </c>
      <c r="AG11" s="57" t="s">
        <v>438</v>
      </c>
      <c r="AH11" s="57" t="s">
        <v>705</v>
      </c>
      <c r="AI11" s="57" t="s">
        <v>15</v>
      </c>
      <c r="AJ11" s="57" t="s">
        <v>560</v>
      </c>
      <c r="AK11" s="57" t="s">
        <v>9</v>
      </c>
      <c r="AL11" s="57" t="s">
        <v>575</v>
      </c>
      <c r="AM11" s="57" t="s">
        <v>417</v>
      </c>
      <c r="AN11" s="57" t="s">
        <v>374</v>
      </c>
      <c r="AO11" s="57" t="s">
        <v>353</v>
      </c>
      <c r="AP11" s="57" t="s">
        <v>247</v>
      </c>
      <c r="AQ11" s="57" t="s">
        <v>497</v>
      </c>
      <c r="AR11" s="57" t="s">
        <v>402</v>
      </c>
      <c r="AS11" s="57" t="s">
        <v>447</v>
      </c>
      <c r="AT11" s="57" t="s">
        <v>452</v>
      </c>
      <c r="AU11" s="204" t="s">
        <v>119</v>
      </c>
      <c r="AV11" s="204" t="s">
        <v>589</v>
      </c>
      <c r="AW11" s="204" t="s">
        <v>64</v>
      </c>
      <c r="AX11" s="57" t="s">
        <v>480</v>
      </c>
      <c r="AY11" s="57" t="s">
        <v>548</v>
      </c>
      <c r="AZ11" s="204" t="s">
        <v>322</v>
      </c>
      <c r="BA11" s="204" t="s">
        <v>261</v>
      </c>
      <c r="BB11" s="204" t="s">
        <v>770</v>
      </c>
      <c r="BC11" s="204" t="s">
        <v>55</v>
      </c>
      <c r="BD11" s="57" t="s">
        <v>531</v>
      </c>
      <c r="BE11" s="204" t="s">
        <v>375</v>
      </c>
      <c r="BF11" s="204" t="s">
        <v>771</v>
      </c>
      <c r="BG11" s="204" t="s">
        <v>594</v>
      </c>
      <c r="BH11" s="301" t="s">
        <v>612</v>
      </c>
      <c r="BI11" s="301" t="s">
        <v>613</v>
      </c>
      <c r="BJ11" s="204" t="s">
        <v>574</v>
      </c>
      <c r="BK11" s="204" t="s">
        <v>359</v>
      </c>
      <c r="BL11" s="204" t="s">
        <v>93</v>
      </c>
      <c r="BM11" s="204" t="s">
        <v>199</v>
      </c>
      <c r="BN11" s="204" t="s">
        <v>252</v>
      </c>
      <c r="BO11" s="204" t="s">
        <v>152</v>
      </c>
      <c r="BP11" s="204" t="s">
        <v>556</v>
      </c>
      <c r="BQ11" s="204" t="s">
        <v>499</v>
      </c>
      <c r="BR11" s="204" t="s">
        <v>210</v>
      </c>
      <c r="BS11" s="204" t="s">
        <v>163</v>
      </c>
      <c r="BT11" s="204" t="s">
        <v>201</v>
      </c>
      <c r="BU11" s="204" t="s">
        <v>54</v>
      </c>
      <c r="BV11" s="204" t="s">
        <v>133</v>
      </c>
      <c r="BW11" s="204" t="s">
        <v>234</v>
      </c>
      <c r="BX11" s="204" t="s">
        <v>56</v>
      </c>
      <c r="BY11" s="204" t="s">
        <v>441</v>
      </c>
      <c r="BZ11" s="204" t="s">
        <v>108</v>
      </c>
      <c r="CA11" s="309" t="s">
        <v>666</v>
      </c>
      <c r="CB11" s="204" t="s">
        <v>668</v>
      </c>
      <c r="CC11" s="204" t="s">
        <v>670</v>
      </c>
      <c r="CD11" s="204" t="s">
        <v>657</v>
      </c>
      <c r="CE11" s="204" t="s">
        <v>658</v>
      </c>
      <c r="CF11" s="204" t="s">
        <v>659</v>
      </c>
      <c r="CG11" s="204" t="s">
        <v>332</v>
      </c>
      <c r="CH11" s="204" t="s">
        <v>361</v>
      </c>
      <c r="CI11" s="204" t="s">
        <v>522</v>
      </c>
      <c r="CJ11" s="204" t="s">
        <v>563</v>
      </c>
      <c r="CK11" s="204" t="s">
        <v>414</v>
      </c>
      <c r="CL11" s="204" t="s">
        <v>72</v>
      </c>
      <c r="CM11" s="204" t="s">
        <v>35</v>
      </c>
      <c r="CN11" s="204" t="s">
        <v>118</v>
      </c>
      <c r="CO11" s="204" t="s">
        <v>258</v>
      </c>
      <c r="CP11" s="204" t="s">
        <v>401</v>
      </c>
      <c r="CQ11" s="204" t="s">
        <v>283</v>
      </c>
      <c r="CR11" s="204" t="s">
        <v>66</v>
      </c>
      <c r="CS11" s="204" t="s">
        <v>577</v>
      </c>
      <c r="CT11" s="204" t="s">
        <v>725</v>
      </c>
      <c r="CU11" s="204" t="s">
        <v>376</v>
      </c>
      <c r="CV11" s="204" t="s">
        <v>506</v>
      </c>
      <c r="CW11" s="204" t="s">
        <v>708</v>
      </c>
      <c r="CX11" s="204" t="s">
        <v>324</v>
      </c>
      <c r="CY11" s="204" t="s">
        <v>518</v>
      </c>
      <c r="CZ11" s="204" t="s">
        <v>187</v>
      </c>
      <c r="DA11" s="204" t="s">
        <v>526</v>
      </c>
      <c r="DB11" s="147" t="s">
        <v>295</v>
      </c>
      <c r="DC11" s="147" t="s">
        <v>358</v>
      </c>
      <c r="DD11" s="147" t="s">
        <v>371</v>
      </c>
      <c r="DE11" s="172" t="s">
        <v>510</v>
      </c>
      <c r="DF11" s="204" t="s">
        <v>21</v>
      </c>
      <c r="DG11" s="172" t="s">
        <v>328</v>
      </c>
      <c r="DH11" s="172" t="s">
        <v>454</v>
      </c>
      <c r="DI11" s="172" t="s">
        <v>758</v>
      </c>
      <c r="DJ11" s="147" t="s">
        <v>687</v>
      </c>
      <c r="DK11" s="147" t="s">
        <v>688</v>
      </c>
      <c r="DL11" s="147" t="s">
        <v>266</v>
      </c>
      <c r="DM11" s="204" t="s">
        <v>259</v>
      </c>
      <c r="DN11" s="204" t="s">
        <v>550</v>
      </c>
      <c r="DO11" s="204" t="s">
        <v>400</v>
      </c>
      <c r="DP11" s="204" t="s">
        <v>508</v>
      </c>
      <c r="DQ11" s="2" t="s">
        <v>65</v>
      </c>
      <c r="DR11" s="2" t="s">
        <v>271</v>
      </c>
      <c r="DS11" s="2" t="s">
        <v>13</v>
      </c>
      <c r="DT11" s="2" t="s">
        <v>472</v>
      </c>
      <c r="DU11" s="2" t="s">
        <v>11</v>
      </c>
      <c r="DV11" s="2" t="s">
        <v>586</v>
      </c>
      <c r="DW11" s="2" t="s">
        <v>113</v>
      </c>
      <c r="DX11" s="2" t="s">
        <v>298</v>
      </c>
      <c r="DY11" s="2" t="s">
        <v>131</v>
      </c>
      <c r="DZ11" s="2" t="s">
        <v>458</v>
      </c>
      <c r="EA11" s="2" t="s">
        <v>444</v>
      </c>
      <c r="EB11" s="2" t="s">
        <v>14</v>
      </c>
      <c r="EC11" s="2" t="s">
        <v>172</v>
      </c>
      <c r="ED11" s="204" t="s">
        <v>679</v>
      </c>
      <c r="EE11" s="204" t="s">
        <v>253</v>
      </c>
      <c r="EF11" s="204" t="s">
        <v>672</v>
      </c>
      <c r="EG11" s="204" t="s">
        <v>724</v>
      </c>
      <c r="EH11" s="204" t="s">
        <v>716</v>
      </c>
      <c r="EI11" s="204" t="s">
        <v>0</v>
      </c>
      <c r="EJ11" s="204" t="s">
        <v>349</v>
      </c>
      <c r="EK11" s="172" t="s">
        <v>173</v>
      </c>
      <c r="EL11" s="172" t="s">
        <v>689</v>
      </c>
      <c r="EM11" s="172" t="s">
        <v>690</v>
      </c>
      <c r="EN11" s="172" t="s">
        <v>488</v>
      </c>
      <c r="EO11" s="172" t="s">
        <v>290</v>
      </c>
      <c r="EP11" s="172" t="s">
        <v>127</v>
      </c>
      <c r="EQ11" s="172" t="s">
        <v>561</v>
      </c>
      <c r="ER11" s="172" t="s">
        <v>195</v>
      </c>
      <c r="ES11" s="172" t="s">
        <v>19</v>
      </c>
      <c r="ET11" s="172" t="s">
        <v>413</v>
      </c>
      <c r="EU11" s="172" t="s">
        <v>572</v>
      </c>
      <c r="EV11" s="172" t="s">
        <v>363</v>
      </c>
      <c r="EW11" s="172" t="s">
        <v>323</v>
      </c>
      <c r="EX11" s="172" t="s">
        <v>208</v>
      </c>
      <c r="EY11" s="172" t="s">
        <v>567</v>
      </c>
      <c r="EZ11" s="204" t="s">
        <v>150</v>
      </c>
      <c r="FA11" s="172" t="s">
        <v>245</v>
      </c>
      <c r="FB11" s="172" t="s">
        <v>513</v>
      </c>
      <c r="FC11" s="172" t="s">
        <v>346</v>
      </c>
      <c r="FD11" s="172" t="s">
        <v>24</v>
      </c>
      <c r="FE11" s="172" t="s">
        <v>192</v>
      </c>
      <c r="FF11" s="172" t="s">
        <v>121</v>
      </c>
      <c r="FG11" s="172" t="s">
        <v>410</v>
      </c>
      <c r="FH11" s="172" t="s">
        <v>304</v>
      </c>
      <c r="FI11" s="172" t="s">
        <v>48</v>
      </c>
      <c r="FJ11" s="172" t="s">
        <v>509</v>
      </c>
      <c r="FK11" s="172" t="s">
        <v>393</v>
      </c>
      <c r="FL11" s="172" t="s">
        <v>500</v>
      </c>
      <c r="FM11" s="204" t="s">
        <v>576</v>
      </c>
      <c r="FN11" s="204" t="s">
        <v>126</v>
      </c>
      <c r="FO11" s="172" t="s">
        <v>537</v>
      </c>
      <c r="FP11" s="204" t="s">
        <v>492</v>
      </c>
      <c r="FQ11" s="204" t="s">
        <v>540</v>
      </c>
      <c r="FR11" s="204" t="s">
        <v>202</v>
      </c>
      <c r="FS11" s="204" t="s">
        <v>330</v>
      </c>
      <c r="FT11" s="204" t="s">
        <v>720</v>
      </c>
      <c r="FU11" s="204" t="s">
        <v>721</v>
      </c>
      <c r="FV11" s="204" t="s">
        <v>723</v>
      </c>
      <c r="FW11" s="204" t="s">
        <v>273</v>
      </c>
      <c r="FX11" s="204" t="s">
        <v>418</v>
      </c>
      <c r="FY11" s="204" t="s">
        <v>255</v>
      </c>
      <c r="FZ11" s="204" t="s">
        <v>474</v>
      </c>
      <c r="GA11" s="204" t="s">
        <v>51</v>
      </c>
      <c r="GB11" s="57" t="s">
        <v>287</v>
      </c>
      <c r="GC11" s="204" t="s">
        <v>551</v>
      </c>
      <c r="GD11" s="57" t="s">
        <v>585</v>
      </c>
      <c r="GE11" s="204" t="s">
        <v>112</v>
      </c>
      <c r="GF11" s="204" t="s">
        <v>368</v>
      </c>
      <c r="GG11" s="204" t="s">
        <v>186</v>
      </c>
      <c r="GH11" s="204" t="s">
        <v>350</v>
      </c>
      <c r="GI11" s="204" t="s">
        <v>181</v>
      </c>
      <c r="GJ11" s="204" t="s">
        <v>426</v>
      </c>
      <c r="GK11" s="204" t="s">
        <v>96</v>
      </c>
      <c r="GL11" s="204" t="s">
        <v>599</v>
      </c>
      <c r="GM11" s="204" t="s">
        <v>601</v>
      </c>
      <c r="GN11" s="204" t="s">
        <v>602</v>
      </c>
      <c r="GO11" s="204" t="s">
        <v>603</v>
      </c>
      <c r="GP11" s="204" t="s">
        <v>604</v>
      </c>
      <c r="GQ11" s="204" t="s">
        <v>605</v>
      </c>
    </row>
    <row r="12" spans="1:199" ht="14.25" thickTop="1" thickBot="1">
      <c r="A12" s="201" t="s">
        <v>664</v>
      </c>
      <c r="B12" s="35" t="s">
        <v>269</v>
      </c>
      <c r="C12" s="35" t="s">
        <v>269</v>
      </c>
      <c r="D12" s="35" t="s">
        <v>269</v>
      </c>
      <c r="E12" s="35" t="s">
        <v>269</v>
      </c>
      <c r="F12" s="73" t="s">
        <v>449</v>
      </c>
      <c r="G12" s="73" t="s">
        <v>449</v>
      </c>
      <c r="H12" s="35" t="s">
        <v>269</v>
      </c>
      <c r="I12" s="35" t="s">
        <v>269</v>
      </c>
      <c r="J12" s="35" t="s">
        <v>269</v>
      </c>
      <c r="K12" s="35" t="s">
        <v>269</v>
      </c>
      <c r="L12" s="35" t="s">
        <v>269</v>
      </c>
      <c r="M12" s="35" t="s">
        <v>269</v>
      </c>
      <c r="N12" s="35" t="s">
        <v>269</v>
      </c>
      <c r="O12" s="35" t="s">
        <v>269</v>
      </c>
      <c r="P12" s="35" t="s">
        <v>269</v>
      </c>
      <c r="Q12" s="35" t="s">
        <v>269</v>
      </c>
      <c r="R12" s="35" t="s">
        <v>269</v>
      </c>
      <c r="S12" s="35" t="s">
        <v>269</v>
      </c>
      <c r="T12" s="35" t="s">
        <v>269</v>
      </c>
      <c r="U12" s="35" t="s">
        <v>269</v>
      </c>
      <c r="V12" s="35" t="s">
        <v>449</v>
      </c>
      <c r="W12" s="35" t="s">
        <v>269</v>
      </c>
      <c r="X12" s="35" t="s">
        <v>269</v>
      </c>
      <c r="Y12" s="35" t="s">
        <v>269</v>
      </c>
      <c r="Z12" s="35" t="s">
        <v>449</v>
      </c>
      <c r="AA12" s="35" t="s">
        <v>565</v>
      </c>
      <c r="AB12" s="35" t="s">
        <v>269</v>
      </c>
      <c r="AC12" s="35" t="s">
        <v>269</v>
      </c>
      <c r="AD12" s="35" t="s">
        <v>269</v>
      </c>
      <c r="AE12" s="35" t="s">
        <v>269</v>
      </c>
      <c r="AF12" s="35" t="s">
        <v>269</v>
      </c>
      <c r="AG12" s="35" t="s">
        <v>269</v>
      </c>
      <c r="AH12" s="35" t="s">
        <v>269</v>
      </c>
      <c r="AI12" s="35" t="s">
        <v>269</v>
      </c>
      <c r="AJ12" s="35" t="s">
        <v>269</v>
      </c>
      <c r="AK12" s="35" t="s">
        <v>269</v>
      </c>
      <c r="AL12" s="35" t="s">
        <v>269</v>
      </c>
      <c r="AM12" s="35" t="s">
        <v>464</v>
      </c>
      <c r="AN12" s="35" t="s">
        <v>464</v>
      </c>
      <c r="AO12" s="35" t="s">
        <v>269</v>
      </c>
      <c r="AP12" s="35" t="s">
        <v>269</v>
      </c>
      <c r="AQ12" s="35" t="s">
        <v>269</v>
      </c>
      <c r="AR12" s="35" t="s">
        <v>269</v>
      </c>
      <c r="AS12" s="35" t="s">
        <v>269</v>
      </c>
      <c r="AT12" s="35" t="s">
        <v>269</v>
      </c>
      <c r="AU12" s="35" t="s">
        <v>269</v>
      </c>
      <c r="AV12" s="35" t="s">
        <v>269</v>
      </c>
      <c r="AW12" s="35" t="s">
        <v>269</v>
      </c>
      <c r="AX12" s="35" t="s">
        <v>269</v>
      </c>
      <c r="AY12" s="35" t="s">
        <v>449</v>
      </c>
      <c r="AZ12" s="239" t="s">
        <v>269</v>
      </c>
      <c r="BA12" s="35" t="s">
        <v>269</v>
      </c>
      <c r="BB12" s="35" t="s">
        <v>269</v>
      </c>
      <c r="BC12" s="35" t="s">
        <v>269</v>
      </c>
      <c r="BD12" s="35" t="s">
        <v>269</v>
      </c>
      <c r="BE12" s="35" t="s">
        <v>269</v>
      </c>
      <c r="BF12" s="35" t="s">
        <v>269</v>
      </c>
      <c r="BG12" s="35" t="s">
        <v>269</v>
      </c>
      <c r="BH12" s="300" t="s">
        <v>269</v>
      </c>
      <c r="BI12" s="300" t="s">
        <v>269</v>
      </c>
      <c r="BJ12" s="35" t="s">
        <v>269</v>
      </c>
      <c r="BK12" s="35" t="s">
        <v>269</v>
      </c>
      <c r="BL12" s="35" t="s">
        <v>269</v>
      </c>
      <c r="BM12" s="35" t="s">
        <v>269</v>
      </c>
      <c r="BN12" s="35" t="s">
        <v>269</v>
      </c>
      <c r="BO12" s="35" t="s">
        <v>449</v>
      </c>
      <c r="BP12" s="35" t="s">
        <v>269</v>
      </c>
      <c r="BQ12" s="35" t="s">
        <v>269</v>
      </c>
      <c r="BR12" s="35" t="s">
        <v>269</v>
      </c>
      <c r="BS12" s="35" t="s">
        <v>269</v>
      </c>
      <c r="BT12" s="35" t="s">
        <v>269</v>
      </c>
      <c r="BU12" s="35" t="s">
        <v>269</v>
      </c>
      <c r="BV12" s="35"/>
      <c r="BW12" s="35"/>
      <c r="BX12" s="35"/>
      <c r="BY12" s="35"/>
      <c r="BZ12" s="35"/>
      <c r="CA12" s="314"/>
      <c r="CB12" s="35"/>
      <c r="CC12" s="35"/>
      <c r="CD12" s="35"/>
      <c r="CE12" s="35"/>
      <c r="CF12" s="35"/>
      <c r="CG12" s="35" t="s">
        <v>269</v>
      </c>
      <c r="CH12" s="35" t="s">
        <v>269</v>
      </c>
      <c r="CI12" s="35" t="s">
        <v>269</v>
      </c>
      <c r="CJ12" s="35" t="s">
        <v>269</v>
      </c>
      <c r="CK12" s="35" t="s">
        <v>269</v>
      </c>
      <c r="CL12" s="35" t="s">
        <v>269</v>
      </c>
      <c r="CM12" s="35" t="s">
        <v>269</v>
      </c>
      <c r="CN12" s="35" t="s">
        <v>449</v>
      </c>
      <c r="CO12" s="35" t="s">
        <v>449</v>
      </c>
      <c r="CP12" s="35" t="s">
        <v>449</v>
      </c>
      <c r="CQ12" s="35" t="s">
        <v>449</v>
      </c>
      <c r="CR12" s="35" t="s">
        <v>449</v>
      </c>
      <c r="CS12" s="35" t="s">
        <v>449</v>
      </c>
      <c r="CT12" s="35" t="s">
        <v>449</v>
      </c>
      <c r="CU12" s="35" t="s">
        <v>449</v>
      </c>
      <c r="CV12" s="35" t="s">
        <v>449</v>
      </c>
      <c r="CW12" s="35" t="s">
        <v>449</v>
      </c>
      <c r="CX12" s="35" t="s">
        <v>449</v>
      </c>
      <c r="CY12" s="35" t="s">
        <v>449</v>
      </c>
      <c r="CZ12" s="35" t="s">
        <v>449</v>
      </c>
      <c r="DA12" s="35" t="s">
        <v>449</v>
      </c>
      <c r="DB12" s="35" t="s">
        <v>449</v>
      </c>
      <c r="DC12" s="35" t="s">
        <v>449</v>
      </c>
      <c r="DD12" s="239" t="s">
        <v>449</v>
      </c>
      <c r="DE12" s="35"/>
      <c r="DF12" s="35"/>
      <c r="DG12" s="35" t="s">
        <v>269</v>
      </c>
      <c r="DH12" s="35" t="s">
        <v>269</v>
      </c>
      <c r="DI12" s="35" t="s">
        <v>464</v>
      </c>
      <c r="DJ12" s="239" t="s">
        <v>449</v>
      </c>
      <c r="DK12" s="239" t="s">
        <v>269</v>
      </c>
      <c r="DL12" s="239" t="s">
        <v>449</v>
      </c>
      <c r="DM12" s="35" t="s">
        <v>449</v>
      </c>
      <c r="DN12" s="35" t="s">
        <v>464</v>
      </c>
      <c r="DO12" s="35"/>
      <c r="DP12" s="35"/>
      <c r="DQ12" s="73"/>
      <c r="DR12" s="73"/>
      <c r="DS12" s="73"/>
      <c r="DT12" s="73"/>
      <c r="DU12" s="73"/>
      <c r="DV12" s="73"/>
      <c r="DW12" s="73"/>
      <c r="DX12" s="73"/>
      <c r="DY12" s="73"/>
      <c r="DZ12" s="73"/>
      <c r="EA12" s="73"/>
      <c r="EB12" s="73"/>
      <c r="EC12" s="73"/>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c r="FB12" s="35"/>
      <c r="FC12" s="35"/>
      <c r="FD12" s="35"/>
      <c r="FE12" s="35"/>
      <c r="FF12" s="35"/>
      <c r="FG12" s="35"/>
      <c r="FH12" s="35"/>
      <c r="FI12" s="35"/>
      <c r="FJ12" s="35"/>
      <c r="FK12" s="35"/>
      <c r="FL12" s="35"/>
      <c r="FM12" s="35"/>
      <c r="FN12" s="35"/>
      <c r="FO12" s="35"/>
      <c r="FP12" s="35"/>
      <c r="FQ12" s="35"/>
      <c r="FR12" s="35" t="s">
        <v>464</v>
      </c>
      <c r="FS12" s="35" t="s">
        <v>464</v>
      </c>
      <c r="FT12" s="35"/>
      <c r="FU12" s="35"/>
      <c r="FV12" s="35"/>
      <c r="FW12" s="35"/>
      <c r="FX12" s="35"/>
      <c r="FY12" s="35"/>
      <c r="FZ12" s="35"/>
      <c r="GA12" s="35" t="s">
        <v>269</v>
      </c>
      <c r="GB12" s="35" t="s">
        <v>269</v>
      </c>
      <c r="GC12" s="35" t="s">
        <v>269</v>
      </c>
      <c r="GD12" s="35" t="s">
        <v>269</v>
      </c>
      <c r="GE12" s="35"/>
      <c r="GF12" s="35"/>
      <c r="GG12" s="35"/>
      <c r="GH12" s="35"/>
      <c r="GI12" s="35"/>
      <c r="GJ12" s="35"/>
      <c r="GK12" s="35"/>
      <c r="GL12" s="35"/>
      <c r="GM12" s="35"/>
      <c r="GN12" s="35"/>
      <c r="GO12" s="35"/>
      <c r="GP12" s="35"/>
      <c r="GQ12" s="35"/>
    </row>
    <row r="13" spans="1:199" ht="14.25" thickTop="1" thickBot="1">
      <c r="A13" s="201" t="s">
        <v>665</v>
      </c>
      <c r="B13" s="61" t="s">
        <v>663</v>
      </c>
      <c r="C13" s="61" t="s">
        <v>519</v>
      </c>
      <c r="D13" s="83" t="s">
        <v>405</v>
      </c>
      <c r="E13" s="61" t="s">
        <v>306</v>
      </c>
      <c r="F13" s="133" t="s">
        <v>28</v>
      </c>
      <c r="G13" s="133" t="s">
        <v>67</v>
      </c>
      <c r="H13" s="83" t="s">
        <v>168</v>
      </c>
      <c r="I13" s="57" t="s">
        <v>314</v>
      </c>
      <c r="J13" s="57" t="s">
        <v>87</v>
      </c>
      <c r="K13" s="57" t="s">
        <v>230</v>
      </c>
      <c r="L13" s="57" t="s">
        <v>144</v>
      </c>
      <c r="M13" s="57" t="s">
        <v>434</v>
      </c>
      <c r="N13" s="57" t="s">
        <v>183</v>
      </c>
      <c r="O13" s="57" t="s">
        <v>302</v>
      </c>
      <c r="P13" s="57" t="s">
        <v>580</v>
      </c>
      <c r="Q13" s="57" t="s">
        <v>156</v>
      </c>
      <c r="R13" s="57" t="s">
        <v>303</v>
      </c>
      <c r="S13" s="57" t="s">
        <v>164</v>
      </c>
      <c r="T13" s="57" t="s">
        <v>408</v>
      </c>
      <c r="U13" s="57" t="s">
        <v>372</v>
      </c>
      <c r="V13" s="57" t="s">
        <v>105</v>
      </c>
      <c r="W13" s="57" t="s">
        <v>529</v>
      </c>
      <c r="X13" s="57" t="s">
        <v>478</v>
      </c>
      <c r="Y13" s="57" t="s">
        <v>439</v>
      </c>
      <c r="Z13" s="57" t="s">
        <v>75</v>
      </c>
      <c r="AA13" s="57" t="s">
        <v>675</v>
      </c>
      <c r="AB13" s="57" t="s">
        <v>111</v>
      </c>
      <c r="AC13" s="57" t="s">
        <v>293</v>
      </c>
      <c r="AD13" s="57" t="s">
        <v>312</v>
      </c>
      <c r="AE13" s="57" t="s">
        <v>416</v>
      </c>
      <c r="AF13" s="57" t="s">
        <v>430</v>
      </c>
      <c r="AG13" s="57" t="s">
        <v>438</v>
      </c>
      <c r="AH13" s="57" t="s">
        <v>705</v>
      </c>
      <c r="AI13" s="57" t="s">
        <v>15</v>
      </c>
      <c r="AJ13" s="57" t="s">
        <v>560</v>
      </c>
      <c r="AK13" s="57" t="s">
        <v>9</v>
      </c>
      <c r="AL13" s="57" t="s">
        <v>575</v>
      </c>
      <c r="AM13" s="57" t="s">
        <v>417</v>
      </c>
      <c r="AN13" s="57" t="s">
        <v>374</v>
      </c>
      <c r="AO13" s="57" t="s">
        <v>353</v>
      </c>
      <c r="AP13" s="57" t="s">
        <v>247</v>
      </c>
      <c r="AQ13" s="57" t="s">
        <v>497</v>
      </c>
      <c r="AR13" s="57" t="s">
        <v>402</v>
      </c>
      <c r="AS13" s="57" t="s">
        <v>447</v>
      </c>
      <c r="AT13" s="57" t="s">
        <v>452</v>
      </c>
      <c r="AU13" s="204" t="s">
        <v>119</v>
      </c>
      <c r="AV13" s="204" t="s">
        <v>589</v>
      </c>
      <c r="AW13" s="204" t="s">
        <v>64</v>
      </c>
      <c r="AX13" s="57" t="s">
        <v>480</v>
      </c>
      <c r="AY13" s="57" t="s">
        <v>548</v>
      </c>
      <c r="AZ13" s="204" t="s">
        <v>322</v>
      </c>
      <c r="BA13" s="204" t="s">
        <v>261</v>
      </c>
      <c r="BB13" s="204" t="s">
        <v>770</v>
      </c>
      <c r="BC13" s="204" t="s">
        <v>55</v>
      </c>
      <c r="BD13" s="57" t="s">
        <v>531</v>
      </c>
      <c r="BE13" s="204" t="s">
        <v>375</v>
      </c>
      <c r="BF13" s="204" t="s">
        <v>771</v>
      </c>
      <c r="BG13" s="204" t="s">
        <v>594</v>
      </c>
      <c r="BH13" s="301" t="s">
        <v>612</v>
      </c>
      <c r="BI13" s="301" t="s">
        <v>613</v>
      </c>
      <c r="BJ13" s="204" t="s">
        <v>574</v>
      </c>
      <c r="BK13" s="204" t="s">
        <v>359</v>
      </c>
      <c r="BL13" s="204" t="s">
        <v>93</v>
      </c>
      <c r="BM13" s="204" t="s">
        <v>199</v>
      </c>
      <c r="BN13" s="204" t="s">
        <v>252</v>
      </c>
      <c r="BO13" s="204" t="s">
        <v>152</v>
      </c>
      <c r="BP13" s="204" t="s">
        <v>556</v>
      </c>
      <c r="BQ13" s="204" t="s">
        <v>499</v>
      </c>
      <c r="BR13" s="204" t="s">
        <v>210</v>
      </c>
      <c r="BS13" s="204" t="s">
        <v>163</v>
      </c>
      <c r="BT13" s="204" t="s">
        <v>201</v>
      </c>
      <c r="BU13" s="204" t="s">
        <v>54</v>
      </c>
      <c r="BV13" s="204"/>
      <c r="BW13" s="204"/>
      <c r="BX13" s="204"/>
      <c r="BY13" s="204"/>
      <c r="BZ13" s="204"/>
      <c r="CA13" s="309"/>
      <c r="CB13" s="204"/>
      <c r="CC13" s="204"/>
      <c r="CD13" s="204"/>
      <c r="CE13" s="204"/>
      <c r="CF13" s="204"/>
      <c r="CG13" s="204" t="s">
        <v>332</v>
      </c>
      <c r="CH13" s="204" t="s">
        <v>361</v>
      </c>
      <c r="CI13" s="204" t="s">
        <v>666</v>
      </c>
      <c r="CJ13" s="204" t="s">
        <v>668</v>
      </c>
      <c r="CK13" s="204" t="s">
        <v>670</v>
      </c>
      <c r="CL13" s="204" t="s">
        <v>72</v>
      </c>
      <c r="CM13" s="204" t="s">
        <v>35</v>
      </c>
      <c r="CN13" s="204" t="s">
        <v>118</v>
      </c>
      <c r="CO13" s="204" t="s">
        <v>258</v>
      </c>
      <c r="CP13" s="204" t="s">
        <v>401</v>
      </c>
      <c r="CQ13" s="204" t="s">
        <v>283</v>
      </c>
      <c r="CR13" s="204" t="s">
        <v>66</v>
      </c>
      <c r="CS13" s="204" t="s">
        <v>577</v>
      </c>
      <c r="CT13" s="204" t="s">
        <v>725</v>
      </c>
      <c r="CU13" s="204" t="s">
        <v>376</v>
      </c>
      <c r="CV13" s="204" t="s">
        <v>506</v>
      </c>
      <c r="CW13" s="204" t="s">
        <v>708</v>
      </c>
      <c r="CX13" s="204" t="s">
        <v>324</v>
      </c>
      <c r="CY13" s="204" t="s">
        <v>518</v>
      </c>
      <c r="CZ13" s="204" t="s">
        <v>187</v>
      </c>
      <c r="DA13" s="204" t="s">
        <v>526</v>
      </c>
      <c r="DB13" s="147" t="s">
        <v>295</v>
      </c>
      <c r="DC13" s="147" t="s">
        <v>358</v>
      </c>
      <c r="DD13" s="147" t="s">
        <v>371</v>
      </c>
      <c r="DE13" s="172"/>
      <c r="DF13" s="204"/>
      <c r="DG13" s="172" t="s">
        <v>328</v>
      </c>
      <c r="DH13" s="172" t="s">
        <v>454</v>
      </c>
      <c r="DI13" s="172" t="s">
        <v>758</v>
      </c>
      <c r="DJ13" s="147" t="s">
        <v>687</v>
      </c>
      <c r="DK13" s="147" t="s">
        <v>688</v>
      </c>
      <c r="DL13" s="147" t="s">
        <v>266</v>
      </c>
      <c r="DM13" s="204" t="s">
        <v>259</v>
      </c>
      <c r="DN13" s="204" t="s">
        <v>728</v>
      </c>
      <c r="DO13" s="204"/>
      <c r="DP13" s="204"/>
      <c r="DQ13" s="2"/>
      <c r="DR13" s="2"/>
      <c r="DS13" s="2"/>
      <c r="DT13" s="2"/>
      <c r="DU13" s="2"/>
      <c r="DV13" s="2"/>
      <c r="DW13" s="2"/>
      <c r="DX13" s="2"/>
      <c r="DY13" s="2"/>
      <c r="DZ13" s="2"/>
      <c r="EA13" s="2"/>
      <c r="EB13" s="2"/>
      <c r="EC13" s="2"/>
      <c r="ED13" s="204"/>
      <c r="EE13" s="204"/>
      <c r="EF13" s="204"/>
      <c r="EG13" s="204"/>
      <c r="EH13" s="204"/>
      <c r="EI13" s="204"/>
      <c r="EJ13" s="204"/>
      <c r="EK13" s="172"/>
      <c r="EL13" s="172"/>
      <c r="EM13" s="172"/>
      <c r="EN13" s="172"/>
      <c r="EO13" s="172"/>
      <c r="EP13" s="172"/>
      <c r="EQ13" s="172"/>
      <c r="ER13" s="172"/>
      <c r="ES13" s="172"/>
      <c r="ET13" s="172"/>
      <c r="EU13" s="172"/>
      <c r="EV13" s="172"/>
      <c r="EW13" s="172"/>
      <c r="EX13" s="172"/>
      <c r="EY13" s="172"/>
      <c r="EZ13" s="204"/>
      <c r="FA13" s="172"/>
      <c r="FB13" s="172"/>
      <c r="FC13" s="172"/>
      <c r="FD13" s="172"/>
      <c r="FE13" s="172"/>
      <c r="FF13" s="172"/>
      <c r="FG13" s="172"/>
      <c r="FH13" s="172"/>
      <c r="FI13" s="172"/>
      <c r="FJ13" s="172"/>
      <c r="FK13" s="172"/>
      <c r="FL13" s="172"/>
      <c r="FM13" s="204"/>
      <c r="FN13" s="204"/>
      <c r="FO13" s="172"/>
      <c r="FP13" s="204"/>
      <c r="FQ13" s="204"/>
      <c r="FR13" s="204" t="s">
        <v>202</v>
      </c>
      <c r="FS13" s="204" t="s">
        <v>330</v>
      </c>
      <c r="FT13" s="204"/>
      <c r="FU13" s="204"/>
      <c r="FV13" s="204"/>
      <c r="FW13" s="204"/>
      <c r="FX13" s="204"/>
      <c r="FY13" s="204"/>
      <c r="FZ13" s="204"/>
      <c r="GA13" s="204" t="s">
        <v>51</v>
      </c>
      <c r="GB13" s="57" t="s">
        <v>287</v>
      </c>
      <c r="GC13" s="204" t="s">
        <v>551</v>
      </c>
      <c r="GD13" s="57" t="s">
        <v>585</v>
      </c>
      <c r="GE13" s="204"/>
      <c r="GF13" s="204"/>
      <c r="GG13" s="204"/>
      <c r="GH13" s="204"/>
      <c r="GI13" s="204"/>
      <c r="GJ13" s="204"/>
      <c r="GK13" s="204"/>
      <c r="GL13" s="204"/>
      <c r="GM13" s="204"/>
      <c r="GN13" s="204"/>
      <c r="GO13" s="204"/>
      <c r="GP13" s="204"/>
      <c r="GQ13" s="204"/>
    </row>
    <row r="14" spans="1:199" ht="14.25" thickTop="1" thickBot="1">
      <c r="A14" s="201" t="s">
        <v>104</v>
      </c>
      <c r="B14" s="35" t="s">
        <v>269</v>
      </c>
      <c r="C14" s="35" t="s">
        <v>269</v>
      </c>
      <c r="D14" s="35" t="s">
        <v>269</v>
      </c>
      <c r="E14" s="35" t="s">
        <v>269</v>
      </c>
      <c r="F14" s="73" t="s">
        <v>449</v>
      </c>
      <c r="G14" s="73" t="s">
        <v>565</v>
      </c>
      <c r="H14" s="35" t="s">
        <v>269</v>
      </c>
      <c r="I14" s="35" t="s">
        <v>269</v>
      </c>
      <c r="J14" s="35" t="s">
        <v>269</v>
      </c>
      <c r="K14" s="35" t="s">
        <v>269</v>
      </c>
      <c r="L14" s="35" t="s">
        <v>269</v>
      </c>
      <c r="M14" s="35" t="s">
        <v>269</v>
      </c>
      <c r="N14" s="35" t="s">
        <v>269</v>
      </c>
      <c r="O14" s="35" t="s">
        <v>269</v>
      </c>
      <c r="P14" s="35" t="s">
        <v>269</v>
      </c>
      <c r="Q14" s="35" t="s">
        <v>269</v>
      </c>
      <c r="R14" s="35" t="s">
        <v>269</v>
      </c>
      <c r="S14" s="35" t="s">
        <v>269</v>
      </c>
      <c r="T14" s="35" t="s">
        <v>269</v>
      </c>
      <c r="U14" s="35" t="s">
        <v>269</v>
      </c>
      <c r="V14" s="35" t="s">
        <v>269</v>
      </c>
      <c r="W14" s="35" t="s">
        <v>269</v>
      </c>
      <c r="X14" s="35" t="s">
        <v>269</v>
      </c>
      <c r="Y14" s="35" t="s">
        <v>269</v>
      </c>
      <c r="Z14" s="35" t="s">
        <v>269</v>
      </c>
      <c r="AA14" s="35" t="s">
        <v>565</v>
      </c>
      <c r="AB14" s="35" t="s">
        <v>269</v>
      </c>
      <c r="AC14" s="35" t="s">
        <v>269</v>
      </c>
      <c r="AD14" s="35" t="s">
        <v>269</v>
      </c>
      <c r="AE14" s="35" t="s">
        <v>269</v>
      </c>
      <c r="AF14" s="35" t="s">
        <v>269</v>
      </c>
      <c r="AG14" s="35" t="s">
        <v>269</v>
      </c>
      <c r="AH14" s="35" t="s">
        <v>269</v>
      </c>
      <c r="AI14" s="35" t="s">
        <v>269</v>
      </c>
      <c r="AJ14" s="35" t="s">
        <v>269</v>
      </c>
      <c r="AK14" s="35" t="s">
        <v>269</v>
      </c>
      <c r="AL14" s="35" t="s">
        <v>269</v>
      </c>
      <c r="AM14" s="35" t="s">
        <v>449</v>
      </c>
      <c r="AN14" s="35" t="s">
        <v>449</v>
      </c>
      <c r="AO14" s="35" t="s">
        <v>269</v>
      </c>
      <c r="AP14" s="35" t="s">
        <v>269</v>
      </c>
      <c r="AQ14" s="35" t="s">
        <v>269</v>
      </c>
      <c r="AR14" s="35" t="s">
        <v>269</v>
      </c>
      <c r="AS14" s="35" t="s">
        <v>269</v>
      </c>
      <c r="AT14" s="35" t="s">
        <v>269</v>
      </c>
      <c r="AU14" s="35" t="s">
        <v>269</v>
      </c>
      <c r="AV14" s="35" t="s">
        <v>269</v>
      </c>
      <c r="AW14" s="35" t="s">
        <v>269</v>
      </c>
      <c r="AX14" s="35" t="s">
        <v>269</v>
      </c>
      <c r="AY14" s="35" t="s">
        <v>269</v>
      </c>
      <c r="AZ14" s="35" t="s">
        <v>269</v>
      </c>
      <c r="BA14" s="35" t="s">
        <v>269</v>
      </c>
      <c r="BB14" s="35" t="s">
        <v>269</v>
      </c>
      <c r="BC14" s="35" t="s">
        <v>269</v>
      </c>
      <c r="BD14" s="35" t="s">
        <v>269</v>
      </c>
      <c r="BE14" s="35" t="s">
        <v>269</v>
      </c>
      <c r="BF14" s="35" t="s">
        <v>269</v>
      </c>
      <c r="BG14" s="35" t="s">
        <v>269</v>
      </c>
      <c r="BH14" s="300" t="s">
        <v>269</v>
      </c>
      <c r="BI14" s="300" t="s">
        <v>269</v>
      </c>
      <c r="BJ14" s="35" t="s">
        <v>269</v>
      </c>
      <c r="BK14" s="35" t="s">
        <v>269</v>
      </c>
      <c r="BL14" s="35" t="s">
        <v>269</v>
      </c>
      <c r="BM14" s="35" t="s">
        <v>269</v>
      </c>
      <c r="BN14" s="35" t="s">
        <v>269</v>
      </c>
      <c r="BO14" s="35" t="s">
        <v>269</v>
      </c>
      <c r="BP14" s="35" t="s">
        <v>269</v>
      </c>
      <c r="BQ14" s="35" t="s">
        <v>269</v>
      </c>
      <c r="BR14" s="35" t="s">
        <v>269</v>
      </c>
      <c r="BS14" s="35" t="s">
        <v>269</v>
      </c>
      <c r="BT14" s="35" t="s">
        <v>269</v>
      </c>
      <c r="BU14" s="35" t="s">
        <v>269</v>
      </c>
      <c r="BV14" s="35" t="s">
        <v>269</v>
      </c>
      <c r="BW14" s="35" t="s">
        <v>269</v>
      </c>
      <c r="BX14" s="35" t="s">
        <v>269</v>
      </c>
      <c r="BY14" s="35" t="s">
        <v>269</v>
      </c>
      <c r="BZ14" s="35" t="s">
        <v>269</v>
      </c>
      <c r="CA14" s="314" t="s">
        <v>269</v>
      </c>
      <c r="CB14" s="35" t="s">
        <v>269</v>
      </c>
      <c r="CC14" s="35" t="s">
        <v>269</v>
      </c>
      <c r="CD14" s="35" t="s">
        <v>269</v>
      </c>
      <c r="CE14" s="35" t="s">
        <v>269</v>
      </c>
      <c r="CF14" s="35" t="s">
        <v>269</v>
      </c>
      <c r="CG14" s="35" t="s">
        <v>269</v>
      </c>
      <c r="CH14" s="35" t="s">
        <v>269</v>
      </c>
      <c r="CI14" s="35" t="s">
        <v>449</v>
      </c>
      <c r="CJ14" s="35" t="s">
        <v>449</v>
      </c>
      <c r="CK14" s="35" t="s">
        <v>449</v>
      </c>
      <c r="CL14" s="35" t="s">
        <v>269</v>
      </c>
      <c r="CM14" s="35" t="s">
        <v>269</v>
      </c>
      <c r="CN14" s="35" t="s">
        <v>449</v>
      </c>
      <c r="CO14" s="35" t="s">
        <v>449</v>
      </c>
      <c r="CP14" s="35" t="s">
        <v>269</v>
      </c>
      <c r="CQ14" s="35" t="s">
        <v>464</v>
      </c>
      <c r="CR14" s="35" t="s">
        <v>464</v>
      </c>
      <c r="CS14" s="35" t="s">
        <v>449</v>
      </c>
      <c r="CT14" s="35" t="s">
        <v>464</v>
      </c>
      <c r="CU14" s="35" t="s">
        <v>449</v>
      </c>
      <c r="CV14" s="35" t="s">
        <v>464</v>
      </c>
      <c r="CW14" s="35" t="s">
        <v>269</v>
      </c>
      <c r="CX14" s="35" t="s">
        <v>464</v>
      </c>
      <c r="CY14" s="35" t="s">
        <v>464</v>
      </c>
      <c r="CZ14" s="35" t="s">
        <v>449</v>
      </c>
      <c r="DA14" s="35" t="s">
        <v>449</v>
      </c>
      <c r="DB14" s="239" t="s">
        <v>464</v>
      </c>
      <c r="DC14" s="239" t="s">
        <v>464</v>
      </c>
      <c r="DD14" s="239" t="s">
        <v>464</v>
      </c>
      <c r="DF14" s="35" t="s">
        <v>269</v>
      </c>
      <c r="DG14" s="35" t="s">
        <v>269</v>
      </c>
      <c r="DH14" s="35" t="s">
        <v>269</v>
      </c>
      <c r="DI14" s="35" t="s">
        <v>464</v>
      </c>
      <c r="DJ14" s="239" t="s">
        <v>464</v>
      </c>
      <c r="DK14" s="239" t="s">
        <v>269</v>
      </c>
      <c r="DL14" s="239" t="s">
        <v>464</v>
      </c>
      <c r="DM14" s="35" t="s">
        <v>464</v>
      </c>
      <c r="DN14" s="35" t="s">
        <v>464</v>
      </c>
      <c r="DO14" s="35" t="s">
        <v>464</v>
      </c>
      <c r="DP14" s="35" t="s">
        <v>464</v>
      </c>
      <c r="DQ14" s="99"/>
      <c r="DR14" s="99"/>
      <c r="DS14" s="99"/>
      <c r="DT14" s="99"/>
      <c r="DU14" s="99"/>
      <c r="DV14" s="99"/>
      <c r="DW14" s="99"/>
      <c r="DX14" s="99"/>
      <c r="DY14" s="99"/>
      <c r="DZ14" s="99"/>
      <c r="EA14" s="99"/>
      <c r="EB14" s="99"/>
      <c r="EC14" s="99"/>
      <c r="EI14" s="15"/>
      <c r="EJ14" s="15"/>
      <c r="EM14" s="35" t="s">
        <v>269</v>
      </c>
      <c r="FQ14" s="15"/>
      <c r="FT14" s="15"/>
      <c r="FU14" s="15"/>
      <c r="FV14" s="15"/>
      <c r="FX14" s="35" t="s">
        <v>269</v>
      </c>
      <c r="GA14" s="35" t="s">
        <v>269</v>
      </c>
      <c r="GB14" s="35" t="s">
        <v>269</v>
      </c>
      <c r="GC14" s="35" t="s">
        <v>269</v>
      </c>
      <c r="GD14" s="35" t="s">
        <v>269</v>
      </c>
      <c r="GL14" s="55"/>
      <c r="GM14" s="55"/>
      <c r="GN14" s="55"/>
      <c r="GO14" s="55"/>
      <c r="GP14" s="55"/>
      <c r="GQ14" s="55"/>
    </row>
    <row r="15" spans="1:199" ht="14.25" thickTop="1" thickBot="1">
      <c r="A15" s="201" t="s">
        <v>77</v>
      </c>
      <c r="B15" s="198" t="s">
        <v>663</v>
      </c>
      <c r="C15" s="198" t="s">
        <v>519</v>
      </c>
      <c r="D15" s="217" t="s">
        <v>405</v>
      </c>
      <c r="E15" s="198" t="s">
        <v>306</v>
      </c>
      <c r="F15" s="18" t="s">
        <v>28</v>
      </c>
      <c r="G15" s="133" t="s">
        <v>67</v>
      </c>
      <c r="H15" s="217" t="s">
        <v>168</v>
      </c>
      <c r="I15" s="196" t="s">
        <v>314</v>
      </c>
      <c r="J15" s="196" t="s">
        <v>87</v>
      </c>
      <c r="K15" s="196" t="s">
        <v>230</v>
      </c>
      <c r="L15" s="196" t="s">
        <v>144</v>
      </c>
      <c r="M15" s="196" t="s">
        <v>434</v>
      </c>
      <c r="N15" s="57" t="s">
        <v>183</v>
      </c>
      <c r="O15" s="57" t="s">
        <v>302</v>
      </c>
      <c r="P15" s="57" t="s">
        <v>580</v>
      </c>
      <c r="Q15" s="57" t="s">
        <v>156</v>
      </c>
      <c r="R15" s="57" t="s">
        <v>303</v>
      </c>
      <c r="S15" s="196" t="s">
        <v>164</v>
      </c>
      <c r="T15" s="196" t="s">
        <v>408</v>
      </c>
      <c r="U15" s="57" t="s">
        <v>372</v>
      </c>
      <c r="V15" s="196" t="s">
        <v>105</v>
      </c>
      <c r="W15" s="180" t="s">
        <v>529</v>
      </c>
      <c r="X15" s="180" t="s">
        <v>478</v>
      </c>
      <c r="Y15" s="180" t="s">
        <v>439</v>
      </c>
      <c r="Z15" s="180" t="s">
        <v>75</v>
      </c>
      <c r="AA15" s="57" t="s">
        <v>675</v>
      </c>
      <c r="AB15" s="196" t="s">
        <v>111</v>
      </c>
      <c r="AC15" s="196" t="s">
        <v>293</v>
      </c>
      <c r="AD15" s="196" t="s">
        <v>312</v>
      </c>
      <c r="AE15" s="196" t="s">
        <v>416</v>
      </c>
      <c r="AF15" s="196" t="s">
        <v>430</v>
      </c>
      <c r="AG15" s="196" t="s">
        <v>438</v>
      </c>
      <c r="AH15" s="57" t="s">
        <v>705</v>
      </c>
      <c r="AI15" s="196" t="s">
        <v>15</v>
      </c>
      <c r="AJ15" s="196" t="s">
        <v>560</v>
      </c>
      <c r="AK15" s="196" t="s">
        <v>9</v>
      </c>
      <c r="AL15" s="196" t="s">
        <v>575</v>
      </c>
      <c r="AM15" s="196" t="s">
        <v>274</v>
      </c>
      <c r="AN15" s="196" t="s">
        <v>388</v>
      </c>
      <c r="AO15" s="196" t="s">
        <v>353</v>
      </c>
      <c r="AP15" s="196" t="s">
        <v>247</v>
      </c>
      <c r="AQ15" s="196" t="s">
        <v>497</v>
      </c>
      <c r="AR15" s="196" t="s">
        <v>402</v>
      </c>
      <c r="AS15" s="196" t="s">
        <v>447</v>
      </c>
      <c r="AT15" s="196" t="s">
        <v>452</v>
      </c>
      <c r="AU15" s="226" t="s">
        <v>119</v>
      </c>
      <c r="AV15" s="226" t="s">
        <v>589</v>
      </c>
      <c r="AW15" s="226" t="s">
        <v>64</v>
      </c>
      <c r="AX15" s="196" t="s">
        <v>480</v>
      </c>
      <c r="AY15" s="196" t="s">
        <v>548</v>
      </c>
      <c r="AZ15" s="226" t="s">
        <v>322</v>
      </c>
      <c r="BA15" s="226" t="s">
        <v>261</v>
      </c>
      <c r="BB15" s="204" t="s">
        <v>770</v>
      </c>
      <c r="BC15" s="226" t="s">
        <v>55</v>
      </c>
      <c r="BD15" s="196" t="s">
        <v>531</v>
      </c>
      <c r="BE15" s="226" t="s">
        <v>375</v>
      </c>
      <c r="BF15" s="204" t="s">
        <v>771</v>
      </c>
      <c r="BG15" s="226" t="s">
        <v>594</v>
      </c>
      <c r="BH15" s="306" t="s">
        <v>612</v>
      </c>
      <c r="BI15" s="306" t="s">
        <v>613</v>
      </c>
      <c r="BJ15" s="226" t="s">
        <v>574</v>
      </c>
      <c r="BK15" s="204" t="s">
        <v>359</v>
      </c>
      <c r="BL15" s="226" t="s">
        <v>93</v>
      </c>
      <c r="BM15" s="226" t="s">
        <v>199</v>
      </c>
      <c r="BN15" s="226" t="s">
        <v>417</v>
      </c>
      <c r="BO15" s="226" t="s">
        <v>152</v>
      </c>
      <c r="BP15" s="204" t="s">
        <v>556</v>
      </c>
      <c r="BQ15" s="204" t="s">
        <v>499</v>
      </c>
      <c r="BR15" s="204" t="s">
        <v>210</v>
      </c>
      <c r="BS15" s="204" t="s">
        <v>163</v>
      </c>
      <c r="BT15" s="204" t="s">
        <v>201</v>
      </c>
      <c r="BU15" s="204" t="s">
        <v>54</v>
      </c>
      <c r="BV15" s="204" t="s">
        <v>133</v>
      </c>
      <c r="BW15" s="204" t="s">
        <v>234</v>
      </c>
      <c r="BX15" s="204" t="s">
        <v>56</v>
      </c>
      <c r="BY15" s="204" t="s">
        <v>441</v>
      </c>
      <c r="BZ15" s="204" t="s">
        <v>108</v>
      </c>
      <c r="CA15" s="309" t="s">
        <v>666</v>
      </c>
      <c r="CB15" s="204" t="s">
        <v>668</v>
      </c>
      <c r="CC15" s="204" t="s">
        <v>670</v>
      </c>
      <c r="CD15" s="204" t="s">
        <v>657</v>
      </c>
      <c r="CE15" s="204" t="s">
        <v>658</v>
      </c>
      <c r="CF15" s="204" t="s">
        <v>659</v>
      </c>
      <c r="CG15" s="204" t="s">
        <v>332</v>
      </c>
      <c r="CH15" s="204" t="s">
        <v>361</v>
      </c>
      <c r="CI15" s="204" t="s">
        <v>522</v>
      </c>
      <c r="CJ15" s="204" t="s">
        <v>563</v>
      </c>
      <c r="CK15" s="204" t="s">
        <v>414</v>
      </c>
      <c r="CL15" s="226" t="s">
        <v>72</v>
      </c>
      <c r="CM15" s="226" t="s">
        <v>35</v>
      </c>
      <c r="CN15" s="226" t="s">
        <v>122</v>
      </c>
      <c r="CO15" s="226" t="s">
        <v>137</v>
      </c>
      <c r="CP15" s="226" t="s">
        <v>374</v>
      </c>
      <c r="CQ15" s="226" t="s">
        <v>333</v>
      </c>
      <c r="CR15" s="226" t="s">
        <v>229</v>
      </c>
      <c r="CS15" s="226" t="s">
        <v>157</v>
      </c>
      <c r="CT15" s="204" t="s">
        <v>725</v>
      </c>
      <c r="CU15" s="226" t="s">
        <v>286</v>
      </c>
      <c r="CV15" s="30" t="s">
        <v>278</v>
      </c>
      <c r="CW15" s="204" t="s">
        <v>708</v>
      </c>
      <c r="CX15" s="226" t="s">
        <v>68</v>
      </c>
      <c r="CY15" s="226" t="s">
        <v>275</v>
      </c>
      <c r="CZ15" s="204" t="s">
        <v>300</v>
      </c>
      <c r="DA15" s="204" t="s">
        <v>320</v>
      </c>
      <c r="DB15" s="30" t="s">
        <v>36</v>
      </c>
      <c r="DC15" s="30" t="s">
        <v>516</v>
      </c>
      <c r="DD15" s="30" t="s">
        <v>579</v>
      </c>
      <c r="DF15" s="204" t="s">
        <v>21</v>
      </c>
      <c r="DG15" s="172" t="s">
        <v>328</v>
      </c>
      <c r="DH15" s="172" t="s">
        <v>454</v>
      </c>
      <c r="DI15" s="172" t="s">
        <v>758</v>
      </c>
      <c r="DJ15" s="30" t="s">
        <v>502</v>
      </c>
      <c r="DK15" s="30" t="s">
        <v>688</v>
      </c>
      <c r="DL15" s="30" t="s">
        <v>46</v>
      </c>
      <c r="DM15" s="30" t="s">
        <v>387</v>
      </c>
      <c r="DN15" s="30" t="s">
        <v>169</v>
      </c>
      <c r="DO15" s="204" t="s">
        <v>400</v>
      </c>
      <c r="DP15" s="204" t="s">
        <v>508</v>
      </c>
      <c r="DQ15" s="99"/>
      <c r="DR15" s="99"/>
      <c r="DS15" s="99"/>
      <c r="DT15" s="99"/>
      <c r="DU15" s="99"/>
      <c r="DV15" s="99"/>
      <c r="DW15" s="99"/>
      <c r="DX15" s="99"/>
      <c r="DY15" s="99"/>
      <c r="DZ15" s="99"/>
      <c r="EA15" s="99"/>
      <c r="EB15" s="99"/>
      <c r="EC15" s="99"/>
      <c r="EI15" s="15"/>
      <c r="EJ15" s="15"/>
      <c r="EM15" s="172" t="s">
        <v>690</v>
      </c>
      <c r="FQ15" s="15"/>
      <c r="FT15" s="15"/>
      <c r="FU15" s="15"/>
      <c r="FV15" s="15"/>
      <c r="FX15" s="204" t="s">
        <v>418</v>
      </c>
      <c r="GA15" s="226" t="s">
        <v>51</v>
      </c>
      <c r="GB15" s="196" t="s">
        <v>287</v>
      </c>
      <c r="GC15" s="226" t="s">
        <v>551</v>
      </c>
      <c r="GD15" s="196" t="s">
        <v>585</v>
      </c>
      <c r="GL15" s="15"/>
      <c r="GM15" s="15"/>
      <c r="GN15" s="15"/>
      <c r="GO15" s="15"/>
      <c r="GP15" s="15"/>
      <c r="GQ15" s="15"/>
    </row>
    <row r="16" spans="1:199" ht="14.25" thickTop="1" thickBot="1">
      <c r="A16" s="201" t="s">
        <v>530</v>
      </c>
      <c r="B16" s="35" t="s">
        <v>269</v>
      </c>
      <c r="C16" s="35" t="s">
        <v>269</v>
      </c>
      <c r="D16" s="35" t="s">
        <v>269</v>
      </c>
      <c r="E16" s="35" t="s">
        <v>269</v>
      </c>
      <c r="F16" s="73" t="s">
        <v>449</v>
      </c>
      <c r="G16" s="73" t="s">
        <v>565</v>
      </c>
      <c r="H16" s="35" t="s">
        <v>269</v>
      </c>
      <c r="I16" s="35" t="s">
        <v>269</v>
      </c>
      <c r="J16" s="35" t="s">
        <v>269</v>
      </c>
      <c r="K16" s="35" t="s">
        <v>269</v>
      </c>
      <c r="L16" s="35" t="s">
        <v>269</v>
      </c>
      <c r="M16" s="35" t="s">
        <v>269</v>
      </c>
      <c r="N16" s="35" t="s">
        <v>269</v>
      </c>
      <c r="O16" s="35" t="s">
        <v>269</v>
      </c>
      <c r="P16" s="35" t="s">
        <v>269</v>
      </c>
      <c r="Q16" s="35" t="s">
        <v>269</v>
      </c>
      <c r="R16" s="35" t="s">
        <v>269</v>
      </c>
      <c r="S16" s="35" t="s">
        <v>269</v>
      </c>
      <c r="T16" s="35" t="s">
        <v>269</v>
      </c>
      <c r="U16" s="35" t="s">
        <v>269</v>
      </c>
      <c r="V16" s="35" t="s">
        <v>269</v>
      </c>
      <c r="W16" s="35" t="s">
        <v>269</v>
      </c>
      <c r="X16" s="35" t="s">
        <v>269</v>
      </c>
      <c r="Y16" s="35" t="s">
        <v>269</v>
      </c>
      <c r="Z16" s="35" t="s">
        <v>269</v>
      </c>
      <c r="AA16" s="35" t="s">
        <v>565</v>
      </c>
      <c r="AB16" s="35" t="s">
        <v>269</v>
      </c>
      <c r="AC16" s="35" t="s">
        <v>269</v>
      </c>
      <c r="AD16" s="35" t="s">
        <v>269</v>
      </c>
      <c r="AE16" s="35" t="s">
        <v>269</v>
      </c>
      <c r="AF16" s="35" t="s">
        <v>269</v>
      </c>
      <c r="AG16" s="35" t="s">
        <v>269</v>
      </c>
      <c r="AH16" s="35" t="s">
        <v>269</v>
      </c>
      <c r="AI16" s="35" t="s">
        <v>269</v>
      </c>
      <c r="AJ16" s="35" t="s">
        <v>269</v>
      </c>
      <c r="AK16" s="35" t="s">
        <v>269</v>
      </c>
      <c r="AL16" s="35" t="s">
        <v>269</v>
      </c>
      <c r="AM16" s="35" t="s">
        <v>464</v>
      </c>
      <c r="AN16" s="35" t="s">
        <v>464</v>
      </c>
      <c r="AO16" s="35" t="s">
        <v>269</v>
      </c>
      <c r="AP16" s="35" t="s">
        <v>269</v>
      </c>
      <c r="AQ16" s="35" t="s">
        <v>269</v>
      </c>
      <c r="AR16" s="35" t="s">
        <v>269</v>
      </c>
      <c r="AS16" s="35" t="s">
        <v>269</v>
      </c>
      <c r="AT16" s="35" t="s">
        <v>269</v>
      </c>
      <c r="AU16" s="35" t="s">
        <v>269</v>
      </c>
      <c r="AV16" s="35" t="s">
        <v>269</v>
      </c>
      <c r="AW16" s="35" t="s">
        <v>269</v>
      </c>
      <c r="AX16" s="35" t="s">
        <v>269</v>
      </c>
      <c r="AY16" s="35" t="s">
        <v>269</v>
      </c>
      <c r="AZ16" s="35" t="s">
        <v>269</v>
      </c>
      <c r="BA16" s="35" t="s">
        <v>269</v>
      </c>
      <c r="BB16" s="35" t="s">
        <v>269</v>
      </c>
      <c r="BC16" s="35" t="s">
        <v>269</v>
      </c>
      <c r="BD16" s="35" t="s">
        <v>269</v>
      </c>
      <c r="BE16" s="35" t="s">
        <v>269</v>
      </c>
      <c r="BF16" s="35" t="s">
        <v>269</v>
      </c>
      <c r="BG16" s="35" t="s">
        <v>269</v>
      </c>
      <c r="BH16" s="300" t="s">
        <v>269</v>
      </c>
      <c r="BI16" s="300" t="s">
        <v>269</v>
      </c>
      <c r="BJ16" s="35" t="s">
        <v>269</v>
      </c>
      <c r="BK16" s="35" t="s">
        <v>269</v>
      </c>
      <c r="BL16" s="35" t="s">
        <v>269</v>
      </c>
      <c r="BM16" s="35" t="s">
        <v>269</v>
      </c>
      <c r="BN16" s="35" t="s">
        <v>269</v>
      </c>
      <c r="BO16" s="35" t="s">
        <v>269</v>
      </c>
      <c r="BP16" s="35" t="s">
        <v>269</v>
      </c>
      <c r="BQ16" s="35" t="s">
        <v>269</v>
      </c>
      <c r="BR16" s="35" t="s">
        <v>269</v>
      </c>
      <c r="BS16" s="35" t="s">
        <v>269</v>
      </c>
      <c r="BT16" s="35" t="s">
        <v>269</v>
      </c>
      <c r="BU16" s="35" t="s">
        <v>269</v>
      </c>
      <c r="BV16" s="35" t="s">
        <v>269</v>
      </c>
      <c r="BW16" s="35" t="s">
        <v>269</v>
      </c>
      <c r="BX16" s="35" t="s">
        <v>269</v>
      </c>
      <c r="BY16" s="35" t="s">
        <v>269</v>
      </c>
      <c r="BZ16" s="35" t="s">
        <v>269</v>
      </c>
      <c r="CA16" s="314" t="s">
        <v>269</v>
      </c>
      <c r="CB16" s="35" t="s">
        <v>269</v>
      </c>
      <c r="CC16" s="35" t="s">
        <v>269</v>
      </c>
      <c r="CD16" s="35" t="s">
        <v>269</v>
      </c>
      <c r="CE16" s="35" t="s">
        <v>269</v>
      </c>
      <c r="CF16" s="35" t="s">
        <v>269</v>
      </c>
      <c r="CG16" s="35" t="s">
        <v>269</v>
      </c>
      <c r="CH16" s="35" t="s">
        <v>269</v>
      </c>
      <c r="CI16" s="35" t="s">
        <v>449</v>
      </c>
      <c r="CJ16" s="35" t="s">
        <v>449</v>
      </c>
      <c r="CK16" s="35" t="s">
        <v>449</v>
      </c>
      <c r="CL16" s="35" t="s">
        <v>269</v>
      </c>
      <c r="CM16" s="35" t="s">
        <v>269</v>
      </c>
      <c r="CN16" s="35" t="s">
        <v>449</v>
      </c>
      <c r="CO16" s="35" t="s">
        <v>449</v>
      </c>
      <c r="CP16" s="35" t="s">
        <v>464</v>
      </c>
      <c r="CQ16" s="35" t="s">
        <v>464</v>
      </c>
      <c r="CR16" s="35" t="s">
        <v>464</v>
      </c>
      <c r="CS16" s="35" t="s">
        <v>464</v>
      </c>
      <c r="CT16" s="35" t="s">
        <v>269</v>
      </c>
      <c r="CU16" s="35" t="s">
        <v>464</v>
      </c>
      <c r="CV16" s="35" t="s">
        <v>464</v>
      </c>
      <c r="CW16" s="35" t="s">
        <v>269</v>
      </c>
      <c r="CX16" s="35" t="s">
        <v>464</v>
      </c>
      <c r="CY16" s="35" t="s">
        <v>464</v>
      </c>
      <c r="CZ16" s="35" t="s">
        <v>464</v>
      </c>
      <c r="DA16" s="35" t="s">
        <v>464</v>
      </c>
      <c r="DB16" s="239" t="s">
        <v>464</v>
      </c>
      <c r="DC16" s="239" t="s">
        <v>464</v>
      </c>
      <c r="DD16" s="239" t="s">
        <v>464</v>
      </c>
      <c r="DE16" s="15"/>
      <c r="DF16" s="35" t="s">
        <v>269</v>
      </c>
      <c r="DG16" s="35" t="s">
        <v>269</v>
      </c>
      <c r="DH16" s="35" t="s">
        <v>269</v>
      </c>
      <c r="DI16" s="35" t="s">
        <v>464</v>
      </c>
      <c r="DJ16" s="239" t="s">
        <v>464</v>
      </c>
      <c r="DK16" s="239" t="s">
        <v>269</v>
      </c>
      <c r="DL16" s="239" t="s">
        <v>464</v>
      </c>
      <c r="DM16" s="35" t="s">
        <v>464</v>
      </c>
      <c r="DN16" s="35" t="s">
        <v>464</v>
      </c>
      <c r="DO16" s="35" t="s">
        <v>464</v>
      </c>
      <c r="DP16" s="35" t="s">
        <v>464</v>
      </c>
      <c r="DQ16" s="99"/>
      <c r="DR16" s="99"/>
      <c r="DS16" s="99"/>
      <c r="DT16" s="99"/>
      <c r="DU16" s="99"/>
      <c r="DV16" s="99"/>
      <c r="DW16" s="99"/>
      <c r="DX16" s="99"/>
      <c r="DY16" s="99"/>
      <c r="DZ16" s="99"/>
      <c r="EA16" s="99"/>
      <c r="EB16" s="99"/>
      <c r="EC16" s="99"/>
      <c r="EI16" s="15"/>
      <c r="EJ16" s="15"/>
      <c r="EK16" s="15"/>
      <c r="EL16" s="15"/>
      <c r="EM16" s="15"/>
      <c r="EN16" s="15"/>
      <c r="EO16" s="15"/>
      <c r="EP16" s="15"/>
      <c r="EQ16" s="15"/>
      <c r="ER16" s="15"/>
      <c r="ES16" s="15"/>
      <c r="ET16" s="15"/>
      <c r="EU16" s="15"/>
      <c r="EV16" s="15"/>
      <c r="EW16" s="15"/>
      <c r="EX16" s="15"/>
      <c r="EY16" s="15"/>
      <c r="EZ16" s="138"/>
      <c r="FA16" s="15"/>
      <c r="FB16" s="15"/>
      <c r="FC16" s="15"/>
      <c r="FD16" s="15"/>
      <c r="FE16" s="15"/>
      <c r="FF16" s="15"/>
      <c r="FG16" s="15"/>
      <c r="FH16" s="15"/>
      <c r="FI16" s="15"/>
      <c r="FJ16" s="15"/>
      <c r="FK16" s="15"/>
      <c r="FL16" s="15"/>
      <c r="FO16" s="15"/>
      <c r="FP16" s="138"/>
      <c r="FQ16" s="138"/>
      <c r="FR16" s="55"/>
      <c r="FS16" s="55"/>
      <c r="FT16" s="138"/>
      <c r="FU16" s="138"/>
      <c r="FV16" s="138"/>
      <c r="FW16" s="55"/>
      <c r="FX16" s="35" t="s">
        <v>269</v>
      </c>
      <c r="FY16" s="55"/>
      <c r="FZ16" s="55"/>
      <c r="GA16" s="35" t="s">
        <v>269</v>
      </c>
      <c r="GB16" s="35" t="s">
        <v>269</v>
      </c>
      <c r="GC16" s="35" t="s">
        <v>449</v>
      </c>
      <c r="GD16" s="35" t="s">
        <v>269</v>
      </c>
      <c r="GE16" s="55"/>
      <c r="GF16" s="55"/>
      <c r="GG16" s="55"/>
      <c r="GH16" s="55"/>
      <c r="GI16" s="55"/>
      <c r="GJ16" s="55"/>
      <c r="GK16" s="55"/>
    </row>
    <row r="17" spans="1:199" ht="14.25" thickTop="1" thickBot="1">
      <c r="A17" s="201" t="s">
        <v>335</v>
      </c>
      <c r="B17" s="198" t="s">
        <v>663</v>
      </c>
      <c r="C17" s="198" t="s">
        <v>519</v>
      </c>
      <c r="D17" s="217" t="s">
        <v>405</v>
      </c>
      <c r="E17" s="198" t="s">
        <v>306</v>
      </c>
      <c r="F17" s="18" t="s">
        <v>28</v>
      </c>
      <c r="G17" s="133" t="s">
        <v>67</v>
      </c>
      <c r="H17" s="217" t="s">
        <v>168</v>
      </c>
      <c r="I17" s="196" t="s">
        <v>314</v>
      </c>
      <c r="J17" s="196" t="s">
        <v>87</v>
      </c>
      <c r="K17" s="196" t="s">
        <v>230</v>
      </c>
      <c r="L17" s="196" t="s">
        <v>144</v>
      </c>
      <c r="M17" s="196" t="s">
        <v>434</v>
      </c>
      <c r="N17" s="57" t="s">
        <v>183</v>
      </c>
      <c r="O17" s="57" t="s">
        <v>302</v>
      </c>
      <c r="P17" s="57" t="s">
        <v>580</v>
      </c>
      <c r="Q17" s="57" t="s">
        <v>156</v>
      </c>
      <c r="R17" s="57" t="s">
        <v>303</v>
      </c>
      <c r="S17" s="196" t="s">
        <v>164</v>
      </c>
      <c r="T17" s="196" t="s">
        <v>408</v>
      </c>
      <c r="U17" s="57" t="s">
        <v>372</v>
      </c>
      <c r="V17" s="196" t="s">
        <v>105</v>
      </c>
      <c r="W17" s="180" t="s">
        <v>529</v>
      </c>
      <c r="X17" s="180" t="s">
        <v>478</v>
      </c>
      <c r="Y17" s="180" t="s">
        <v>439</v>
      </c>
      <c r="Z17" s="180" t="s">
        <v>75</v>
      </c>
      <c r="AA17" s="57" t="s">
        <v>675</v>
      </c>
      <c r="AB17" s="196" t="s">
        <v>111</v>
      </c>
      <c r="AC17" s="196" t="s">
        <v>293</v>
      </c>
      <c r="AD17" s="196" t="s">
        <v>312</v>
      </c>
      <c r="AE17" s="196" t="s">
        <v>416</v>
      </c>
      <c r="AF17" s="196" t="s">
        <v>430</v>
      </c>
      <c r="AG17" s="196" t="s">
        <v>438</v>
      </c>
      <c r="AH17" s="57" t="s">
        <v>705</v>
      </c>
      <c r="AI17" s="196" t="s">
        <v>15</v>
      </c>
      <c r="AJ17" s="196" t="s">
        <v>560</v>
      </c>
      <c r="AK17" s="196" t="s">
        <v>9</v>
      </c>
      <c r="AL17" s="196" t="s">
        <v>575</v>
      </c>
      <c r="AM17" s="196" t="s">
        <v>417</v>
      </c>
      <c r="AN17" s="196" t="s">
        <v>374</v>
      </c>
      <c r="AO17" s="196" t="s">
        <v>353</v>
      </c>
      <c r="AP17" s="196" t="s">
        <v>247</v>
      </c>
      <c r="AQ17" s="196" t="s">
        <v>497</v>
      </c>
      <c r="AR17" s="196" t="s">
        <v>402</v>
      </c>
      <c r="AS17" s="196" t="s">
        <v>447</v>
      </c>
      <c r="AT17" s="196" t="s">
        <v>452</v>
      </c>
      <c r="AU17" s="226" t="s">
        <v>119</v>
      </c>
      <c r="AV17" s="226" t="s">
        <v>589</v>
      </c>
      <c r="AW17" s="226" t="s">
        <v>64</v>
      </c>
      <c r="AX17" s="196" t="s">
        <v>480</v>
      </c>
      <c r="AY17" s="196" t="s">
        <v>548</v>
      </c>
      <c r="AZ17" s="226" t="s">
        <v>322</v>
      </c>
      <c r="BA17" s="226" t="s">
        <v>261</v>
      </c>
      <c r="BB17" s="204" t="s">
        <v>770</v>
      </c>
      <c r="BC17" s="226" t="s">
        <v>55</v>
      </c>
      <c r="BD17" s="196" t="s">
        <v>531</v>
      </c>
      <c r="BE17" s="226" t="s">
        <v>375</v>
      </c>
      <c r="BF17" s="204" t="s">
        <v>771</v>
      </c>
      <c r="BG17" s="226" t="s">
        <v>594</v>
      </c>
      <c r="BH17" s="306" t="s">
        <v>612</v>
      </c>
      <c r="BI17" s="306" t="s">
        <v>613</v>
      </c>
      <c r="BJ17" s="226" t="s">
        <v>574</v>
      </c>
      <c r="BK17" s="204" t="s">
        <v>359</v>
      </c>
      <c r="BL17" s="226" t="s">
        <v>93</v>
      </c>
      <c r="BM17" s="226" t="s">
        <v>199</v>
      </c>
      <c r="BN17" s="226" t="s">
        <v>551</v>
      </c>
      <c r="BO17" s="226" t="s">
        <v>152</v>
      </c>
      <c r="BP17" s="204" t="s">
        <v>556</v>
      </c>
      <c r="BQ17" s="204" t="s">
        <v>499</v>
      </c>
      <c r="BR17" s="204" t="s">
        <v>210</v>
      </c>
      <c r="BS17" s="204" t="s">
        <v>163</v>
      </c>
      <c r="BT17" s="204" t="s">
        <v>201</v>
      </c>
      <c r="BU17" s="204" t="s">
        <v>54</v>
      </c>
      <c r="BV17" s="204" t="s">
        <v>133</v>
      </c>
      <c r="BW17" s="204" t="s">
        <v>234</v>
      </c>
      <c r="BX17" s="204" t="s">
        <v>56</v>
      </c>
      <c r="BY17" s="204" t="s">
        <v>441</v>
      </c>
      <c r="BZ17" s="204" t="s">
        <v>108</v>
      </c>
      <c r="CA17" s="309" t="s">
        <v>666</v>
      </c>
      <c r="CB17" s="204" t="s">
        <v>668</v>
      </c>
      <c r="CC17" s="204" t="s">
        <v>670</v>
      </c>
      <c r="CD17" s="204" t="s">
        <v>657</v>
      </c>
      <c r="CE17" s="204" t="s">
        <v>658</v>
      </c>
      <c r="CF17" s="204" t="s">
        <v>659</v>
      </c>
      <c r="CG17" s="204" t="s">
        <v>332</v>
      </c>
      <c r="CH17" s="204" t="s">
        <v>361</v>
      </c>
      <c r="CI17" s="204" t="s">
        <v>522</v>
      </c>
      <c r="CJ17" s="204" t="s">
        <v>563</v>
      </c>
      <c r="CK17" s="204" t="s">
        <v>414</v>
      </c>
      <c r="CL17" s="226" t="s">
        <v>72</v>
      </c>
      <c r="CM17" s="226" t="s">
        <v>35</v>
      </c>
      <c r="CN17" s="226" t="s">
        <v>110</v>
      </c>
      <c r="CO17" s="226" t="s">
        <v>122</v>
      </c>
      <c r="CP17" s="226" t="s">
        <v>397</v>
      </c>
      <c r="CQ17" s="226" t="s">
        <v>360</v>
      </c>
      <c r="CR17" s="226" t="s">
        <v>257</v>
      </c>
      <c r="CS17" s="226" t="s">
        <v>570</v>
      </c>
      <c r="CT17" s="204" t="s">
        <v>725</v>
      </c>
      <c r="CU17" s="226" t="s">
        <v>78</v>
      </c>
      <c r="CV17" s="30" t="s">
        <v>591</v>
      </c>
      <c r="CW17" s="204" t="s">
        <v>708</v>
      </c>
      <c r="CX17" s="226" t="s">
        <v>166</v>
      </c>
      <c r="CY17" s="226" t="s">
        <v>94</v>
      </c>
      <c r="CZ17" s="204" t="s">
        <v>515</v>
      </c>
      <c r="DA17" s="204" t="s">
        <v>206</v>
      </c>
      <c r="DB17" s="30" t="s">
        <v>288</v>
      </c>
      <c r="DC17" s="30" t="s">
        <v>337</v>
      </c>
      <c r="DD17" s="30" t="s">
        <v>366</v>
      </c>
      <c r="DE17" s="15"/>
      <c r="DF17" s="204" t="s">
        <v>21</v>
      </c>
      <c r="DG17" s="172" t="s">
        <v>328</v>
      </c>
      <c r="DH17" s="172" t="s">
        <v>454</v>
      </c>
      <c r="DI17" s="172" t="s">
        <v>758</v>
      </c>
      <c r="DJ17" s="30" t="s">
        <v>525</v>
      </c>
      <c r="DK17" s="30" t="s">
        <v>688</v>
      </c>
      <c r="DL17" s="30" t="s">
        <v>30</v>
      </c>
      <c r="DM17" s="30" t="s">
        <v>284</v>
      </c>
      <c r="DN17" s="30" t="s">
        <v>391</v>
      </c>
      <c r="DO17" s="204" t="s">
        <v>400</v>
      </c>
      <c r="DP17" s="204" t="s">
        <v>508</v>
      </c>
      <c r="DQ17" s="99"/>
      <c r="DR17" s="99"/>
      <c r="DS17" s="99"/>
      <c r="DT17" s="99"/>
      <c r="DU17" s="99"/>
      <c r="DV17" s="99"/>
      <c r="DW17" s="99"/>
      <c r="DX17" s="99"/>
      <c r="DY17" s="99"/>
      <c r="DZ17" s="99"/>
      <c r="EA17" s="99"/>
      <c r="EB17" s="99"/>
      <c r="EC17" s="99"/>
      <c r="EI17" s="15"/>
      <c r="EJ17" s="15"/>
      <c r="EK17" s="15"/>
      <c r="EL17" s="15"/>
      <c r="EM17" s="15"/>
      <c r="EN17" s="15"/>
      <c r="EO17" s="15"/>
      <c r="EP17" s="15"/>
      <c r="EQ17" s="15"/>
      <c r="ER17" s="15"/>
      <c r="ES17" s="15"/>
      <c r="ET17" s="15"/>
      <c r="EU17" s="15"/>
      <c r="EV17" s="15"/>
      <c r="EW17" s="15"/>
      <c r="EX17" s="15"/>
      <c r="EY17" s="15"/>
      <c r="EZ17" s="138"/>
      <c r="FA17" s="15"/>
      <c r="FB17" s="15"/>
      <c r="FC17" s="15"/>
      <c r="FD17" s="15"/>
      <c r="FE17" s="15"/>
      <c r="FF17" s="15"/>
      <c r="FG17" s="15"/>
      <c r="FH17" s="15"/>
      <c r="FI17" s="15"/>
      <c r="FJ17" s="15"/>
      <c r="FK17" s="15"/>
      <c r="FL17" s="15"/>
      <c r="FO17" s="15"/>
      <c r="FP17" s="138"/>
      <c r="FQ17" s="138"/>
      <c r="FR17" s="55"/>
      <c r="FS17" s="55"/>
      <c r="FT17" s="138"/>
      <c r="FU17" s="138"/>
      <c r="FV17" s="138"/>
      <c r="FW17" s="55"/>
      <c r="FX17" s="204" t="s">
        <v>418</v>
      </c>
      <c r="FY17" s="55"/>
      <c r="FZ17" s="55"/>
      <c r="GA17" s="226" t="s">
        <v>51</v>
      </c>
      <c r="GB17" s="196" t="s">
        <v>287</v>
      </c>
      <c r="GC17" s="226" t="s">
        <v>274</v>
      </c>
      <c r="GD17" s="196" t="s">
        <v>585</v>
      </c>
      <c r="GE17" s="55"/>
      <c r="GF17" s="55"/>
      <c r="GG17" s="55"/>
      <c r="GH17" s="55"/>
      <c r="GI17" s="55"/>
      <c r="GJ17" s="55"/>
      <c r="GK17" s="55"/>
    </row>
    <row r="18" spans="1:199" ht="14.25" thickTop="1" thickBot="1">
      <c r="A18" s="201" t="s">
        <v>536</v>
      </c>
      <c r="B18" s="35" t="s">
        <v>269</v>
      </c>
      <c r="C18" s="35" t="s">
        <v>269</v>
      </c>
      <c r="D18" s="35" t="s">
        <v>269</v>
      </c>
      <c r="E18" s="35" t="s">
        <v>269</v>
      </c>
      <c r="F18" s="73" t="s">
        <v>449</v>
      </c>
      <c r="G18" s="73" t="s">
        <v>565</v>
      </c>
      <c r="H18" s="35" t="s">
        <v>269</v>
      </c>
      <c r="I18" s="35" t="s">
        <v>269</v>
      </c>
      <c r="J18" s="35" t="s">
        <v>269</v>
      </c>
      <c r="K18" s="35" t="s">
        <v>269</v>
      </c>
      <c r="L18" s="35" t="s">
        <v>269</v>
      </c>
      <c r="M18" s="35" t="s">
        <v>269</v>
      </c>
      <c r="N18" s="35" t="s">
        <v>269</v>
      </c>
      <c r="O18" s="35" t="s">
        <v>269</v>
      </c>
      <c r="P18" s="35" t="s">
        <v>269</v>
      </c>
      <c r="Q18" s="35" t="s">
        <v>269</v>
      </c>
      <c r="R18" s="35" t="s">
        <v>269</v>
      </c>
      <c r="S18" s="35" t="s">
        <v>269</v>
      </c>
      <c r="T18" s="35" t="s">
        <v>269</v>
      </c>
      <c r="U18" s="35" t="s">
        <v>269</v>
      </c>
      <c r="V18" s="35" t="s">
        <v>269</v>
      </c>
      <c r="W18" s="35" t="s">
        <v>269</v>
      </c>
      <c r="X18" s="35" t="s">
        <v>269</v>
      </c>
      <c r="Y18" s="35" t="s">
        <v>269</v>
      </c>
      <c r="Z18" s="35" t="s">
        <v>269</v>
      </c>
      <c r="AA18" s="35" t="s">
        <v>565</v>
      </c>
      <c r="AB18" s="35" t="s">
        <v>269</v>
      </c>
      <c r="AC18" s="35" t="s">
        <v>269</v>
      </c>
      <c r="AD18" s="35" t="s">
        <v>269</v>
      </c>
      <c r="AE18" s="35" t="s">
        <v>269</v>
      </c>
      <c r="AF18" s="35" t="s">
        <v>269</v>
      </c>
      <c r="AG18" s="35" t="s">
        <v>269</v>
      </c>
      <c r="AH18" s="35" t="s">
        <v>269</v>
      </c>
      <c r="AI18" s="35" t="s">
        <v>269</v>
      </c>
      <c r="AJ18" s="35" t="s">
        <v>269</v>
      </c>
      <c r="AK18" s="35" t="s">
        <v>269</v>
      </c>
      <c r="AL18" s="35" t="s">
        <v>269</v>
      </c>
      <c r="AM18" s="35" t="s">
        <v>464</v>
      </c>
      <c r="AN18" s="35" t="s">
        <v>464</v>
      </c>
      <c r="AO18" s="35" t="s">
        <v>269</v>
      </c>
      <c r="AP18" s="35" t="s">
        <v>269</v>
      </c>
      <c r="AQ18" s="35" t="s">
        <v>269</v>
      </c>
      <c r="AR18" s="35" t="s">
        <v>269</v>
      </c>
      <c r="AS18" s="35" t="s">
        <v>269</v>
      </c>
      <c r="AT18" s="35" t="s">
        <v>269</v>
      </c>
      <c r="AU18" s="35" t="s">
        <v>269</v>
      </c>
      <c r="AV18" s="35" t="s">
        <v>269</v>
      </c>
      <c r="AW18" s="35" t="s">
        <v>269</v>
      </c>
      <c r="AX18" s="35" t="s">
        <v>269</v>
      </c>
      <c r="AY18" s="35" t="s">
        <v>269</v>
      </c>
      <c r="AZ18" s="35" t="s">
        <v>269</v>
      </c>
      <c r="BA18" s="35" t="s">
        <v>269</v>
      </c>
      <c r="BB18" s="35" t="s">
        <v>269</v>
      </c>
      <c r="BC18" s="35" t="s">
        <v>269</v>
      </c>
      <c r="BD18" s="35" t="s">
        <v>269</v>
      </c>
      <c r="BE18" s="35" t="s">
        <v>269</v>
      </c>
      <c r="BF18" s="35" t="s">
        <v>269</v>
      </c>
      <c r="BG18" s="35" t="s">
        <v>269</v>
      </c>
      <c r="BH18" s="300" t="s">
        <v>269</v>
      </c>
      <c r="BI18" s="300" t="s">
        <v>269</v>
      </c>
      <c r="BJ18" s="35" t="s">
        <v>269</v>
      </c>
      <c r="BK18" s="35" t="s">
        <v>269</v>
      </c>
      <c r="BL18" s="35" t="s">
        <v>269</v>
      </c>
      <c r="BM18" s="35" t="s">
        <v>269</v>
      </c>
      <c r="BN18" s="35" t="s">
        <v>269</v>
      </c>
      <c r="BO18" s="35" t="s">
        <v>269</v>
      </c>
      <c r="BP18" s="35" t="s">
        <v>269</v>
      </c>
      <c r="BQ18" s="35" t="s">
        <v>269</v>
      </c>
      <c r="BR18" s="35" t="s">
        <v>269</v>
      </c>
      <c r="BS18" s="35" t="s">
        <v>269</v>
      </c>
      <c r="BT18" s="35" t="s">
        <v>269</v>
      </c>
      <c r="BU18" s="35" t="s">
        <v>269</v>
      </c>
      <c r="BV18" s="35" t="s">
        <v>269</v>
      </c>
      <c r="BW18" s="35" t="s">
        <v>269</v>
      </c>
      <c r="BX18" s="35" t="s">
        <v>269</v>
      </c>
      <c r="BY18" s="35" t="s">
        <v>269</v>
      </c>
      <c r="BZ18" s="35" t="s">
        <v>269</v>
      </c>
      <c r="CA18" s="314" t="s">
        <v>269</v>
      </c>
      <c r="CB18" s="35" t="s">
        <v>269</v>
      </c>
      <c r="CC18" s="35" t="s">
        <v>269</v>
      </c>
      <c r="CD18" s="35" t="s">
        <v>269</v>
      </c>
      <c r="CE18" s="35" t="s">
        <v>269</v>
      </c>
      <c r="CF18" s="35" t="s">
        <v>269</v>
      </c>
      <c r="CG18" s="35" t="s">
        <v>269</v>
      </c>
      <c r="CH18" s="35" t="s">
        <v>269</v>
      </c>
      <c r="CI18" s="35" t="s">
        <v>449</v>
      </c>
      <c r="CJ18" s="35" t="s">
        <v>449</v>
      </c>
      <c r="CK18" s="35" t="s">
        <v>449</v>
      </c>
      <c r="CL18" s="35" t="s">
        <v>269</v>
      </c>
      <c r="CM18" s="35" t="s">
        <v>269</v>
      </c>
      <c r="CN18" s="35" t="s">
        <v>464</v>
      </c>
      <c r="CO18" s="35" t="s">
        <v>464</v>
      </c>
      <c r="CP18" s="35" t="s">
        <v>464</v>
      </c>
      <c r="CQ18" s="35" t="s">
        <v>464</v>
      </c>
      <c r="CR18" s="35" t="s">
        <v>464</v>
      </c>
      <c r="CS18" s="35" t="s">
        <v>464</v>
      </c>
      <c r="CT18" s="35" t="s">
        <v>464</v>
      </c>
      <c r="CU18" s="35" t="s">
        <v>464</v>
      </c>
      <c r="CV18" s="35" t="s">
        <v>464</v>
      </c>
      <c r="CW18" s="35" t="s">
        <v>269</v>
      </c>
      <c r="CX18" s="35" t="s">
        <v>464</v>
      </c>
      <c r="CY18" s="35" t="s">
        <v>464</v>
      </c>
      <c r="CZ18" s="35" t="s">
        <v>464</v>
      </c>
      <c r="DA18" s="35" t="s">
        <v>464</v>
      </c>
      <c r="DB18" s="239" t="s">
        <v>464</v>
      </c>
      <c r="DC18" s="239" t="s">
        <v>464</v>
      </c>
      <c r="DD18" s="239" t="s">
        <v>464</v>
      </c>
      <c r="DE18" s="15"/>
      <c r="DF18" s="35" t="s">
        <v>269</v>
      </c>
      <c r="DG18" s="35" t="s">
        <v>269</v>
      </c>
      <c r="DH18" s="35" t="s">
        <v>269</v>
      </c>
      <c r="DI18" s="35" t="s">
        <v>464</v>
      </c>
      <c r="DJ18" s="239" t="s">
        <v>464</v>
      </c>
      <c r="DK18" s="239" t="s">
        <v>269</v>
      </c>
      <c r="DL18" s="239" t="s">
        <v>464</v>
      </c>
      <c r="DM18" s="35" t="s">
        <v>464</v>
      </c>
      <c r="DN18" s="35" t="s">
        <v>464</v>
      </c>
      <c r="DO18" s="35" t="s">
        <v>464</v>
      </c>
      <c r="DP18" s="35" t="s">
        <v>464</v>
      </c>
      <c r="DQ18" s="99"/>
      <c r="DR18" s="99"/>
      <c r="DS18" s="99"/>
      <c r="DT18" s="99"/>
      <c r="DU18" s="99"/>
      <c r="DV18" s="99"/>
      <c r="DW18" s="99"/>
      <c r="DX18" s="99"/>
      <c r="DY18" s="99"/>
      <c r="DZ18" s="99"/>
      <c r="EA18" s="99"/>
      <c r="EB18" s="99"/>
      <c r="EC18" s="99"/>
      <c r="EK18" s="15"/>
      <c r="EL18" s="15"/>
      <c r="EM18" s="35" t="s">
        <v>269</v>
      </c>
      <c r="EN18" s="15"/>
      <c r="EO18" s="15"/>
      <c r="EP18" s="15"/>
      <c r="EQ18" s="15"/>
      <c r="ER18" s="15"/>
      <c r="ES18" s="15"/>
      <c r="ET18" s="15"/>
      <c r="EU18" s="15"/>
      <c r="EV18" s="15"/>
      <c r="EW18" s="15"/>
      <c r="EX18" s="15"/>
      <c r="EY18" s="15"/>
      <c r="EZ18" s="138"/>
      <c r="FA18" s="15"/>
      <c r="FB18" s="15"/>
      <c r="FC18" s="15"/>
      <c r="FD18" s="15"/>
      <c r="FE18" s="15"/>
      <c r="FF18" s="15"/>
      <c r="FG18" s="15"/>
      <c r="FH18" s="15"/>
      <c r="FI18" s="15"/>
      <c r="FJ18" s="15"/>
      <c r="FK18" s="15"/>
      <c r="FL18" s="15"/>
      <c r="FO18" s="15"/>
      <c r="FP18" s="138"/>
      <c r="FQ18" s="138"/>
      <c r="FR18" s="55"/>
      <c r="FS18" s="55"/>
      <c r="FT18" s="138"/>
      <c r="FU18" s="138"/>
      <c r="FV18" s="138"/>
      <c r="FW18" s="55"/>
      <c r="FX18" s="35" t="s">
        <v>269</v>
      </c>
      <c r="FY18" s="55"/>
      <c r="FZ18" s="55"/>
      <c r="GA18" s="35" t="s">
        <v>449</v>
      </c>
      <c r="GB18" s="35" t="s">
        <v>269</v>
      </c>
      <c r="GC18" s="35" t="s">
        <v>269</v>
      </c>
      <c r="GD18" s="35" t="s">
        <v>269</v>
      </c>
      <c r="GE18" s="55"/>
      <c r="GF18" s="55"/>
      <c r="GG18" s="55"/>
      <c r="GH18" s="55"/>
      <c r="GI18" s="55"/>
      <c r="GJ18" s="55"/>
      <c r="GK18" s="55"/>
    </row>
    <row r="19" spans="1:199" ht="14.25" thickTop="1" thickBot="1">
      <c r="A19" s="201" t="s">
        <v>423</v>
      </c>
      <c r="B19" s="198" t="s">
        <v>663</v>
      </c>
      <c r="C19" s="198" t="s">
        <v>519</v>
      </c>
      <c r="D19" s="217" t="s">
        <v>405</v>
      </c>
      <c r="E19" s="198" t="s">
        <v>306</v>
      </c>
      <c r="F19" s="18" t="s">
        <v>28</v>
      </c>
      <c r="G19" s="133" t="s">
        <v>67</v>
      </c>
      <c r="H19" s="217" t="s">
        <v>168</v>
      </c>
      <c r="I19" s="196" t="s">
        <v>314</v>
      </c>
      <c r="J19" s="196" t="s">
        <v>87</v>
      </c>
      <c r="K19" s="196" t="s">
        <v>230</v>
      </c>
      <c r="L19" s="196" t="s">
        <v>144</v>
      </c>
      <c r="M19" s="196" t="s">
        <v>434</v>
      </c>
      <c r="N19" s="57" t="s">
        <v>183</v>
      </c>
      <c r="O19" s="57" t="s">
        <v>302</v>
      </c>
      <c r="P19" s="57" t="s">
        <v>580</v>
      </c>
      <c r="Q19" s="57" t="s">
        <v>156</v>
      </c>
      <c r="R19" s="57" t="s">
        <v>303</v>
      </c>
      <c r="S19" s="196" t="s">
        <v>164</v>
      </c>
      <c r="T19" s="196" t="s">
        <v>408</v>
      </c>
      <c r="U19" s="57" t="s">
        <v>372</v>
      </c>
      <c r="V19" s="196" t="s">
        <v>105</v>
      </c>
      <c r="W19" s="180" t="s">
        <v>529</v>
      </c>
      <c r="X19" s="180" t="s">
        <v>478</v>
      </c>
      <c r="Y19" s="180" t="s">
        <v>439</v>
      </c>
      <c r="Z19" s="180" t="s">
        <v>75</v>
      </c>
      <c r="AA19" s="57" t="s">
        <v>675</v>
      </c>
      <c r="AB19" s="196" t="s">
        <v>111</v>
      </c>
      <c r="AC19" s="196" t="s">
        <v>293</v>
      </c>
      <c r="AD19" s="196" t="s">
        <v>312</v>
      </c>
      <c r="AE19" s="196" t="s">
        <v>416</v>
      </c>
      <c r="AF19" s="196" t="s">
        <v>430</v>
      </c>
      <c r="AG19" s="196" t="s">
        <v>438</v>
      </c>
      <c r="AH19" s="57" t="s">
        <v>705</v>
      </c>
      <c r="AI19" s="196" t="s">
        <v>15</v>
      </c>
      <c r="AJ19" s="196" t="s">
        <v>560</v>
      </c>
      <c r="AK19" s="196" t="s">
        <v>9</v>
      </c>
      <c r="AL19" s="196" t="s">
        <v>575</v>
      </c>
      <c r="AM19" s="196" t="s">
        <v>417</v>
      </c>
      <c r="AN19" s="196" t="s">
        <v>374</v>
      </c>
      <c r="AO19" s="196" t="s">
        <v>353</v>
      </c>
      <c r="AP19" s="196" t="s">
        <v>247</v>
      </c>
      <c r="AQ19" s="196" t="s">
        <v>497</v>
      </c>
      <c r="AR19" s="196" t="s">
        <v>402</v>
      </c>
      <c r="AS19" s="196" t="s">
        <v>447</v>
      </c>
      <c r="AT19" s="196" t="s">
        <v>452</v>
      </c>
      <c r="AU19" s="226" t="s">
        <v>119</v>
      </c>
      <c r="AV19" s="226" t="s">
        <v>589</v>
      </c>
      <c r="AW19" s="226" t="s">
        <v>64</v>
      </c>
      <c r="AX19" s="196" t="s">
        <v>480</v>
      </c>
      <c r="AY19" s="196" t="s">
        <v>548</v>
      </c>
      <c r="AZ19" s="226" t="s">
        <v>322</v>
      </c>
      <c r="BA19" s="226" t="s">
        <v>261</v>
      </c>
      <c r="BB19" s="204" t="s">
        <v>770</v>
      </c>
      <c r="BC19" s="226" t="s">
        <v>55</v>
      </c>
      <c r="BD19" s="196" t="s">
        <v>531</v>
      </c>
      <c r="BE19" s="226" t="s">
        <v>375</v>
      </c>
      <c r="BF19" s="204" t="s">
        <v>771</v>
      </c>
      <c r="BG19" s="226" t="s">
        <v>594</v>
      </c>
      <c r="BH19" s="306" t="s">
        <v>612</v>
      </c>
      <c r="BI19" s="306" t="s">
        <v>613</v>
      </c>
      <c r="BJ19" s="226" t="s">
        <v>574</v>
      </c>
      <c r="BK19" s="204" t="s">
        <v>359</v>
      </c>
      <c r="BL19" s="226" t="s">
        <v>93</v>
      </c>
      <c r="BM19" s="226" t="s">
        <v>199</v>
      </c>
      <c r="BN19" s="226" t="s">
        <v>51</v>
      </c>
      <c r="BO19" s="226" t="s">
        <v>152</v>
      </c>
      <c r="BP19" s="204" t="s">
        <v>556</v>
      </c>
      <c r="BQ19" s="204" t="s">
        <v>499</v>
      </c>
      <c r="BR19" s="204" t="s">
        <v>210</v>
      </c>
      <c r="BS19" s="204" t="s">
        <v>163</v>
      </c>
      <c r="BT19" s="204" t="s">
        <v>201</v>
      </c>
      <c r="BU19" s="204" t="s">
        <v>54</v>
      </c>
      <c r="BV19" s="204" t="s">
        <v>133</v>
      </c>
      <c r="BW19" s="204" t="s">
        <v>234</v>
      </c>
      <c r="BX19" s="204" t="s">
        <v>56</v>
      </c>
      <c r="BY19" s="204" t="s">
        <v>441</v>
      </c>
      <c r="BZ19" s="204" t="s">
        <v>108</v>
      </c>
      <c r="CA19" s="309" t="s">
        <v>666</v>
      </c>
      <c r="CB19" s="204" t="s">
        <v>668</v>
      </c>
      <c r="CC19" s="204" t="s">
        <v>670</v>
      </c>
      <c r="CD19" s="204" t="s">
        <v>657</v>
      </c>
      <c r="CE19" s="204" t="s">
        <v>658</v>
      </c>
      <c r="CF19" s="204" t="s">
        <v>659</v>
      </c>
      <c r="CG19" s="204" t="s">
        <v>332</v>
      </c>
      <c r="CH19" s="204" t="s">
        <v>361</v>
      </c>
      <c r="CI19" s="204" t="s">
        <v>522</v>
      </c>
      <c r="CJ19" s="204" t="s">
        <v>563</v>
      </c>
      <c r="CK19" s="204" t="s">
        <v>414</v>
      </c>
      <c r="CL19" s="226" t="s">
        <v>72</v>
      </c>
      <c r="CM19" s="226" t="s">
        <v>35</v>
      </c>
      <c r="CN19" s="226" t="s">
        <v>396</v>
      </c>
      <c r="CO19" s="226" t="s">
        <v>12</v>
      </c>
      <c r="CP19" s="226" t="s">
        <v>149</v>
      </c>
      <c r="CQ19" s="226" t="s">
        <v>547</v>
      </c>
      <c r="CR19" s="226" t="s">
        <v>427</v>
      </c>
      <c r="CS19" s="226" t="s">
        <v>342</v>
      </c>
      <c r="CT19" s="204" t="s">
        <v>725</v>
      </c>
      <c r="CU19" s="226" t="s">
        <v>31</v>
      </c>
      <c r="CV19" s="226" t="s">
        <v>524</v>
      </c>
      <c r="CW19" s="204" t="s">
        <v>708</v>
      </c>
      <c r="CX19" s="226" t="s">
        <v>34</v>
      </c>
      <c r="CY19" s="226" t="s">
        <v>237</v>
      </c>
      <c r="CZ19" s="204" t="s">
        <v>515</v>
      </c>
      <c r="DA19" s="204" t="s">
        <v>206</v>
      </c>
      <c r="DB19" s="30" t="s">
        <v>514</v>
      </c>
      <c r="DC19" s="30" t="s">
        <v>106</v>
      </c>
      <c r="DD19" s="30" t="s">
        <v>242</v>
      </c>
      <c r="DE19" s="15"/>
      <c r="DF19" s="204" t="s">
        <v>21</v>
      </c>
      <c r="DG19" s="172" t="s">
        <v>328</v>
      </c>
      <c r="DH19" s="172" t="s">
        <v>454</v>
      </c>
      <c r="DI19" s="172" t="s">
        <v>758</v>
      </c>
      <c r="DJ19" s="30" t="s">
        <v>32</v>
      </c>
      <c r="DK19" s="30" t="s">
        <v>688</v>
      </c>
      <c r="DL19" s="30" t="s">
        <v>542</v>
      </c>
      <c r="DM19" s="30" t="s">
        <v>100</v>
      </c>
      <c r="DN19" s="30" t="s">
        <v>380</v>
      </c>
      <c r="DO19" s="204" t="s">
        <v>400</v>
      </c>
      <c r="DP19" s="204" t="s">
        <v>508</v>
      </c>
      <c r="DQ19" s="99"/>
      <c r="DR19" s="99"/>
      <c r="DS19" s="99"/>
      <c r="DT19" s="99"/>
      <c r="DU19" s="99"/>
      <c r="DV19" s="99"/>
      <c r="DW19" s="99"/>
      <c r="DX19" s="99"/>
      <c r="DY19" s="99"/>
      <c r="DZ19" s="99"/>
      <c r="EA19" s="99"/>
      <c r="EB19" s="99"/>
      <c r="EC19" s="99"/>
      <c r="EK19" s="15"/>
      <c r="EL19" s="15"/>
      <c r="EM19" s="172" t="s">
        <v>690</v>
      </c>
      <c r="EN19" s="15"/>
      <c r="EO19" s="15"/>
      <c r="EP19" s="15"/>
      <c r="EQ19" s="15"/>
      <c r="ER19" s="15"/>
      <c r="ES19" s="15"/>
      <c r="ET19" s="15"/>
      <c r="EU19" s="15"/>
      <c r="EV19" s="15"/>
      <c r="EW19" s="15"/>
      <c r="EX19" s="15"/>
      <c r="EY19" s="15"/>
      <c r="EZ19" s="138"/>
      <c r="FA19" s="15"/>
      <c r="FB19" s="15"/>
      <c r="FC19" s="15"/>
      <c r="FD19" s="15"/>
      <c r="FE19" s="15"/>
      <c r="FF19" s="15"/>
      <c r="FG19" s="15"/>
      <c r="FH19" s="15"/>
      <c r="FI19" s="15"/>
      <c r="FJ19" s="15"/>
      <c r="FK19" s="15"/>
      <c r="FL19" s="15"/>
      <c r="FO19" s="15"/>
      <c r="FP19" s="138"/>
      <c r="FQ19" s="138"/>
      <c r="FR19" s="55"/>
      <c r="FS19" s="55"/>
      <c r="FT19" s="138"/>
      <c r="FU19" s="138"/>
      <c r="FV19" s="138"/>
      <c r="FW19" s="55"/>
      <c r="FX19" s="204" t="s">
        <v>418</v>
      </c>
      <c r="FY19" s="55"/>
      <c r="FZ19" s="55"/>
      <c r="GA19" s="226" t="s">
        <v>274</v>
      </c>
      <c r="GB19" s="196" t="s">
        <v>287</v>
      </c>
      <c r="GC19" s="226" t="s">
        <v>551</v>
      </c>
      <c r="GD19" s="196" t="s">
        <v>585</v>
      </c>
      <c r="GE19" s="55"/>
      <c r="GF19" s="55"/>
      <c r="GG19" s="55"/>
      <c r="GH19" s="55"/>
      <c r="GI19" s="55"/>
      <c r="GJ19" s="55"/>
      <c r="GK19" s="55"/>
    </row>
    <row r="20" spans="1:199" ht="14.25" thickTop="1" thickBot="1">
      <c r="A20" s="201" t="s">
        <v>614</v>
      </c>
      <c r="B20" s="35" t="s">
        <v>269</v>
      </c>
      <c r="C20" s="35" t="s">
        <v>269</v>
      </c>
      <c r="D20" s="35" t="s">
        <v>269</v>
      </c>
      <c r="E20" s="35" t="s">
        <v>269</v>
      </c>
      <c r="F20" s="73" t="s">
        <v>449</v>
      </c>
      <c r="G20" s="73" t="s">
        <v>565</v>
      </c>
      <c r="H20" s="35" t="s">
        <v>269</v>
      </c>
      <c r="I20" s="35" t="s">
        <v>269</v>
      </c>
      <c r="J20" s="35" t="s">
        <v>269</v>
      </c>
      <c r="K20" s="35" t="s">
        <v>269</v>
      </c>
      <c r="L20" s="35" t="s">
        <v>269</v>
      </c>
      <c r="M20" s="35" t="s">
        <v>269</v>
      </c>
      <c r="N20" s="35" t="s">
        <v>269</v>
      </c>
      <c r="O20" s="35" t="s">
        <v>269</v>
      </c>
      <c r="P20" s="35" t="s">
        <v>269</v>
      </c>
      <c r="Q20" s="35" t="s">
        <v>269</v>
      </c>
      <c r="R20" s="35" t="s">
        <v>269</v>
      </c>
      <c r="S20" s="35" t="s">
        <v>269</v>
      </c>
      <c r="T20" s="35" t="s">
        <v>269</v>
      </c>
      <c r="U20" s="35" t="s">
        <v>269</v>
      </c>
      <c r="V20" s="35" t="s">
        <v>269</v>
      </c>
      <c r="W20" s="35" t="s">
        <v>269</v>
      </c>
      <c r="X20" s="35" t="s">
        <v>269</v>
      </c>
      <c r="Y20" s="35" t="s">
        <v>269</v>
      </c>
      <c r="Z20" s="35" t="s">
        <v>269</v>
      </c>
      <c r="AA20" s="35" t="s">
        <v>565</v>
      </c>
      <c r="AB20" s="35" t="s">
        <v>269</v>
      </c>
      <c r="AC20" s="35" t="s">
        <v>269</v>
      </c>
      <c r="AD20" s="35" t="s">
        <v>269</v>
      </c>
      <c r="AE20" s="35" t="s">
        <v>269</v>
      </c>
      <c r="AF20" s="35" t="s">
        <v>269</v>
      </c>
      <c r="AG20" s="35" t="s">
        <v>269</v>
      </c>
      <c r="AH20" s="35" t="s">
        <v>269</v>
      </c>
      <c r="AI20" s="35" t="s">
        <v>269</v>
      </c>
      <c r="AJ20" s="35" t="s">
        <v>269</v>
      </c>
      <c r="AK20" s="35" t="s">
        <v>269</v>
      </c>
      <c r="AL20" s="35" t="s">
        <v>269</v>
      </c>
      <c r="AM20" s="35" t="s">
        <v>464</v>
      </c>
      <c r="AN20" s="35" t="s">
        <v>464</v>
      </c>
      <c r="AO20" s="35" t="s">
        <v>269</v>
      </c>
      <c r="AP20" s="35" t="s">
        <v>269</v>
      </c>
      <c r="AQ20" s="35" t="s">
        <v>269</v>
      </c>
      <c r="AR20" s="35" t="s">
        <v>269</v>
      </c>
      <c r="AS20" s="35" t="s">
        <v>269</v>
      </c>
      <c r="AT20" s="35" t="s">
        <v>269</v>
      </c>
      <c r="AU20" s="35" t="s">
        <v>269</v>
      </c>
      <c r="AV20" s="35" t="s">
        <v>269</v>
      </c>
      <c r="AW20" s="35" t="s">
        <v>269</v>
      </c>
      <c r="AX20" s="35" t="s">
        <v>269</v>
      </c>
      <c r="AY20" s="35" t="s">
        <v>269</v>
      </c>
      <c r="AZ20" s="35" t="s">
        <v>269</v>
      </c>
      <c r="BA20" s="35" t="s">
        <v>269</v>
      </c>
      <c r="BB20" s="35" t="s">
        <v>269</v>
      </c>
      <c r="BC20" s="35" t="s">
        <v>269</v>
      </c>
      <c r="BD20" s="35" t="s">
        <v>269</v>
      </c>
      <c r="BE20" s="35" t="s">
        <v>269</v>
      </c>
      <c r="BF20" s="35" t="s">
        <v>269</v>
      </c>
      <c r="BG20" s="35" t="s">
        <v>269</v>
      </c>
      <c r="BH20" s="300" t="s">
        <v>269</v>
      </c>
      <c r="BI20" s="300" t="s">
        <v>449</v>
      </c>
      <c r="BJ20" s="35" t="s">
        <v>269</v>
      </c>
      <c r="BK20" s="35" t="s">
        <v>269</v>
      </c>
      <c r="BL20" s="35" t="s">
        <v>269</v>
      </c>
      <c r="BM20" s="35" t="s">
        <v>269</v>
      </c>
      <c r="BN20" s="35" t="s">
        <v>464</v>
      </c>
      <c r="BO20" s="35" t="s">
        <v>269</v>
      </c>
      <c r="BP20" s="35" t="s">
        <v>269</v>
      </c>
      <c r="BQ20" s="35" t="s">
        <v>269</v>
      </c>
      <c r="BR20" s="35" t="s">
        <v>269</v>
      </c>
      <c r="BS20" s="35" t="s">
        <v>269</v>
      </c>
      <c r="BT20" s="35" t="s">
        <v>269</v>
      </c>
      <c r="BU20" s="35" t="s">
        <v>269</v>
      </c>
      <c r="BV20" s="35" t="s">
        <v>269</v>
      </c>
      <c r="BW20" s="35" t="s">
        <v>269</v>
      </c>
      <c r="BX20" s="35" t="s">
        <v>269</v>
      </c>
      <c r="BY20" s="35" t="s">
        <v>269</v>
      </c>
      <c r="BZ20" s="35" t="s">
        <v>269</v>
      </c>
      <c r="CA20" s="314" t="s">
        <v>269</v>
      </c>
      <c r="CB20" s="35" t="s">
        <v>269</v>
      </c>
      <c r="CC20" s="35" t="s">
        <v>269</v>
      </c>
      <c r="CD20" s="35" t="s">
        <v>269</v>
      </c>
      <c r="CE20" s="35" t="s">
        <v>269</v>
      </c>
      <c r="CF20" s="35" t="s">
        <v>269</v>
      </c>
      <c r="CG20" s="35" t="s">
        <v>269</v>
      </c>
      <c r="CH20" s="35" t="s">
        <v>269</v>
      </c>
      <c r="CI20" s="35" t="s">
        <v>449</v>
      </c>
      <c r="CJ20" s="35" t="s">
        <v>449</v>
      </c>
      <c r="CK20" s="35" t="s">
        <v>449</v>
      </c>
      <c r="CL20" s="35" t="s">
        <v>269</v>
      </c>
      <c r="CM20" s="35" t="s">
        <v>269</v>
      </c>
      <c r="CN20" s="35" t="s">
        <v>464</v>
      </c>
      <c r="CO20" s="35" t="s">
        <v>464</v>
      </c>
      <c r="CP20" s="35" t="s">
        <v>464</v>
      </c>
      <c r="CQ20" s="35" t="s">
        <v>464</v>
      </c>
      <c r="CR20" s="35" t="s">
        <v>464</v>
      </c>
      <c r="CS20" s="35" t="s">
        <v>464</v>
      </c>
      <c r="CT20" s="35" t="s">
        <v>269</v>
      </c>
      <c r="CU20" s="35" t="s">
        <v>464</v>
      </c>
      <c r="CV20" s="35" t="s">
        <v>464</v>
      </c>
      <c r="CW20" s="35" t="s">
        <v>269</v>
      </c>
      <c r="CX20" s="35" t="s">
        <v>464</v>
      </c>
      <c r="CY20" s="35" t="s">
        <v>464</v>
      </c>
      <c r="CZ20" s="35" t="s">
        <v>464</v>
      </c>
      <c r="DA20" s="35" t="s">
        <v>464</v>
      </c>
      <c r="DB20" s="239" t="s">
        <v>464</v>
      </c>
      <c r="DC20" s="239" t="s">
        <v>464</v>
      </c>
      <c r="DD20" s="239" t="s">
        <v>464</v>
      </c>
      <c r="DE20" s="15"/>
      <c r="DF20" s="35" t="s">
        <v>269</v>
      </c>
      <c r="DG20" s="35" t="s">
        <v>269</v>
      </c>
      <c r="DH20" s="35" t="s">
        <v>269</v>
      </c>
      <c r="DI20" s="35" t="s">
        <v>464</v>
      </c>
      <c r="DJ20" s="239" t="s">
        <v>464</v>
      </c>
      <c r="DK20" s="239" t="s">
        <v>269</v>
      </c>
      <c r="DL20" s="239" t="s">
        <v>464</v>
      </c>
      <c r="DM20" s="35" t="s">
        <v>464</v>
      </c>
      <c r="DN20" s="35" t="s">
        <v>464</v>
      </c>
      <c r="DO20" s="35" t="s">
        <v>464</v>
      </c>
      <c r="DP20" s="35" t="s">
        <v>464</v>
      </c>
      <c r="DQ20" s="99"/>
      <c r="DR20" s="99"/>
      <c r="DS20" s="99"/>
      <c r="DT20" s="99"/>
      <c r="DU20" s="99"/>
      <c r="DV20" s="99"/>
      <c r="DW20" s="99"/>
      <c r="DX20" s="99"/>
      <c r="DY20" s="99"/>
      <c r="DZ20" s="99"/>
      <c r="EA20" s="99"/>
      <c r="EB20" s="99"/>
      <c r="EC20" s="99"/>
      <c r="EK20" s="15"/>
      <c r="EL20" s="15"/>
      <c r="EN20" s="15"/>
      <c r="EO20" s="15"/>
      <c r="EP20" s="15"/>
      <c r="EQ20" s="15"/>
      <c r="ER20" s="15"/>
      <c r="ES20" s="15"/>
      <c r="ET20" s="15"/>
      <c r="EU20" s="15"/>
      <c r="EV20" s="15"/>
      <c r="EW20" s="15"/>
      <c r="EX20" s="15"/>
      <c r="EY20" s="15"/>
      <c r="EZ20" s="138"/>
      <c r="FA20" s="15"/>
      <c r="FB20" s="15"/>
      <c r="FC20" s="15"/>
      <c r="FD20" s="15"/>
      <c r="FE20" s="15"/>
      <c r="FF20" s="15"/>
      <c r="FG20" s="15"/>
      <c r="FH20" s="15"/>
      <c r="FI20" s="15"/>
      <c r="FJ20" s="15"/>
      <c r="FK20" s="15"/>
      <c r="FL20" s="15"/>
      <c r="FO20" s="15"/>
      <c r="FP20" s="138"/>
      <c r="FQ20" s="138"/>
      <c r="FR20" s="55"/>
      <c r="FS20" s="55"/>
      <c r="FT20" s="138"/>
      <c r="FU20" s="138"/>
      <c r="FV20" s="138"/>
      <c r="FW20" s="55"/>
      <c r="FX20" s="35" t="s">
        <v>269</v>
      </c>
      <c r="FY20" s="55"/>
      <c r="FZ20" s="55"/>
      <c r="GA20" s="35" t="s">
        <v>449</v>
      </c>
      <c r="GB20" s="35" t="s">
        <v>269</v>
      </c>
      <c r="GC20" s="35" t="s">
        <v>269</v>
      </c>
      <c r="GD20" s="35" t="s">
        <v>269</v>
      </c>
      <c r="GE20" s="55"/>
      <c r="GF20" s="55"/>
      <c r="GG20" s="55"/>
      <c r="GH20" s="55"/>
      <c r="GI20" s="55"/>
      <c r="GJ20" s="55"/>
      <c r="GK20" s="55"/>
    </row>
    <row r="21" spans="1:199" ht="14.25" thickTop="1" thickBot="1">
      <c r="A21" s="201" t="s">
        <v>615</v>
      </c>
      <c r="B21" s="198" t="s">
        <v>663</v>
      </c>
      <c r="C21" s="198" t="s">
        <v>519</v>
      </c>
      <c r="D21" s="217" t="s">
        <v>405</v>
      </c>
      <c r="E21" s="198" t="s">
        <v>306</v>
      </c>
      <c r="F21" s="18" t="s">
        <v>28</v>
      </c>
      <c r="G21" s="133" t="s">
        <v>67</v>
      </c>
      <c r="H21" s="217" t="s">
        <v>168</v>
      </c>
      <c r="I21" s="196" t="s">
        <v>314</v>
      </c>
      <c r="J21" s="196" t="s">
        <v>87</v>
      </c>
      <c r="K21" s="196" t="s">
        <v>230</v>
      </c>
      <c r="L21" s="196" t="s">
        <v>144</v>
      </c>
      <c r="M21" s="196" t="s">
        <v>434</v>
      </c>
      <c r="N21" s="57" t="s">
        <v>183</v>
      </c>
      <c r="O21" s="57" t="s">
        <v>302</v>
      </c>
      <c r="P21" s="57" t="s">
        <v>580</v>
      </c>
      <c r="Q21" s="57" t="s">
        <v>156</v>
      </c>
      <c r="R21" s="57" t="s">
        <v>303</v>
      </c>
      <c r="S21" s="196" t="s">
        <v>164</v>
      </c>
      <c r="T21" s="196" t="s">
        <v>408</v>
      </c>
      <c r="U21" s="57" t="s">
        <v>372</v>
      </c>
      <c r="V21" s="196" t="s">
        <v>105</v>
      </c>
      <c r="W21" s="180" t="s">
        <v>529</v>
      </c>
      <c r="X21" s="180" t="s">
        <v>478</v>
      </c>
      <c r="Y21" s="180" t="s">
        <v>439</v>
      </c>
      <c r="Z21" s="180" t="s">
        <v>75</v>
      </c>
      <c r="AA21" s="57" t="s">
        <v>675</v>
      </c>
      <c r="AB21" s="196" t="s">
        <v>111</v>
      </c>
      <c r="AC21" s="196" t="s">
        <v>293</v>
      </c>
      <c r="AD21" s="196" t="s">
        <v>312</v>
      </c>
      <c r="AE21" s="196" t="s">
        <v>416</v>
      </c>
      <c r="AF21" s="196" t="s">
        <v>430</v>
      </c>
      <c r="AG21" s="196" t="s">
        <v>438</v>
      </c>
      <c r="AH21" s="57" t="s">
        <v>705</v>
      </c>
      <c r="AI21" s="196" t="s">
        <v>15</v>
      </c>
      <c r="AJ21" s="196" t="s">
        <v>560</v>
      </c>
      <c r="AK21" s="196" t="s">
        <v>9</v>
      </c>
      <c r="AL21" s="196" t="s">
        <v>575</v>
      </c>
      <c r="AM21" s="196" t="s">
        <v>417</v>
      </c>
      <c r="AN21" s="196" t="s">
        <v>374</v>
      </c>
      <c r="AO21" s="196" t="s">
        <v>353</v>
      </c>
      <c r="AP21" s="196" t="s">
        <v>247</v>
      </c>
      <c r="AQ21" s="196" t="s">
        <v>497</v>
      </c>
      <c r="AR21" s="196" t="s">
        <v>402</v>
      </c>
      <c r="AS21" s="196" t="s">
        <v>447</v>
      </c>
      <c r="AT21" s="196" t="s">
        <v>452</v>
      </c>
      <c r="AU21" s="226" t="s">
        <v>119</v>
      </c>
      <c r="AV21" s="226" t="s">
        <v>589</v>
      </c>
      <c r="AW21" s="226" t="s">
        <v>64</v>
      </c>
      <c r="AX21" s="196" t="s">
        <v>480</v>
      </c>
      <c r="AY21" s="196" t="s">
        <v>548</v>
      </c>
      <c r="AZ21" s="226" t="s">
        <v>322</v>
      </c>
      <c r="BA21" s="226" t="s">
        <v>261</v>
      </c>
      <c r="BB21" s="204" t="s">
        <v>770</v>
      </c>
      <c r="BC21" s="226" t="s">
        <v>55</v>
      </c>
      <c r="BD21" s="196" t="s">
        <v>531</v>
      </c>
      <c r="BE21" s="226" t="s">
        <v>375</v>
      </c>
      <c r="BF21" s="204" t="s">
        <v>771</v>
      </c>
      <c r="BG21" s="226" t="s">
        <v>594</v>
      </c>
      <c r="BH21" s="306" t="s">
        <v>612</v>
      </c>
      <c r="BI21" s="306" t="s">
        <v>713</v>
      </c>
      <c r="BJ21" s="226" t="s">
        <v>574</v>
      </c>
      <c r="BK21" s="204" t="s">
        <v>359</v>
      </c>
      <c r="BL21" s="226" t="s">
        <v>93</v>
      </c>
      <c r="BM21" s="226" t="s">
        <v>199</v>
      </c>
      <c r="BN21" s="226" t="s">
        <v>613</v>
      </c>
      <c r="BO21" s="226" t="s">
        <v>152</v>
      </c>
      <c r="BP21" s="204" t="s">
        <v>556</v>
      </c>
      <c r="BQ21" s="204" t="s">
        <v>499</v>
      </c>
      <c r="BR21" s="204" t="s">
        <v>210</v>
      </c>
      <c r="BS21" s="204" t="s">
        <v>163</v>
      </c>
      <c r="BT21" s="204" t="s">
        <v>201</v>
      </c>
      <c r="BU21" s="204" t="s">
        <v>54</v>
      </c>
      <c r="BV21" s="204" t="s">
        <v>133</v>
      </c>
      <c r="BW21" s="204" t="s">
        <v>234</v>
      </c>
      <c r="BX21" s="204" t="s">
        <v>56</v>
      </c>
      <c r="BY21" s="204" t="s">
        <v>441</v>
      </c>
      <c r="BZ21" s="204" t="s">
        <v>108</v>
      </c>
      <c r="CA21" s="309" t="s">
        <v>666</v>
      </c>
      <c r="CB21" s="204" t="s">
        <v>668</v>
      </c>
      <c r="CC21" s="204" t="s">
        <v>670</v>
      </c>
      <c r="CD21" s="204" t="s">
        <v>657</v>
      </c>
      <c r="CE21" s="204" t="s">
        <v>658</v>
      </c>
      <c r="CF21" s="204" t="s">
        <v>659</v>
      </c>
      <c r="CG21" s="204" t="s">
        <v>332</v>
      </c>
      <c r="CH21" s="204" t="s">
        <v>361</v>
      </c>
      <c r="CI21" s="204" t="s">
        <v>522</v>
      </c>
      <c r="CJ21" s="204" t="s">
        <v>563</v>
      </c>
      <c r="CK21" s="204" t="s">
        <v>414</v>
      </c>
      <c r="CL21" s="226" t="s">
        <v>72</v>
      </c>
      <c r="CM21" s="226" t="s">
        <v>35</v>
      </c>
      <c r="CN21" s="226" t="s">
        <v>621</v>
      </c>
      <c r="CO21" s="226" t="s">
        <v>620</v>
      </c>
      <c r="CP21" s="226" t="s">
        <v>622</v>
      </c>
      <c r="CQ21" s="226" t="s">
        <v>623</v>
      </c>
      <c r="CR21" s="226" t="s">
        <v>624</v>
      </c>
      <c r="CS21" s="226" t="s">
        <v>628</v>
      </c>
      <c r="CT21" s="204" t="s">
        <v>725</v>
      </c>
      <c r="CU21" s="226" t="s">
        <v>625</v>
      </c>
      <c r="CV21" s="226" t="s">
        <v>626</v>
      </c>
      <c r="CW21" s="204" t="s">
        <v>708</v>
      </c>
      <c r="CX21" s="226" t="s">
        <v>632</v>
      </c>
      <c r="CY21" s="226" t="s">
        <v>627</v>
      </c>
      <c r="CZ21" s="204" t="s">
        <v>633</v>
      </c>
      <c r="DA21" s="204" t="s">
        <v>629</v>
      </c>
      <c r="DB21" s="30" t="s">
        <v>630</v>
      </c>
      <c r="DC21" s="30" t="s">
        <v>631</v>
      </c>
      <c r="DD21" s="30" t="s">
        <v>616</v>
      </c>
      <c r="DE21" s="15"/>
      <c r="DF21" s="204" t="s">
        <v>21</v>
      </c>
      <c r="DG21" s="172" t="s">
        <v>328</v>
      </c>
      <c r="DH21" s="172" t="s">
        <v>454</v>
      </c>
      <c r="DI21" s="172" t="s">
        <v>758</v>
      </c>
      <c r="DJ21" s="30" t="s">
        <v>189</v>
      </c>
      <c r="DK21" s="30" t="s">
        <v>688</v>
      </c>
      <c r="DL21" s="30" t="s">
        <v>617</v>
      </c>
      <c r="DM21" s="30" t="s">
        <v>618</v>
      </c>
      <c r="DN21" s="30" t="s">
        <v>619</v>
      </c>
      <c r="DO21" s="204" t="s">
        <v>400</v>
      </c>
      <c r="DP21" s="204" t="s">
        <v>508</v>
      </c>
      <c r="DQ21" s="99"/>
      <c r="DR21" s="99"/>
      <c r="DS21" s="99"/>
      <c r="DT21" s="99"/>
      <c r="DU21" s="99"/>
      <c r="DV21" s="99"/>
      <c r="DW21" s="99"/>
      <c r="DX21" s="99"/>
      <c r="DY21" s="99"/>
      <c r="DZ21" s="99"/>
      <c r="EA21" s="99"/>
      <c r="EB21" s="99"/>
      <c r="EC21" s="99"/>
      <c r="EK21" s="15"/>
      <c r="EL21" s="15"/>
      <c r="EM21" s="15"/>
      <c r="EN21" s="15"/>
      <c r="EO21" s="15"/>
      <c r="EP21" s="15"/>
      <c r="EQ21" s="15"/>
      <c r="ER21" s="15"/>
      <c r="ES21" s="15"/>
      <c r="ET21" s="15"/>
      <c r="EU21" s="15"/>
      <c r="EV21" s="15"/>
      <c r="EW21" s="15"/>
      <c r="EX21" s="15"/>
      <c r="EY21" s="15"/>
      <c r="EZ21" s="138"/>
      <c r="FA21" s="15"/>
      <c r="FB21" s="15"/>
      <c r="FC21" s="15"/>
      <c r="FD21" s="15"/>
      <c r="FE21" s="15"/>
      <c r="FF21" s="15"/>
      <c r="FG21" s="15"/>
      <c r="FH21" s="15"/>
      <c r="FI21" s="15"/>
      <c r="FJ21" s="15"/>
      <c r="FK21" s="15"/>
      <c r="FL21" s="15"/>
      <c r="FO21" s="15"/>
      <c r="FP21" s="138"/>
      <c r="FQ21" s="138"/>
      <c r="FR21" s="55"/>
      <c r="FS21" s="55"/>
      <c r="FT21" s="138"/>
      <c r="FU21" s="138"/>
      <c r="FV21" s="138"/>
      <c r="FW21" s="55"/>
      <c r="FX21" s="204" t="s">
        <v>418</v>
      </c>
      <c r="FY21" s="55"/>
      <c r="FZ21" s="55"/>
      <c r="GA21" s="226" t="s">
        <v>51</v>
      </c>
      <c r="GB21" s="196" t="s">
        <v>287</v>
      </c>
      <c r="GC21" s="226" t="s">
        <v>551</v>
      </c>
      <c r="GD21" s="196" t="s">
        <v>585</v>
      </c>
      <c r="GE21" s="55"/>
      <c r="GF21" s="55"/>
      <c r="GG21" s="55"/>
      <c r="GH21" s="55"/>
      <c r="GI21" s="55"/>
      <c r="GJ21" s="55"/>
      <c r="GK21" s="55"/>
    </row>
    <row r="22" spans="1:199" ht="14.25" thickTop="1" thickBot="1">
      <c r="A22" s="201" t="s">
        <v>634</v>
      </c>
      <c r="B22" s="35" t="s">
        <v>269</v>
      </c>
      <c r="C22" s="35" t="s">
        <v>269</v>
      </c>
      <c r="D22" s="35" t="s">
        <v>269</v>
      </c>
      <c r="E22" s="35" t="s">
        <v>269</v>
      </c>
      <c r="F22" s="73" t="s">
        <v>449</v>
      </c>
      <c r="G22" s="73" t="s">
        <v>565</v>
      </c>
      <c r="H22" s="35" t="s">
        <v>269</v>
      </c>
      <c r="I22" s="35" t="s">
        <v>269</v>
      </c>
      <c r="J22" s="35" t="s">
        <v>269</v>
      </c>
      <c r="K22" s="35" t="s">
        <v>269</v>
      </c>
      <c r="L22" s="35" t="s">
        <v>269</v>
      </c>
      <c r="M22" s="35" t="s">
        <v>269</v>
      </c>
      <c r="N22" s="35" t="s">
        <v>269</v>
      </c>
      <c r="O22" s="35" t="s">
        <v>269</v>
      </c>
      <c r="P22" s="35" t="s">
        <v>269</v>
      </c>
      <c r="Q22" s="35" t="s">
        <v>269</v>
      </c>
      <c r="R22" s="35" t="s">
        <v>269</v>
      </c>
      <c r="S22" s="35" t="s">
        <v>269</v>
      </c>
      <c r="T22" s="35" t="s">
        <v>269</v>
      </c>
      <c r="U22" s="35" t="s">
        <v>269</v>
      </c>
      <c r="V22" s="35" t="s">
        <v>269</v>
      </c>
      <c r="W22" s="35" t="s">
        <v>269</v>
      </c>
      <c r="X22" s="35" t="s">
        <v>269</v>
      </c>
      <c r="Y22" s="35" t="s">
        <v>269</v>
      </c>
      <c r="Z22" s="35" t="s">
        <v>269</v>
      </c>
      <c r="AA22" s="35" t="s">
        <v>565</v>
      </c>
      <c r="AB22" s="35" t="s">
        <v>269</v>
      </c>
      <c r="AC22" s="35" t="s">
        <v>269</v>
      </c>
      <c r="AD22" s="35" t="s">
        <v>269</v>
      </c>
      <c r="AE22" s="35" t="s">
        <v>269</v>
      </c>
      <c r="AF22" s="35" t="s">
        <v>269</v>
      </c>
      <c r="AG22" s="35" t="s">
        <v>269</v>
      </c>
      <c r="AH22" s="35" t="s">
        <v>269</v>
      </c>
      <c r="AI22" s="35" t="s">
        <v>269</v>
      </c>
      <c r="AJ22" s="35" t="s">
        <v>269</v>
      </c>
      <c r="AK22" s="35" t="s">
        <v>269</v>
      </c>
      <c r="AL22" s="35" t="s">
        <v>269</v>
      </c>
      <c r="AM22" s="35" t="s">
        <v>464</v>
      </c>
      <c r="AN22" s="35" t="s">
        <v>464</v>
      </c>
      <c r="AO22" s="35" t="s">
        <v>269</v>
      </c>
      <c r="AP22" s="35" t="s">
        <v>269</v>
      </c>
      <c r="AQ22" s="35" t="s">
        <v>269</v>
      </c>
      <c r="AR22" s="35" t="s">
        <v>269</v>
      </c>
      <c r="AS22" s="35" t="s">
        <v>269</v>
      </c>
      <c r="AT22" s="35" t="s">
        <v>269</v>
      </c>
      <c r="AU22" s="35" t="s">
        <v>269</v>
      </c>
      <c r="AV22" s="35" t="s">
        <v>269</v>
      </c>
      <c r="AW22" s="35" t="s">
        <v>269</v>
      </c>
      <c r="AX22" s="35" t="s">
        <v>269</v>
      </c>
      <c r="AY22" s="35" t="s">
        <v>269</v>
      </c>
      <c r="AZ22" s="35" t="s">
        <v>269</v>
      </c>
      <c r="BA22" s="35" t="s">
        <v>269</v>
      </c>
      <c r="BB22" s="35" t="s">
        <v>269</v>
      </c>
      <c r="BC22" s="35" t="s">
        <v>269</v>
      </c>
      <c r="BD22" s="35" t="s">
        <v>449</v>
      </c>
      <c r="BE22" s="35" t="s">
        <v>269</v>
      </c>
      <c r="BF22" s="35" t="s">
        <v>269</v>
      </c>
      <c r="BG22" s="35" t="s">
        <v>269</v>
      </c>
      <c r="BH22" s="300" t="s">
        <v>269</v>
      </c>
      <c r="BI22" s="300" t="s">
        <v>269</v>
      </c>
      <c r="BJ22" s="35" t="s">
        <v>269</v>
      </c>
      <c r="BK22" s="35" t="s">
        <v>269</v>
      </c>
      <c r="BL22" s="35" t="s">
        <v>269</v>
      </c>
      <c r="BM22" s="35" t="s">
        <v>269</v>
      </c>
      <c r="BN22" s="35" t="s">
        <v>269</v>
      </c>
      <c r="BO22" s="35" t="s">
        <v>269</v>
      </c>
      <c r="BP22" s="35" t="s">
        <v>269</v>
      </c>
      <c r="BQ22" s="35" t="s">
        <v>269</v>
      </c>
      <c r="BR22" s="35" t="s">
        <v>269</v>
      </c>
      <c r="BS22" s="35" t="s">
        <v>269</v>
      </c>
      <c r="BT22" s="35" t="s">
        <v>269</v>
      </c>
      <c r="BU22" s="35" t="s">
        <v>269</v>
      </c>
      <c r="BV22" s="35" t="s">
        <v>269</v>
      </c>
      <c r="BW22" s="35" t="s">
        <v>269</v>
      </c>
      <c r="BX22" s="35" t="s">
        <v>269</v>
      </c>
      <c r="BY22" s="35" t="s">
        <v>269</v>
      </c>
      <c r="BZ22" s="35" t="s">
        <v>269</v>
      </c>
      <c r="CA22" s="314" t="s">
        <v>269</v>
      </c>
      <c r="CB22" s="35" t="s">
        <v>269</v>
      </c>
      <c r="CC22" s="35" t="s">
        <v>269</v>
      </c>
      <c r="CD22" s="35" t="s">
        <v>269</v>
      </c>
      <c r="CE22" s="35" t="s">
        <v>269</v>
      </c>
      <c r="CF22" s="35" t="s">
        <v>269</v>
      </c>
      <c r="CG22" s="35" t="s">
        <v>269</v>
      </c>
      <c r="CH22" s="35" t="s">
        <v>269</v>
      </c>
      <c r="CI22" s="35" t="s">
        <v>449</v>
      </c>
      <c r="CJ22" s="35" t="s">
        <v>449</v>
      </c>
      <c r="CK22" s="35" t="s">
        <v>449</v>
      </c>
      <c r="CL22" s="35" t="s">
        <v>269</v>
      </c>
      <c r="CM22" s="35" t="s">
        <v>269</v>
      </c>
      <c r="CN22" s="35" t="s">
        <v>464</v>
      </c>
      <c r="CO22" s="35" t="s">
        <v>464</v>
      </c>
      <c r="CP22" s="35" t="s">
        <v>464</v>
      </c>
      <c r="CQ22" s="35" t="s">
        <v>464</v>
      </c>
      <c r="CR22" s="35" t="s">
        <v>464</v>
      </c>
      <c r="CS22" s="35" t="s">
        <v>464</v>
      </c>
      <c r="CT22" s="35" t="s">
        <v>464</v>
      </c>
      <c r="CU22" s="35" t="s">
        <v>464</v>
      </c>
      <c r="CV22" s="35" t="s">
        <v>464</v>
      </c>
      <c r="CW22" s="35" t="s">
        <v>269</v>
      </c>
      <c r="CX22" s="35" t="s">
        <v>464</v>
      </c>
      <c r="CY22" s="35" t="s">
        <v>464</v>
      </c>
      <c r="CZ22" s="35" t="s">
        <v>464</v>
      </c>
      <c r="DA22" s="35" t="s">
        <v>464</v>
      </c>
      <c r="DB22" s="239" t="s">
        <v>464</v>
      </c>
      <c r="DC22" s="239" t="s">
        <v>464</v>
      </c>
      <c r="DD22" s="239" t="s">
        <v>464</v>
      </c>
      <c r="DE22" s="15"/>
      <c r="DF22" s="35" t="s">
        <v>269</v>
      </c>
      <c r="DG22" s="35" t="s">
        <v>269</v>
      </c>
      <c r="DH22" s="35" t="s">
        <v>269</v>
      </c>
      <c r="DI22" s="35" t="s">
        <v>464</v>
      </c>
      <c r="DJ22" s="239" t="s">
        <v>464</v>
      </c>
      <c r="DK22" s="239" t="s">
        <v>269</v>
      </c>
      <c r="DL22" s="239" t="s">
        <v>464</v>
      </c>
      <c r="DM22" s="35" t="s">
        <v>464</v>
      </c>
      <c r="DN22" s="35" t="s">
        <v>464</v>
      </c>
      <c r="DO22" s="35" t="s">
        <v>464</v>
      </c>
      <c r="DP22" s="35" t="s">
        <v>464</v>
      </c>
      <c r="DQ22" s="99"/>
      <c r="DR22" s="99"/>
      <c r="DS22" s="99"/>
      <c r="DT22" s="99"/>
      <c r="DU22" s="99"/>
      <c r="DV22" s="99"/>
      <c r="DW22" s="99"/>
      <c r="DX22" s="99"/>
      <c r="DY22" s="99"/>
      <c r="DZ22" s="99"/>
      <c r="EA22" s="99"/>
      <c r="EB22" s="99"/>
      <c r="EC22" s="99"/>
      <c r="EK22" s="15"/>
      <c r="EL22" s="15"/>
      <c r="EM22" s="15"/>
      <c r="EN22" s="15"/>
      <c r="EO22" s="15"/>
      <c r="EP22" s="15"/>
      <c r="EQ22" s="15"/>
      <c r="ER22" s="15"/>
      <c r="ES22" s="15"/>
      <c r="ET22" s="15"/>
      <c r="EU22" s="15"/>
      <c r="EV22" s="15"/>
      <c r="EW22" s="15"/>
      <c r="EX22" s="15"/>
      <c r="EY22" s="15"/>
      <c r="EZ22" s="138"/>
      <c r="FA22" s="15"/>
      <c r="FB22" s="15"/>
      <c r="FC22" s="15"/>
      <c r="FD22" s="15"/>
      <c r="FE22" s="15"/>
      <c r="FF22" s="15"/>
      <c r="FG22" s="15"/>
      <c r="FH22" s="15"/>
      <c r="FI22" s="15"/>
      <c r="FJ22" s="15"/>
      <c r="FK22" s="15"/>
      <c r="FL22" s="15"/>
      <c r="FO22" s="15"/>
      <c r="FP22" s="138"/>
      <c r="FQ22" s="138"/>
      <c r="FR22" s="55"/>
      <c r="FS22" s="55"/>
      <c r="FT22" s="138"/>
      <c r="FU22" s="138"/>
      <c r="FV22" s="138"/>
      <c r="FW22" s="55"/>
      <c r="FX22" s="55"/>
      <c r="FY22" s="55"/>
      <c r="FZ22" s="55"/>
      <c r="GA22" s="35" t="s">
        <v>269</v>
      </c>
      <c r="GB22" s="35" t="s">
        <v>269</v>
      </c>
      <c r="GC22" s="35" t="s">
        <v>269</v>
      </c>
      <c r="GD22" s="35" t="s">
        <v>269</v>
      </c>
      <c r="GE22" s="55"/>
      <c r="GF22" s="55"/>
      <c r="GG22" s="55"/>
      <c r="GH22" s="55"/>
      <c r="GI22" s="55"/>
      <c r="GJ22" s="55"/>
      <c r="GK22" s="55"/>
    </row>
    <row r="23" spans="1:199" ht="14.25" thickTop="1" thickBot="1">
      <c r="A23" s="201" t="s">
        <v>635</v>
      </c>
      <c r="B23" s="198" t="s">
        <v>663</v>
      </c>
      <c r="C23" s="198" t="s">
        <v>519</v>
      </c>
      <c r="D23" s="217" t="s">
        <v>405</v>
      </c>
      <c r="E23" s="198" t="s">
        <v>306</v>
      </c>
      <c r="F23" s="18" t="s">
        <v>28</v>
      </c>
      <c r="G23" s="133" t="s">
        <v>67</v>
      </c>
      <c r="H23" s="217" t="s">
        <v>168</v>
      </c>
      <c r="I23" s="196" t="s">
        <v>314</v>
      </c>
      <c r="J23" s="196" t="s">
        <v>87</v>
      </c>
      <c r="K23" s="196" t="s">
        <v>230</v>
      </c>
      <c r="L23" s="196" t="s">
        <v>144</v>
      </c>
      <c r="M23" s="196" t="s">
        <v>434</v>
      </c>
      <c r="N23" s="57" t="s">
        <v>183</v>
      </c>
      <c r="O23" s="57" t="s">
        <v>302</v>
      </c>
      <c r="P23" s="57" t="s">
        <v>580</v>
      </c>
      <c r="Q23" s="57" t="s">
        <v>156</v>
      </c>
      <c r="R23" s="57" t="s">
        <v>303</v>
      </c>
      <c r="S23" s="196" t="s">
        <v>164</v>
      </c>
      <c r="T23" s="196" t="s">
        <v>408</v>
      </c>
      <c r="U23" s="57" t="s">
        <v>372</v>
      </c>
      <c r="V23" s="196" t="s">
        <v>105</v>
      </c>
      <c r="W23" s="180" t="s">
        <v>529</v>
      </c>
      <c r="X23" s="180" t="s">
        <v>478</v>
      </c>
      <c r="Y23" s="180" t="s">
        <v>439</v>
      </c>
      <c r="Z23" s="180" t="s">
        <v>75</v>
      </c>
      <c r="AA23" s="57" t="s">
        <v>675</v>
      </c>
      <c r="AB23" s="196" t="s">
        <v>111</v>
      </c>
      <c r="AC23" s="196" t="s">
        <v>293</v>
      </c>
      <c r="AD23" s="196" t="s">
        <v>312</v>
      </c>
      <c r="AE23" s="196" t="s">
        <v>416</v>
      </c>
      <c r="AF23" s="196" t="s">
        <v>430</v>
      </c>
      <c r="AG23" s="196" t="s">
        <v>438</v>
      </c>
      <c r="AH23" s="57" t="s">
        <v>705</v>
      </c>
      <c r="AI23" s="196" t="s">
        <v>15</v>
      </c>
      <c r="AJ23" s="196" t="s">
        <v>560</v>
      </c>
      <c r="AK23" s="196" t="s">
        <v>9</v>
      </c>
      <c r="AL23" s="196" t="s">
        <v>575</v>
      </c>
      <c r="AM23" s="196" t="s">
        <v>417</v>
      </c>
      <c r="AN23" s="196" t="s">
        <v>374</v>
      </c>
      <c r="AO23" s="196" t="s">
        <v>353</v>
      </c>
      <c r="AP23" s="196" t="s">
        <v>247</v>
      </c>
      <c r="AQ23" s="196" t="s">
        <v>497</v>
      </c>
      <c r="AR23" s="196" t="s">
        <v>402</v>
      </c>
      <c r="AS23" s="196" t="s">
        <v>447</v>
      </c>
      <c r="AT23" s="196" t="s">
        <v>452</v>
      </c>
      <c r="AU23" s="226" t="s">
        <v>119</v>
      </c>
      <c r="AV23" s="226" t="s">
        <v>589</v>
      </c>
      <c r="AW23" s="226" t="s">
        <v>64</v>
      </c>
      <c r="AX23" s="196" t="s">
        <v>480</v>
      </c>
      <c r="AY23" s="196" t="s">
        <v>548</v>
      </c>
      <c r="AZ23" s="226" t="s">
        <v>322</v>
      </c>
      <c r="BA23" s="226" t="s">
        <v>261</v>
      </c>
      <c r="BB23" s="204" t="s">
        <v>770</v>
      </c>
      <c r="BC23" s="226" t="s">
        <v>55</v>
      </c>
      <c r="BD23" s="196" t="s">
        <v>636</v>
      </c>
      <c r="BE23" s="226" t="s">
        <v>375</v>
      </c>
      <c r="BF23" s="204" t="s">
        <v>771</v>
      </c>
      <c r="BG23" s="226" t="s">
        <v>594</v>
      </c>
      <c r="BH23" s="306" t="s">
        <v>612</v>
      </c>
      <c r="BI23" s="306" t="s">
        <v>613</v>
      </c>
      <c r="BJ23" s="226" t="s">
        <v>574</v>
      </c>
      <c r="BK23" s="204" t="s">
        <v>359</v>
      </c>
      <c r="BL23" s="226" t="s">
        <v>93</v>
      </c>
      <c r="BM23" s="226" t="s">
        <v>199</v>
      </c>
      <c r="BN23" s="226" t="s">
        <v>531</v>
      </c>
      <c r="BO23" s="226" t="s">
        <v>152</v>
      </c>
      <c r="BP23" s="204" t="s">
        <v>556</v>
      </c>
      <c r="BQ23" s="204" t="s">
        <v>499</v>
      </c>
      <c r="BR23" s="204" t="s">
        <v>210</v>
      </c>
      <c r="BS23" s="204" t="s">
        <v>163</v>
      </c>
      <c r="BT23" s="204" t="s">
        <v>201</v>
      </c>
      <c r="BU23" s="204" t="s">
        <v>54</v>
      </c>
      <c r="BV23" s="204" t="s">
        <v>133</v>
      </c>
      <c r="BW23" s="204" t="s">
        <v>234</v>
      </c>
      <c r="BX23" s="204" t="s">
        <v>56</v>
      </c>
      <c r="BY23" s="204" t="s">
        <v>441</v>
      </c>
      <c r="BZ23" s="204" t="s">
        <v>108</v>
      </c>
      <c r="CA23" s="309" t="s">
        <v>666</v>
      </c>
      <c r="CB23" s="204" t="s">
        <v>668</v>
      </c>
      <c r="CC23" s="204" t="s">
        <v>670</v>
      </c>
      <c r="CD23" s="204" t="s">
        <v>657</v>
      </c>
      <c r="CE23" s="204" t="s">
        <v>658</v>
      </c>
      <c r="CF23" s="204" t="s">
        <v>659</v>
      </c>
      <c r="CG23" s="204" t="s">
        <v>332</v>
      </c>
      <c r="CH23" s="204" t="s">
        <v>361</v>
      </c>
      <c r="CI23" s="204" t="s">
        <v>522</v>
      </c>
      <c r="CJ23" s="204" t="s">
        <v>563</v>
      </c>
      <c r="CK23" s="204" t="s">
        <v>414</v>
      </c>
      <c r="CL23" s="226" t="s">
        <v>72</v>
      </c>
      <c r="CM23" s="226" t="s">
        <v>35</v>
      </c>
      <c r="CN23" s="226" t="s">
        <v>637</v>
      </c>
      <c r="CO23" s="226" t="s">
        <v>638</v>
      </c>
      <c r="CP23" s="226" t="s">
        <v>639</v>
      </c>
      <c r="CQ23" s="226" t="s">
        <v>640</v>
      </c>
      <c r="CR23" s="226" t="s">
        <v>641</v>
      </c>
      <c r="CS23" s="226" t="s">
        <v>642</v>
      </c>
      <c r="CT23" s="204" t="s">
        <v>725</v>
      </c>
      <c r="CU23" s="226" t="s">
        <v>643</v>
      </c>
      <c r="CV23" s="226" t="s">
        <v>644</v>
      </c>
      <c r="CW23" s="204" t="s">
        <v>708</v>
      </c>
      <c r="CX23" s="226" t="s">
        <v>645</v>
      </c>
      <c r="CY23" s="226" t="s">
        <v>646</v>
      </c>
      <c r="CZ23" s="204" t="s">
        <v>647</v>
      </c>
      <c r="DA23" s="204" t="s">
        <v>648</v>
      </c>
      <c r="DB23" s="30" t="s">
        <v>649</v>
      </c>
      <c r="DC23" s="30" t="s">
        <v>650</v>
      </c>
      <c r="DD23" s="30" t="s">
        <v>651</v>
      </c>
      <c r="DE23" s="15"/>
      <c r="DF23" s="204" t="s">
        <v>21</v>
      </c>
      <c r="DG23" s="172" t="s">
        <v>328</v>
      </c>
      <c r="DH23" s="172" t="s">
        <v>454</v>
      </c>
      <c r="DI23" s="172" t="s">
        <v>758</v>
      </c>
      <c r="DJ23" s="30" t="s">
        <v>652</v>
      </c>
      <c r="DK23" s="30" t="s">
        <v>688</v>
      </c>
      <c r="DL23" s="30" t="s">
        <v>653</v>
      </c>
      <c r="DM23" s="30" t="s">
        <v>654</v>
      </c>
      <c r="DN23" s="30" t="s">
        <v>655</v>
      </c>
      <c r="DO23" s="204" t="s">
        <v>400</v>
      </c>
      <c r="DP23" s="204" t="s">
        <v>508</v>
      </c>
      <c r="DQ23" s="99"/>
      <c r="DR23" s="99"/>
      <c r="DS23" s="99"/>
      <c r="DT23" s="99"/>
      <c r="DU23" s="99"/>
      <c r="DV23" s="99"/>
      <c r="DW23" s="99"/>
      <c r="DX23" s="99"/>
      <c r="DY23" s="99"/>
      <c r="DZ23" s="99"/>
      <c r="EA23" s="99"/>
      <c r="EB23" s="99"/>
      <c r="EC23" s="99"/>
      <c r="EK23" s="15"/>
      <c r="EL23" s="15"/>
      <c r="EM23" s="15"/>
      <c r="EN23" s="15"/>
      <c r="EO23" s="15"/>
      <c r="EP23" s="15"/>
      <c r="EQ23" s="15"/>
      <c r="ER23" s="15"/>
      <c r="ES23" s="15"/>
      <c r="ET23" s="15"/>
      <c r="EU23" s="15"/>
      <c r="EV23" s="15"/>
      <c r="EW23" s="15"/>
      <c r="EX23" s="15"/>
      <c r="EY23" s="15"/>
      <c r="EZ23" s="138"/>
      <c r="FA23" s="15"/>
      <c r="FB23" s="15"/>
      <c r="FC23" s="15"/>
      <c r="FD23" s="15"/>
      <c r="FE23" s="15"/>
      <c r="FF23" s="15"/>
      <c r="FG23" s="15"/>
      <c r="FH23" s="15"/>
      <c r="FI23" s="15"/>
      <c r="FJ23" s="15"/>
      <c r="FK23" s="15"/>
      <c r="FL23" s="15"/>
      <c r="FO23" s="15"/>
      <c r="FP23" s="138"/>
      <c r="FQ23" s="138"/>
      <c r="FR23" s="55"/>
      <c r="FS23" s="55"/>
      <c r="FT23" s="138"/>
      <c r="FU23" s="138"/>
      <c r="FV23" s="138"/>
      <c r="FW23" s="55"/>
      <c r="FX23" s="55"/>
      <c r="FY23" s="55"/>
      <c r="FZ23" s="55"/>
      <c r="GA23" s="226" t="s">
        <v>51</v>
      </c>
      <c r="GB23" s="196" t="s">
        <v>287</v>
      </c>
      <c r="GC23" s="226" t="s">
        <v>551</v>
      </c>
      <c r="GD23" s="196" t="s">
        <v>585</v>
      </c>
      <c r="GE23" s="55"/>
      <c r="GF23" s="55"/>
      <c r="GG23" s="55"/>
      <c r="GH23" s="55"/>
      <c r="GI23" s="55"/>
      <c r="GJ23" s="55"/>
      <c r="GK23" s="55"/>
    </row>
    <row r="24" spans="1:199" ht="14.25" thickTop="1" thickBot="1">
      <c r="A24" s="201" t="s">
        <v>415</v>
      </c>
      <c r="B24" s="35" t="s">
        <v>269</v>
      </c>
      <c r="C24" s="35" t="s">
        <v>269</v>
      </c>
      <c r="D24" s="35" t="s">
        <v>269</v>
      </c>
      <c r="E24" s="35" t="s">
        <v>269</v>
      </c>
      <c r="F24" s="73" t="s">
        <v>449</v>
      </c>
      <c r="G24" s="73" t="s">
        <v>565</v>
      </c>
      <c r="H24" s="35" t="s">
        <v>269</v>
      </c>
      <c r="I24" s="35" t="s">
        <v>269</v>
      </c>
      <c r="J24" s="35" t="s">
        <v>269</v>
      </c>
      <c r="K24" s="35" t="s">
        <v>269</v>
      </c>
      <c r="L24" s="35" t="s">
        <v>269</v>
      </c>
      <c r="M24" s="35" t="s">
        <v>269</v>
      </c>
      <c r="N24" s="35" t="s">
        <v>269</v>
      </c>
      <c r="O24" s="35" t="s">
        <v>269</v>
      </c>
      <c r="P24" s="35" t="s">
        <v>269</v>
      </c>
      <c r="Q24" s="35" t="s">
        <v>269</v>
      </c>
      <c r="R24" s="35" t="s">
        <v>269</v>
      </c>
      <c r="S24" s="35" t="s">
        <v>269</v>
      </c>
      <c r="T24" s="35" t="s">
        <v>269</v>
      </c>
      <c r="U24" s="35" t="s">
        <v>269</v>
      </c>
      <c r="V24" s="35" t="s">
        <v>269</v>
      </c>
      <c r="W24" s="35" t="s">
        <v>269</v>
      </c>
      <c r="X24" s="35" t="s">
        <v>269</v>
      </c>
      <c r="Y24" s="35" t="s">
        <v>269</v>
      </c>
      <c r="Z24" s="35" t="s">
        <v>449</v>
      </c>
      <c r="AA24" s="35" t="s">
        <v>565</v>
      </c>
      <c r="AB24" s="35" t="s">
        <v>269</v>
      </c>
      <c r="AC24" s="35" t="s">
        <v>269</v>
      </c>
      <c r="AD24" s="35" t="s">
        <v>269</v>
      </c>
      <c r="AE24" s="35" t="s">
        <v>269</v>
      </c>
      <c r="AF24" s="35" t="s">
        <v>269</v>
      </c>
      <c r="AG24" s="35" t="s">
        <v>269</v>
      </c>
      <c r="AH24" s="35" t="s">
        <v>269</v>
      </c>
      <c r="AI24" s="35" t="s">
        <v>269</v>
      </c>
      <c r="AJ24" s="35" t="s">
        <v>269</v>
      </c>
      <c r="AK24" s="35" t="s">
        <v>269</v>
      </c>
      <c r="AL24" s="35" t="s">
        <v>269</v>
      </c>
      <c r="AM24" s="35" t="s">
        <v>464</v>
      </c>
      <c r="AN24" s="35" t="s">
        <v>464</v>
      </c>
      <c r="AO24" s="35" t="s">
        <v>269</v>
      </c>
      <c r="AP24" s="35" t="s">
        <v>269</v>
      </c>
      <c r="AQ24" s="35" t="s">
        <v>269</v>
      </c>
      <c r="AR24" s="35" t="s">
        <v>269</v>
      </c>
      <c r="AS24" s="35" t="s">
        <v>269</v>
      </c>
      <c r="AT24" s="35" t="s">
        <v>269</v>
      </c>
      <c r="AU24" s="35" t="s">
        <v>269</v>
      </c>
      <c r="AV24" s="35" t="s">
        <v>269</v>
      </c>
      <c r="AW24" s="35" t="s">
        <v>269</v>
      </c>
      <c r="AX24" s="35" t="s">
        <v>269</v>
      </c>
      <c r="AY24" s="35" t="s">
        <v>269</v>
      </c>
      <c r="AZ24" s="35" t="s">
        <v>269</v>
      </c>
      <c r="BA24" s="35" t="s">
        <v>269</v>
      </c>
      <c r="BB24" s="35" t="s">
        <v>269</v>
      </c>
      <c r="BC24" s="35" t="s">
        <v>269</v>
      </c>
      <c r="BD24" s="35" t="s">
        <v>269</v>
      </c>
      <c r="BE24" s="35" t="s">
        <v>269</v>
      </c>
      <c r="BF24" s="35" t="s">
        <v>269</v>
      </c>
      <c r="BG24" s="35" t="s">
        <v>269</v>
      </c>
      <c r="BH24" s="300" t="s">
        <v>269</v>
      </c>
      <c r="BI24" s="300" t="s">
        <v>269</v>
      </c>
      <c r="BJ24" s="35" t="s">
        <v>269</v>
      </c>
      <c r="BK24" s="35" t="s">
        <v>269</v>
      </c>
      <c r="BL24" s="35" t="s">
        <v>269</v>
      </c>
      <c r="BM24" s="35" t="s">
        <v>269</v>
      </c>
      <c r="BN24" s="35" t="s">
        <v>449</v>
      </c>
      <c r="BO24" s="35" t="s">
        <v>269</v>
      </c>
      <c r="BP24" s="35" t="s">
        <v>269</v>
      </c>
      <c r="BQ24" s="35" t="s">
        <v>269</v>
      </c>
      <c r="BR24" s="35" t="s">
        <v>269</v>
      </c>
      <c r="BS24" s="35" t="s">
        <v>269</v>
      </c>
      <c r="BT24" s="35" t="s">
        <v>269</v>
      </c>
      <c r="BU24" s="35" t="s">
        <v>269</v>
      </c>
      <c r="BV24" s="35" t="s">
        <v>269</v>
      </c>
      <c r="BW24" s="35" t="s">
        <v>269</v>
      </c>
      <c r="BX24" s="35" t="s">
        <v>269</v>
      </c>
      <c r="BY24" s="35" t="s">
        <v>269</v>
      </c>
      <c r="BZ24" s="35" t="s">
        <v>269</v>
      </c>
      <c r="CA24" s="314" t="s">
        <v>269</v>
      </c>
      <c r="CB24" s="35" t="s">
        <v>269</v>
      </c>
      <c r="CC24" s="35" t="s">
        <v>269</v>
      </c>
      <c r="CD24" s="35" t="s">
        <v>269</v>
      </c>
      <c r="CE24" s="35" t="s">
        <v>269</v>
      </c>
      <c r="CF24" s="35" t="s">
        <v>269</v>
      </c>
      <c r="CG24" s="35" t="s">
        <v>269</v>
      </c>
      <c r="CH24" s="35" t="s">
        <v>269</v>
      </c>
      <c r="CI24" s="35" t="s">
        <v>449</v>
      </c>
      <c r="CJ24" s="35" t="s">
        <v>449</v>
      </c>
      <c r="CK24" s="35" t="s">
        <v>449</v>
      </c>
      <c r="CL24" s="35" t="s">
        <v>269</v>
      </c>
      <c r="CM24" s="35" t="s">
        <v>269</v>
      </c>
      <c r="CN24" s="35" t="s">
        <v>464</v>
      </c>
      <c r="CO24" s="35" t="s">
        <v>464</v>
      </c>
      <c r="CP24" s="35" t="s">
        <v>464</v>
      </c>
      <c r="CQ24" s="35" t="s">
        <v>464</v>
      </c>
      <c r="CR24" s="35" t="s">
        <v>464</v>
      </c>
      <c r="CS24" s="35" t="s">
        <v>464</v>
      </c>
      <c r="CT24" s="35" t="s">
        <v>464</v>
      </c>
      <c r="CU24" s="35" t="s">
        <v>464</v>
      </c>
      <c r="CV24" s="35" t="s">
        <v>464</v>
      </c>
      <c r="CW24" s="35" t="s">
        <v>269</v>
      </c>
      <c r="CX24" s="35" t="s">
        <v>464</v>
      </c>
      <c r="CY24" s="35" t="s">
        <v>464</v>
      </c>
      <c r="CZ24" s="35" t="s">
        <v>464</v>
      </c>
      <c r="DA24" s="35" t="s">
        <v>464</v>
      </c>
      <c r="DB24" s="239" t="s">
        <v>464</v>
      </c>
      <c r="DC24" s="239" t="s">
        <v>464</v>
      </c>
      <c r="DD24" s="239" t="s">
        <v>464</v>
      </c>
      <c r="DE24" s="15"/>
      <c r="DF24" s="35" t="s">
        <v>269</v>
      </c>
      <c r="DG24" s="35" t="s">
        <v>269</v>
      </c>
      <c r="DH24" s="35" t="s">
        <v>269</v>
      </c>
      <c r="DI24" s="35" t="s">
        <v>464</v>
      </c>
      <c r="DJ24" s="239" t="s">
        <v>464</v>
      </c>
      <c r="DK24" s="239" t="s">
        <v>269</v>
      </c>
      <c r="DL24" s="239" t="s">
        <v>464</v>
      </c>
      <c r="DM24" s="35" t="s">
        <v>464</v>
      </c>
      <c r="DN24" s="35" t="s">
        <v>464</v>
      </c>
      <c r="DO24" s="35" t="s">
        <v>464</v>
      </c>
      <c r="DP24" s="35" t="s">
        <v>464</v>
      </c>
      <c r="DQ24" s="73" t="s">
        <v>464</v>
      </c>
      <c r="DR24" s="73" t="s">
        <v>464</v>
      </c>
      <c r="DS24" s="73" t="s">
        <v>464</v>
      </c>
      <c r="DT24" s="73" t="s">
        <v>464</v>
      </c>
      <c r="DU24" s="73" t="s">
        <v>464</v>
      </c>
      <c r="DV24" s="73" t="s">
        <v>464</v>
      </c>
      <c r="DW24" s="203"/>
      <c r="DX24" s="203"/>
      <c r="DY24" s="203"/>
      <c r="DZ24" s="203"/>
      <c r="EA24" s="203"/>
      <c r="EB24" s="203"/>
      <c r="EC24" s="203"/>
      <c r="EK24" s="275"/>
      <c r="EL24" s="275"/>
      <c r="EM24" s="275"/>
      <c r="EN24" s="275"/>
      <c r="EO24" s="275"/>
      <c r="EP24" s="275"/>
      <c r="EQ24" s="275"/>
      <c r="ER24" s="275"/>
      <c r="ES24" s="275"/>
      <c r="ET24" s="275"/>
      <c r="EU24" s="275"/>
      <c r="EV24" s="275"/>
      <c r="EW24" s="275"/>
      <c r="EX24" s="275"/>
      <c r="EY24" s="275"/>
      <c r="EZ24" s="138"/>
      <c r="FA24" s="275"/>
      <c r="FB24" s="275"/>
      <c r="FC24" s="275"/>
      <c r="FD24" s="275"/>
      <c r="FE24" s="275"/>
      <c r="FF24" s="275"/>
      <c r="FG24" s="275"/>
      <c r="FH24" s="275"/>
      <c r="FI24" s="275"/>
      <c r="FJ24" s="275"/>
      <c r="FK24" s="275"/>
      <c r="FL24" s="275"/>
      <c r="FO24" s="15"/>
      <c r="FP24" s="138"/>
      <c r="FQ24" s="275"/>
      <c r="FR24" s="55"/>
      <c r="FS24" s="55"/>
      <c r="FT24" s="275"/>
      <c r="FU24" s="275"/>
      <c r="FV24" s="275"/>
      <c r="FW24" s="55"/>
      <c r="FX24" s="55"/>
      <c r="FY24" s="275"/>
      <c r="FZ24" s="275"/>
      <c r="GA24" s="35" t="s">
        <v>269</v>
      </c>
      <c r="GB24" s="35" t="s">
        <v>269</v>
      </c>
      <c r="GC24" s="35" t="s">
        <v>269</v>
      </c>
      <c r="GD24" s="35" t="s">
        <v>269</v>
      </c>
      <c r="GE24" s="55"/>
      <c r="GF24" s="55"/>
      <c r="GG24" s="55"/>
      <c r="GH24" s="55"/>
      <c r="GI24" s="55"/>
      <c r="GJ24" s="55"/>
      <c r="GK24" s="55"/>
    </row>
    <row r="25" spans="1:199" ht="14.25" thickTop="1" thickBot="1">
      <c r="A25" s="201" t="s">
        <v>329</v>
      </c>
      <c r="B25" s="61" t="s">
        <v>663</v>
      </c>
      <c r="C25" s="61" t="s">
        <v>519</v>
      </c>
      <c r="D25" s="83" t="s">
        <v>405</v>
      </c>
      <c r="E25" s="61" t="s">
        <v>306</v>
      </c>
      <c r="F25" s="133" t="s">
        <v>28</v>
      </c>
      <c r="G25" s="133" t="s">
        <v>67</v>
      </c>
      <c r="H25" s="83" t="s">
        <v>168</v>
      </c>
      <c r="I25" s="57" t="s">
        <v>314</v>
      </c>
      <c r="J25" s="57" t="s">
        <v>87</v>
      </c>
      <c r="K25" s="57" t="s">
        <v>230</v>
      </c>
      <c r="L25" s="57" t="s">
        <v>144</v>
      </c>
      <c r="M25" s="57" t="s">
        <v>434</v>
      </c>
      <c r="N25" s="57" t="s">
        <v>183</v>
      </c>
      <c r="O25" s="57" t="s">
        <v>302</v>
      </c>
      <c r="P25" s="57" t="s">
        <v>580</v>
      </c>
      <c r="Q25" s="57" t="s">
        <v>156</v>
      </c>
      <c r="R25" s="57" t="s">
        <v>303</v>
      </c>
      <c r="S25" s="57" t="s">
        <v>164</v>
      </c>
      <c r="T25" s="57" t="s">
        <v>408</v>
      </c>
      <c r="U25" s="57" t="s">
        <v>372</v>
      </c>
      <c r="V25" s="57" t="s">
        <v>105</v>
      </c>
      <c r="W25" s="57" t="s">
        <v>529</v>
      </c>
      <c r="X25" s="57" t="s">
        <v>478</v>
      </c>
      <c r="Y25" s="57" t="s">
        <v>439</v>
      </c>
      <c r="Z25" s="57" t="s">
        <v>75</v>
      </c>
      <c r="AA25" s="57" t="s">
        <v>675</v>
      </c>
      <c r="AB25" s="57" t="s">
        <v>111</v>
      </c>
      <c r="AC25" s="57" t="s">
        <v>293</v>
      </c>
      <c r="AD25" s="57" t="s">
        <v>312</v>
      </c>
      <c r="AE25" s="57" t="s">
        <v>416</v>
      </c>
      <c r="AF25" s="57" t="s">
        <v>430</v>
      </c>
      <c r="AG25" s="57" t="s">
        <v>438</v>
      </c>
      <c r="AH25" s="57" t="s">
        <v>705</v>
      </c>
      <c r="AI25" s="57" t="s">
        <v>15</v>
      </c>
      <c r="AJ25" s="57" t="s">
        <v>560</v>
      </c>
      <c r="AK25" s="57" t="s">
        <v>9</v>
      </c>
      <c r="AL25" s="57" t="s">
        <v>575</v>
      </c>
      <c r="AM25" s="57" t="s">
        <v>417</v>
      </c>
      <c r="AN25" s="57" t="s">
        <v>374</v>
      </c>
      <c r="AO25" s="57" t="s">
        <v>353</v>
      </c>
      <c r="AP25" s="57" t="s">
        <v>247</v>
      </c>
      <c r="AQ25" s="57" t="s">
        <v>497</v>
      </c>
      <c r="AR25" s="57" t="s">
        <v>402</v>
      </c>
      <c r="AS25" s="57" t="s">
        <v>447</v>
      </c>
      <c r="AT25" s="57" t="s">
        <v>452</v>
      </c>
      <c r="AU25" s="204" t="s">
        <v>119</v>
      </c>
      <c r="AV25" s="204" t="s">
        <v>589</v>
      </c>
      <c r="AW25" s="204" t="s">
        <v>64</v>
      </c>
      <c r="AX25" s="57" t="s">
        <v>480</v>
      </c>
      <c r="AY25" s="57" t="s">
        <v>548</v>
      </c>
      <c r="AZ25" s="204" t="s">
        <v>322</v>
      </c>
      <c r="BA25" s="204" t="s">
        <v>261</v>
      </c>
      <c r="BB25" s="204" t="s">
        <v>770</v>
      </c>
      <c r="BC25" s="204" t="s">
        <v>55</v>
      </c>
      <c r="BD25" s="196" t="s">
        <v>531</v>
      </c>
      <c r="BE25" s="204" t="s">
        <v>375</v>
      </c>
      <c r="BF25" s="204" t="s">
        <v>771</v>
      </c>
      <c r="BG25" s="204" t="s">
        <v>594</v>
      </c>
      <c r="BH25" s="306" t="s">
        <v>612</v>
      </c>
      <c r="BI25" s="306" t="s">
        <v>613</v>
      </c>
      <c r="BJ25" s="204" t="s">
        <v>574</v>
      </c>
      <c r="BK25" s="204" t="s">
        <v>359</v>
      </c>
      <c r="BL25" s="204" t="s">
        <v>93</v>
      </c>
      <c r="BM25" s="204" t="s">
        <v>199</v>
      </c>
      <c r="BN25" s="204" t="s">
        <v>252</v>
      </c>
      <c r="BO25" s="204" t="s">
        <v>152</v>
      </c>
      <c r="BP25" s="204" t="s">
        <v>556</v>
      </c>
      <c r="BQ25" s="204" t="s">
        <v>499</v>
      </c>
      <c r="BR25" s="204" t="s">
        <v>210</v>
      </c>
      <c r="BS25" s="204" t="s">
        <v>163</v>
      </c>
      <c r="BT25" s="204" t="s">
        <v>201</v>
      </c>
      <c r="BU25" s="204" t="s">
        <v>54</v>
      </c>
      <c r="BV25" s="204" t="s">
        <v>133</v>
      </c>
      <c r="BW25" s="204" t="s">
        <v>234</v>
      </c>
      <c r="BX25" s="204" t="s">
        <v>56</v>
      </c>
      <c r="BY25" s="204" t="s">
        <v>441</v>
      </c>
      <c r="BZ25" s="204" t="s">
        <v>108</v>
      </c>
      <c r="CA25" s="309" t="s">
        <v>666</v>
      </c>
      <c r="CB25" s="204" t="s">
        <v>668</v>
      </c>
      <c r="CC25" s="204" t="s">
        <v>670</v>
      </c>
      <c r="CD25" s="204" t="s">
        <v>657</v>
      </c>
      <c r="CE25" s="204" t="s">
        <v>658</v>
      </c>
      <c r="CF25" s="204" t="s">
        <v>659</v>
      </c>
      <c r="CG25" s="204" t="s">
        <v>332</v>
      </c>
      <c r="CH25" s="204" t="s">
        <v>361</v>
      </c>
      <c r="CI25" s="204" t="s">
        <v>522</v>
      </c>
      <c r="CJ25" s="204" t="s">
        <v>563</v>
      </c>
      <c r="CK25" s="204" t="s">
        <v>414</v>
      </c>
      <c r="CL25" s="204" t="s">
        <v>72</v>
      </c>
      <c r="CM25" s="204" t="s">
        <v>35</v>
      </c>
      <c r="CN25" s="204" t="s">
        <v>461</v>
      </c>
      <c r="CO25" s="204" t="s">
        <v>84</v>
      </c>
      <c r="CP25" s="204" t="s">
        <v>543</v>
      </c>
      <c r="CQ25" s="204" t="s">
        <v>592</v>
      </c>
      <c r="CR25" s="204" t="s">
        <v>490</v>
      </c>
      <c r="CS25" s="204" t="s">
        <v>403</v>
      </c>
      <c r="CT25" s="204" t="s">
        <v>725</v>
      </c>
      <c r="CU25" s="204" t="s">
        <v>97</v>
      </c>
      <c r="CV25" s="204" t="s">
        <v>191</v>
      </c>
      <c r="CW25" s="204" t="s">
        <v>708</v>
      </c>
      <c r="CX25" s="204" t="s">
        <v>385</v>
      </c>
      <c r="CY25" s="204" t="s">
        <v>588</v>
      </c>
      <c r="CZ25" s="204" t="s">
        <v>155</v>
      </c>
      <c r="DA25" s="204" t="s">
        <v>590</v>
      </c>
      <c r="DB25" s="147" t="s">
        <v>362</v>
      </c>
      <c r="DC25" s="147" t="s">
        <v>171</v>
      </c>
      <c r="DD25" s="147" t="s">
        <v>429</v>
      </c>
      <c r="DE25" s="15"/>
      <c r="DF25" s="204" t="s">
        <v>21</v>
      </c>
      <c r="DG25" s="172" t="s">
        <v>328</v>
      </c>
      <c r="DH25" s="172" t="s">
        <v>454</v>
      </c>
      <c r="DI25" s="172" t="s">
        <v>758</v>
      </c>
      <c r="DJ25" s="147" t="s">
        <v>42</v>
      </c>
      <c r="DK25" s="147" t="s">
        <v>688</v>
      </c>
      <c r="DL25" s="147" t="s">
        <v>45</v>
      </c>
      <c r="DM25" s="204" t="s">
        <v>151</v>
      </c>
      <c r="DN25" s="204" t="s">
        <v>440</v>
      </c>
      <c r="DO25" s="204" t="s">
        <v>400</v>
      </c>
      <c r="DP25" s="204" t="s">
        <v>508</v>
      </c>
      <c r="DQ25" s="153" t="s">
        <v>65</v>
      </c>
      <c r="DR25" s="153" t="s">
        <v>271</v>
      </c>
      <c r="DS25" s="153" t="s">
        <v>13</v>
      </c>
      <c r="DT25" s="2" t="s">
        <v>472</v>
      </c>
      <c r="DU25" s="2" t="s">
        <v>11</v>
      </c>
      <c r="DV25" s="2" t="s">
        <v>586</v>
      </c>
      <c r="DW25" s="99"/>
      <c r="DX25" s="99"/>
      <c r="DY25" s="99"/>
      <c r="DZ25" s="99"/>
      <c r="EA25" s="99"/>
      <c r="EB25" s="99"/>
      <c r="EC25" s="99"/>
      <c r="EK25" s="15"/>
      <c r="EL25" s="15"/>
      <c r="EM25" s="15"/>
      <c r="EN25" s="15"/>
      <c r="EO25" s="15"/>
      <c r="EP25" s="15"/>
      <c r="EQ25" s="15"/>
      <c r="ER25" s="15"/>
      <c r="ES25" s="15"/>
      <c r="ET25" s="15"/>
      <c r="EU25" s="15"/>
      <c r="EV25" s="15"/>
      <c r="EW25" s="15"/>
      <c r="EX25" s="15"/>
      <c r="EY25" s="15"/>
      <c r="EZ25" s="138"/>
      <c r="FA25" s="15"/>
      <c r="FB25" s="15"/>
      <c r="FC25" s="15"/>
      <c r="FD25" s="15"/>
      <c r="FE25" s="15"/>
      <c r="FF25" s="15"/>
      <c r="FG25" s="15"/>
      <c r="FH25" s="15"/>
      <c r="FI25" s="15"/>
      <c r="FJ25" s="15"/>
      <c r="FK25" s="15"/>
      <c r="FL25" s="15"/>
      <c r="FO25" s="15"/>
      <c r="FP25" s="138"/>
      <c r="FQ25" s="138"/>
      <c r="FR25" s="55"/>
      <c r="FS25" s="55"/>
      <c r="FT25" s="138"/>
      <c r="FU25" s="138"/>
      <c r="FV25" s="138"/>
      <c r="FW25" s="55"/>
      <c r="FX25" s="55"/>
      <c r="FY25" s="55"/>
      <c r="FZ25" s="55"/>
      <c r="GA25" s="204" t="s">
        <v>51</v>
      </c>
      <c r="GB25" s="57" t="s">
        <v>287</v>
      </c>
      <c r="GC25" s="204" t="s">
        <v>551</v>
      </c>
      <c r="GD25" s="57" t="s">
        <v>585</v>
      </c>
      <c r="GE25" s="55"/>
      <c r="GF25" s="55"/>
      <c r="GG25" s="55"/>
      <c r="GH25" s="55"/>
      <c r="GI25" s="55"/>
      <c r="GJ25" s="55"/>
      <c r="GK25" s="55"/>
    </row>
    <row r="26" spans="1:199" ht="14.25" thickTop="1" thickBot="1">
      <c r="A26" s="201" t="s">
        <v>44</v>
      </c>
      <c r="B26" s="35" t="s">
        <v>269</v>
      </c>
      <c r="C26" s="35" t="s">
        <v>269</v>
      </c>
      <c r="D26" s="35" t="s">
        <v>269</v>
      </c>
      <c r="E26" s="35" t="s">
        <v>269</v>
      </c>
      <c r="F26" s="73" t="s">
        <v>449</v>
      </c>
      <c r="G26" s="73" t="s">
        <v>565</v>
      </c>
      <c r="H26" s="35" t="s">
        <v>269</v>
      </c>
      <c r="I26" s="35" t="s">
        <v>269</v>
      </c>
      <c r="J26" s="35" t="s">
        <v>269</v>
      </c>
      <c r="K26" s="35" t="s">
        <v>269</v>
      </c>
      <c r="L26" s="35" t="s">
        <v>269</v>
      </c>
      <c r="M26" s="35" t="s">
        <v>269</v>
      </c>
      <c r="N26" s="35" t="s">
        <v>269</v>
      </c>
      <c r="O26" s="35" t="s">
        <v>269</v>
      </c>
      <c r="P26" s="35" t="s">
        <v>269</v>
      </c>
      <c r="Q26" s="35" t="s">
        <v>269</v>
      </c>
      <c r="R26" s="35" t="s">
        <v>269</v>
      </c>
      <c r="S26" s="35" t="s">
        <v>269</v>
      </c>
      <c r="T26" s="35" t="s">
        <v>269</v>
      </c>
      <c r="U26" s="35" t="s">
        <v>269</v>
      </c>
      <c r="V26" s="35" t="s">
        <v>269</v>
      </c>
      <c r="W26" s="35" t="s">
        <v>269</v>
      </c>
      <c r="X26" s="35" t="s">
        <v>269</v>
      </c>
      <c r="Y26" s="35" t="s">
        <v>269</v>
      </c>
      <c r="Z26" s="35" t="s">
        <v>449</v>
      </c>
      <c r="AA26" s="35" t="s">
        <v>565</v>
      </c>
      <c r="AB26" s="35" t="s">
        <v>269</v>
      </c>
      <c r="AC26" s="35" t="s">
        <v>269</v>
      </c>
      <c r="AD26" s="35" t="s">
        <v>269</v>
      </c>
      <c r="AE26" s="35" t="s">
        <v>269</v>
      </c>
      <c r="AF26" s="35" t="s">
        <v>269</v>
      </c>
      <c r="AG26" s="35" t="s">
        <v>269</v>
      </c>
      <c r="AH26" s="35" t="s">
        <v>269</v>
      </c>
      <c r="AI26" s="35" t="s">
        <v>269</v>
      </c>
      <c r="AJ26" s="35" t="s">
        <v>269</v>
      </c>
      <c r="AK26" s="35" t="s">
        <v>269</v>
      </c>
      <c r="AL26" s="35" t="s">
        <v>269</v>
      </c>
      <c r="AM26" s="35" t="s">
        <v>464</v>
      </c>
      <c r="AN26" s="35" t="s">
        <v>464</v>
      </c>
      <c r="AO26" s="35" t="s">
        <v>269</v>
      </c>
      <c r="AP26" s="35" t="s">
        <v>269</v>
      </c>
      <c r="AQ26" s="35" t="s">
        <v>269</v>
      </c>
      <c r="AR26" s="35" t="s">
        <v>269</v>
      </c>
      <c r="AS26" s="35" t="s">
        <v>269</v>
      </c>
      <c r="AT26" s="35" t="s">
        <v>269</v>
      </c>
      <c r="AU26" s="35" t="s">
        <v>269</v>
      </c>
      <c r="AV26" s="35" t="s">
        <v>269</v>
      </c>
      <c r="AW26" s="35" t="s">
        <v>269</v>
      </c>
      <c r="AX26" s="35" t="s">
        <v>269</v>
      </c>
      <c r="AY26" s="35" t="s">
        <v>269</v>
      </c>
      <c r="AZ26" s="35" t="s">
        <v>269</v>
      </c>
      <c r="BA26" s="35" t="s">
        <v>269</v>
      </c>
      <c r="BB26" s="35" t="s">
        <v>269</v>
      </c>
      <c r="BC26" s="35" t="s">
        <v>269</v>
      </c>
      <c r="BD26" s="35" t="s">
        <v>269</v>
      </c>
      <c r="BE26" s="35" t="s">
        <v>269</v>
      </c>
      <c r="BF26" s="35" t="s">
        <v>269</v>
      </c>
      <c r="BG26" s="35" t="s">
        <v>269</v>
      </c>
      <c r="BH26" s="300" t="s">
        <v>269</v>
      </c>
      <c r="BI26" s="300" t="s">
        <v>269</v>
      </c>
      <c r="BJ26" s="35" t="s">
        <v>269</v>
      </c>
      <c r="BK26" s="35" t="s">
        <v>269</v>
      </c>
      <c r="BL26" s="35" t="s">
        <v>269</v>
      </c>
      <c r="BM26" s="35" t="s">
        <v>269</v>
      </c>
      <c r="BN26" s="35" t="s">
        <v>449</v>
      </c>
      <c r="BO26" s="35" t="s">
        <v>269</v>
      </c>
      <c r="BP26" s="35" t="s">
        <v>269</v>
      </c>
      <c r="BQ26" s="35" t="s">
        <v>269</v>
      </c>
      <c r="BR26" s="35" t="s">
        <v>269</v>
      </c>
      <c r="BS26" s="35" t="s">
        <v>269</v>
      </c>
      <c r="BT26" s="35" t="s">
        <v>269</v>
      </c>
      <c r="BU26" s="35" t="s">
        <v>269</v>
      </c>
      <c r="BV26" s="35" t="s">
        <v>269</v>
      </c>
      <c r="BW26" s="35" t="s">
        <v>269</v>
      </c>
      <c r="BX26" s="35" t="s">
        <v>269</v>
      </c>
      <c r="BY26" s="35" t="s">
        <v>464</v>
      </c>
      <c r="BZ26" s="35" t="s">
        <v>464</v>
      </c>
      <c r="CA26" s="314" t="s">
        <v>269</v>
      </c>
      <c r="CB26" s="35" t="s">
        <v>269</v>
      </c>
      <c r="CC26" s="35" t="s">
        <v>269</v>
      </c>
      <c r="CD26" s="35" t="s">
        <v>269</v>
      </c>
      <c r="CE26" s="35" t="s">
        <v>269</v>
      </c>
      <c r="CF26" s="35" t="s">
        <v>269</v>
      </c>
      <c r="CG26" s="35" t="s">
        <v>269</v>
      </c>
      <c r="CH26" s="35" t="s">
        <v>269</v>
      </c>
      <c r="CI26" s="35" t="s">
        <v>464</v>
      </c>
      <c r="CJ26" s="35" t="s">
        <v>464</v>
      </c>
      <c r="CK26" s="35" t="s">
        <v>464</v>
      </c>
      <c r="CL26" s="35" t="s">
        <v>269</v>
      </c>
      <c r="CM26" s="35" t="s">
        <v>269</v>
      </c>
      <c r="CN26" s="35" t="s">
        <v>464</v>
      </c>
      <c r="CO26" s="35" t="s">
        <v>464</v>
      </c>
      <c r="CP26" s="35" t="s">
        <v>464</v>
      </c>
      <c r="CQ26" s="35" t="s">
        <v>464</v>
      </c>
      <c r="CR26" s="35" t="s">
        <v>464</v>
      </c>
      <c r="CS26" s="35" t="s">
        <v>464</v>
      </c>
      <c r="CT26" s="35" t="s">
        <v>464</v>
      </c>
      <c r="CU26" s="35" t="s">
        <v>464</v>
      </c>
      <c r="CV26" s="35" t="s">
        <v>464</v>
      </c>
      <c r="CW26" s="35" t="s">
        <v>269</v>
      </c>
      <c r="CX26" s="35" t="s">
        <v>464</v>
      </c>
      <c r="CY26" s="35" t="s">
        <v>464</v>
      </c>
      <c r="CZ26" s="35" t="s">
        <v>464</v>
      </c>
      <c r="DA26" s="35" t="s">
        <v>464</v>
      </c>
      <c r="DB26" s="239" t="s">
        <v>464</v>
      </c>
      <c r="DC26" s="239" t="s">
        <v>464</v>
      </c>
      <c r="DD26" s="239" t="s">
        <v>464</v>
      </c>
      <c r="DE26" s="15"/>
      <c r="DF26" s="35" t="s">
        <v>269</v>
      </c>
      <c r="DG26" s="35" t="s">
        <v>269</v>
      </c>
      <c r="DH26" s="35" t="s">
        <v>269</v>
      </c>
      <c r="DI26" s="35" t="s">
        <v>464</v>
      </c>
      <c r="DJ26" s="239" t="s">
        <v>464</v>
      </c>
      <c r="DK26" s="239" t="s">
        <v>269</v>
      </c>
      <c r="DL26" s="239" t="s">
        <v>464</v>
      </c>
      <c r="DM26" s="35" t="s">
        <v>464</v>
      </c>
      <c r="DN26" s="35" t="s">
        <v>464</v>
      </c>
      <c r="DO26" s="35" t="s">
        <v>464</v>
      </c>
      <c r="DP26" s="35" t="s">
        <v>464</v>
      </c>
      <c r="DQ26" s="73" t="s">
        <v>464</v>
      </c>
      <c r="DR26" s="73" t="s">
        <v>464</v>
      </c>
      <c r="DS26" s="73" t="s">
        <v>464</v>
      </c>
      <c r="DT26" s="73" t="s">
        <v>464</v>
      </c>
      <c r="DU26" s="73" t="s">
        <v>464</v>
      </c>
      <c r="DV26" s="73" t="s">
        <v>464</v>
      </c>
      <c r="DW26" s="73" t="s">
        <v>464</v>
      </c>
      <c r="DX26" s="73" t="s">
        <v>464</v>
      </c>
      <c r="DY26" s="73" t="s">
        <v>464</v>
      </c>
      <c r="DZ26" s="73" t="s">
        <v>464</v>
      </c>
      <c r="EA26" s="73" t="s">
        <v>464</v>
      </c>
      <c r="EB26" s="73" t="s">
        <v>464</v>
      </c>
      <c r="EC26" s="73" t="s">
        <v>464</v>
      </c>
      <c r="ED26" s="35" t="s">
        <v>269</v>
      </c>
      <c r="EE26" s="35" t="s">
        <v>269</v>
      </c>
      <c r="EF26" s="35" t="s">
        <v>464</v>
      </c>
      <c r="EG26" s="35" t="s">
        <v>464</v>
      </c>
      <c r="EH26" s="35" t="s">
        <v>464</v>
      </c>
      <c r="EI26" s="35" t="s">
        <v>464</v>
      </c>
      <c r="EJ26" s="35" t="s">
        <v>464</v>
      </c>
      <c r="EK26" s="15"/>
      <c r="EL26" s="15"/>
      <c r="EM26" s="35" t="s">
        <v>269</v>
      </c>
      <c r="EN26" s="15"/>
      <c r="EO26" s="15"/>
      <c r="EP26" s="15"/>
      <c r="EQ26" s="15"/>
      <c r="ER26" s="15"/>
      <c r="ES26" s="15"/>
      <c r="ET26" s="15"/>
      <c r="EU26" s="15"/>
      <c r="EV26" s="15"/>
      <c r="EW26" s="15"/>
      <c r="EX26" s="15"/>
      <c r="EY26" s="15"/>
      <c r="EZ26" s="138"/>
      <c r="FA26" s="15"/>
      <c r="FB26" s="15"/>
      <c r="FC26" s="15"/>
      <c r="FD26" s="15"/>
      <c r="FE26" s="15"/>
      <c r="FF26" s="15"/>
      <c r="FG26" s="15"/>
      <c r="FH26" s="15"/>
      <c r="FI26" s="15"/>
      <c r="FJ26" s="15"/>
      <c r="FK26" s="15"/>
      <c r="FL26" s="35" t="s">
        <v>269</v>
      </c>
      <c r="FM26" s="35" t="s">
        <v>269</v>
      </c>
      <c r="FN26" s="35" t="s">
        <v>269</v>
      </c>
      <c r="FO26" s="35" t="s">
        <v>464</v>
      </c>
      <c r="FP26" s="35" t="s">
        <v>464</v>
      </c>
      <c r="FQ26" s="35" t="s">
        <v>565</v>
      </c>
      <c r="FR26" s="55"/>
      <c r="FS26" s="55"/>
      <c r="FT26" s="35" t="s">
        <v>269</v>
      </c>
      <c r="FU26" s="35" t="s">
        <v>269</v>
      </c>
      <c r="FV26" s="35" t="s">
        <v>464</v>
      </c>
      <c r="FW26" s="55"/>
      <c r="FX26" s="55"/>
      <c r="FY26" s="55"/>
      <c r="FZ26" s="55"/>
      <c r="GA26" s="35" t="s">
        <v>269</v>
      </c>
      <c r="GB26" s="35" t="s">
        <v>269</v>
      </c>
      <c r="GC26" s="35" t="s">
        <v>269</v>
      </c>
      <c r="GD26" s="35" t="s">
        <v>269</v>
      </c>
      <c r="GE26" s="55"/>
      <c r="GF26" s="55"/>
      <c r="GG26" s="55"/>
      <c r="GH26" s="55"/>
      <c r="GI26" s="55"/>
      <c r="GJ26" s="55"/>
      <c r="GK26" s="55"/>
    </row>
    <row r="27" spans="1:199" ht="14.25" thickTop="1" thickBot="1">
      <c r="A27" s="201" t="s">
        <v>49</v>
      </c>
      <c r="B27" s="61" t="s">
        <v>663</v>
      </c>
      <c r="C27" s="61" t="s">
        <v>519</v>
      </c>
      <c r="D27" s="83" t="s">
        <v>405</v>
      </c>
      <c r="E27" s="61" t="s">
        <v>306</v>
      </c>
      <c r="F27" s="133" t="s">
        <v>28</v>
      </c>
      <c r="G27" s="133" t="s">
        <v>67</v>
      </c>
      <c r="H27" s="83" t="s">
        <v>168</v>
      </c>
      <c r="I27" s="57" t="s">
        <v>314</v>
      </c>
      <c r="J27" s="57" t="s">
        <v>87</v>
      </c>
      <c r="K27" s="57" t="s">
        <v>230</v>
      </c>
      <c r="L27" s="57" t="s">
        <v>144</v>
      </c>
      <c r="M27" s="57" t="s">
        <v>434</v>
      </c>
      <c r="N27" s="57" t="s">
        <v>183</v>
      </c>
      <c r="O27" s="57" t="s">
        <v>302</v>
      </c>
      <c r="P27" s="57" t="s">
        <v>580</v>
      </c>
      <c r="Q27" s="57" t="s">
        <v>156</v>
      </c>
      <c r="R27" s="57" t="s">
        <v>303</v>
      </c>
      <c r="S27" s="57" t="s">
        <v>164</v>
      </c>
      <c r="T27" s="57" t="s">
        <v>408</v>
      </c>
      <c r="U27" s="57" t="s">
        <v>372</v>
      </c>
      <c r="V27" s="57" t="s">
        <v>105</v>
      </c>
      <c r="W27" s="57" t="s">
        <v>529</v>
      </c>
      <c r="X27" s="57" t="s">
        <v>478</v>
      </c>
      <c r="Y27" s="57" t="s">
        <v>439</v>
      </c>
      <c r="Z27" s="57" t="s">
        <v>75</v>
      </c>
      <c r="AA27" s="57" t="s">
        <v>675</v>
      </c>
      <c r="AB27" s="57" t="s">
        <v>111</v>
      </c>
      <c r="AC27" s="57" t="s">
        <v>293</v>
      </c>
      <c r="AD27" s="57" t="s">
        <v>312</v>
      </c>
      <c r="AE27" s="57" t="s">
        <v>416</v>
      </c>
      <c r="AF27" s="57" t="s">
        <v>430</v>
      </c>
      <c r="AG27" s="57" t="s">
        <v>438</v>
      </c>
      <c r="AH27" s="57" t="s">
        <v>705</v>
      </c>
      <c r="AI27" s="57" t="s">
        <v>15</v>
      </c>
      <c r="AJ27" s="57" t="s">
        <v>560</v>
      </c>
      <c r="AK27" s="57" t="s">
        <v>9</v>
      </c>
      <c r="AL27" s="57" t="s">
        <v>575</v>
      </c>
      <c r="AM27" s="57" t="s">
        <v>417</v>
      </c>
      <c r="AN27" s="57" t="s">
        <v>374</v>
      </c>
      <c r="AO27" s="57" t="s">
        <v>353</v>
      </c>
      <c r="AP27" s="57" t="s">
        <v>247</v>
      </c>
      <c r="AQ27" s="57" t="s">
        <v>497</v>
      </c>
      <c r="AR27" s="57" t="s">
        <v>402</v>
      </c>
      <c r="AS27" s="57" t="s">
        <v>447</v>
      </c>
      <c r="AT27" s="57" t="s">
        <v>452</v>
      </c>
      <c r="AU27" s="204" t="s">
        <v>119</v>
      </c>
      <c r="AV27" s="204" t="s">
        <v>589</v>
      </c>
      <c r="AW27" s="204" t="s">
        <v>64</v>
      </c>
      <c r="AX27" s="57" t="s">
        <v>480</v>
      </c>
      <c r="AY27" s="57" t="s">
        <v>548</v>
      </c>
      <c r="AZ27" s="204" t="s">
        <v>322</v>
      </c>
      <c r="BA27" s="204" t="s">
        <v>261</v>
      </c>
      <c r="BB27" s="204" t="s">
        <v>770</v>
      </c>
      <c r="BC27" s="204" t="s">
        <v>55</v>
      </c>
      <c r="BD27" s="196" t="s">
        <v>531</v>
      </c>
      <c r="BE27" s="204" t="s">
        <v>375</v>
      </c>
      <c r="BF27" s="204" t="s">
        <v>771</v>
      </c>
      <c r="BG27" s="204" t="s">
        <v>594</v>
      </c>
      <c r="BH27" s="306" t="s">
        <v>612</v>
      </c>
      <c r="BI27" s="306" t="s">
        <v>613</v>
      </c>
      <c r="BJ27" s="204" t="s">
        <v>574</v>
      </c>
      <c r="BK27" s="204" t="s">
        <v>359</v>
      </c>
      <c r="BL27" s="204" t="s">
        <v>93</v>
      </c>
      <c r="BM27" s="204" t="s">
        <v>199</v>
      </c>
      <c r="BN27" s="204" t="s">
        <v>252</v>
      </c>
      <c r="BO27" s="204" t="s">
        <v>152</v>
      </c>
      <c r="BP27" s="204" t="s">
        <v>556</v>
      </c>
      <c r="BQ27" s="204" t="s">
        <v>499</v>
      </c>
      <c r="BR27" s="204" t="s">
        <v>210</v>
      </c>
      <c r="BS27" s="204" t="s">
        <v>163</v>
      </c>
      <c r="BT27" s="204" t="s">
        <v>201</v>
      </c>
      <c r="BU27" s="204" t="s">
        <v>54</v>
      </c>
      <c r="BV27" s="204" t="s">
        <v>133</v>
      </c>
      <c r="BW27" s="204" t="s">
        <v>234</v>
      </c>
      <c r="BX27" s="204" t="s">
        <v>56</v>
      </c>
      <c r="BY27" s="204" t="s">
        <v>441</v>
      </c>
      <c r="BZ27" s="204" t="s">
        <v>108</v>
      </c>
      <c r="CA27" s="309" t="s">
        <v>666</v>
      </c>
      <c r="CB27" s="204" t="s">
        <v>668</v>
      </c>
      <c r="CC27" s="204" t="s">
        <v>670</v>
      </c>
      <c r="CD27" s="204" t="s">
        <v>657</v>
      </c>
      <c r="CE27" s="204" t="s">
        <v>658</v>
      </c>
      <c r="CF27" s="204" t="s">
        <v>659</v>
      </c>
      <c r="CG27" s="204" t="s">
        <v>332</v>
      </c>
      <c r="CH27" s="204" t="s">
        <v>361</v>
      </c>
      <c r="CI27" s="204" t="s">
        <v>522</v>
      </c>
      <c r="CJ27" s="204" t="s">
        <v>563</v>
      </c>
      <c r="CK27" s="204" t="s">
        <v>414</v>
      </c>
      <c r="CL27" s="204" t="s">
        <v>72</v>
      </c>
      <c r="CM27" s="204" t="s">
        <v>35</v>
      </c>
      <c r="CN27" s="204" t="s">
        <v>461</v>
      </c>
      <c r="CO27" s="204" t="s">
        <v>84</v>
      </c>
      <c r="CP27" s="204" t="s">
        <v>543</v>
      </c>
      <c r="CQ27" s="204" t="s">
        <v>592</v>
      </c>
      <c r="CR27" s="204" t="s">
        <v>490</v>
      </c>
      <c r="CS27" s="204" t="s">
        <v>403</v>
      </c>
      <c r="CT27" s="204" t="s">
        <v>725</v>
      </c>
      <c r="CU27" s="204" t="s">
        <v>97</v>
      </c>
      <c r="CV27" s="204" t="s">
        <v>191</v>
      </c>
      <c r="CW27" s="204" t="s">
        <v>708</v>
      </c>
      <c r="CX27" s="204" t="s">
        <v>385</v>
      </c>
      <c r="CY27" s="204" t="s">
        <v>588</v>
      </c>
      <c r="CZ27" s="204" t="s">
        <v>155</v>
      </c>
      <c r="DA27" s="204" t="s">
        <v>590</v>
      </c>
      <c r="DB27" s="147" t="s">
        <v>362</v>
      </c>
      <c r="DC27" s="147" t="s">
        <v>171</v>
      </c>
      <c r="DD27" s="147" t="s">
        <v>429</v>
      </c>
      <c r="DF27" s="204" t="s">
        <v>21</v>
      </c>
      <c r="DG27" s="172" t="s">
        <v>328</v>
      </c>
      <c r="DH27" s="172" t="s">
        <v>454</v>
      </c>
      <c r="DI27" s="172" t="s">
        <v>758</v>
      </c>
      <c r="DJ27" s="147" t="s">
        <v>85</v>
      </c>
      <c r="DK27" s="147" t="s">
        <v>688</v>
      </c>
      <c r="DL27" s="147" t="s">
        <v>45</v>
      </c>
      <c r="DM27" s="204" t="s">
        <v>151</v>
      </c>
      <c r="DN27" s="204" t="s">
        <v>440</v>
      </c>
      <c r="DO27" s="204" t="s">
        <v>400</v>
      </c>
      <c r="DP27" s="204" t="s">
        <v>508</v>
      </c>
      <c r="DQ27" s="153" t="s">
        <v>65</v>
      </c>
      <c r="DR27" s="153" t="s">
        <v>271</v>
      </c>
      <c r="DS27" s="153" t="s">
        <v>13</v>
      </c>
      <c r="DT27" s="153" t="s">
        <v>472</v>
      </c>
      <c r="DU27" s="153" t="s">
        <v>11</v>
      </c>
      <c r="DV27" s="153" t="s">
        <v>586</v>
      </c>
      <c r="DW27" s="153" t="s">
        <v>113</v>
      </c>
      <c r="DX27" s="153" t="s">
        <v>298</v>
      </c>
      <c r="DY27" s="153" t="s">
        <v>131</v>
      </c>
      <c r="DZ27" s="153" t="s">
        <v>458</v>
      </c>
      <c r="EA27" s="153" t="s">
        <v>444</v>
      </c>
      <c r="EB27" s="153" t="s">
        <v>14</v>
      </c>
      <c r="EC27" s="153" t="s">
        <v>172</v>
      </c>
      <c r="ED27" s="204" t="s">
        <v>679</v>
      </c>
      <c r="EE27" s="204" t="s">
        <v>253</v>
      </c>
      <c r="EF27" s="204" t="s">
        <v>672</v>
      </c>
      <c r="EG27" s="204" t="s">
        <v>724</v>
      </c>
      <c r="EH27" s="204" t="s">
        <v>716</v>
      </c>
      <c r="EI27" s="204" t="s">
        <v>0</v>
      </c>
      <c r="EJ27" s="204" t="s">
        <v>349</v>
      </c>
      <c r="EM27" s="172" t="s">
        <v>690</v>
      </c>
      <c r="FL27" s="172" t="s">
        <v>500</v>
      </c>
      <c r="FM27" s="204" t="s">
        <v>576</v>
      </c>
      <c r="FN27" s="204" t="s">
        <v>126</v>
      </c>
      <c r="FO27" s="172" t="s">
        <v>537</v>
      </c>
      <c r="FP27" s="204" t="s">
        <v>492</v>
      </c>
      <c r="FQ27" s="204" t="s">
        <v>540</v>
      </c>
      <c r="FT27" s="204" t="s">
        <v>720</v>
      </c>
      <c r="FU27" s="204" t="s">
        <v>721</v>
      </c>
      <c r="FV27" s="204" t="s">
        <v>723</v>
      </c>
      <c r="GA27" s="204" t="s">
        <v>51</v>
      </c>
      <c r="GB27" s="57" t="s">
        <v>287</v>
      </c>
      <c r="GC27" s="204" t="s">
        <v>551</v>
      </c>
      <c r="GD27" s="57" t="s">
        <v>585</v>
      </c>
    </row>
    <row r="28" spans="1:199" ht="13.5" thickTop="1">
      <c r="A28" s="201"/>
      <c r="B28" s="220"/>
      <c r="C28" s="220"/>
      <c r="D28" s="15"/>
      <c r="E28" s="15"/>
      <c r="F28" s="8"/>
      <c r="G28" s="8"/>
      <c r="H28" s="15"/>
      <c r="I28" s="15"/>
      <c r="J28" s="15"/>
      <c r="K28" s="15"/>
      <c r="L28" s="15"/>
      <c r="M28" s="15"/>
      <c r="N28" s="15"/>
      <c r="O28" s="15"/>
      <c r="P28" s="15"/>
      <c r="Q28" s="15"/>
      <c r="R28" s="15"/>
      <c r="S28" s="55"/>
      <c r="T28" s="55"/>
      <c r="U28" s="55"/>
      <c r="V28" s="55"/>
      <c r="W28" s="55"/>
      <c r="X28" s="55"/>
      <c r="Y28" s="55"/>
      <c r="Z28" s="55"/>
      <c r="AA28" s="55"/>
      <c r="AB28" s="55"/>
      <c r="AC28" s="15"/>
      <c r="AD28" s="15"/>
      <c r="AE28" s="15"/>
      <c r="AF28" s="15"/>
      <c r="AG28" s="15"/>
      <c r="AH28" s="15"/>
      <c r="AI28" s="15"/>
      <c r="AJ28" s="15"/>
      <c r="AK28" s="15"/>
      <c r="AL28" s="15"/>
      <c r="AM28" s="55"/>
      <c r="AN28" s="55"/>
      <c r="AO28" s="15"/>
      <c r="AP28" s="15"/>
      <c r="AQ28" s="15"/>
      <c r="AR28" s="15"/>
      <c r="AS28" s="15"/>
      <c r="AT28" s="15"/>
      <c r="AU28" s="55"/>
      <c r="AV28" s="55"/>
      <c r="AW28" s="15"/>
      <c r="AX28" s="55"/>
      <c r="AY28" s="55"/>
      <c r="AZ28" s="103"/>
      <c r="BA28" s="21"/>
      <c r="BB28" s="21"/>
      <c r="BC28" s="21"/>
      <c r="BD28" s="55"/>
      <c r="BE28" s="21"/>
      <c r="BF28" s="21"/>
      <c r="BG28" s="21"/>
      <c r="BH28" s="305"/>
      <c r="BI28" s="305"/>
      <c r="BJ28" s="21"/>
      <c r="BK28" s="21"/>
      <c r="BL28" s="15"/>
      <c r="BM28" s="55"/>
      <c r="BN28" s="55"/>
      <c r="BO28" s="55"/>
      <c r="BP28" s="15"/>
      <c r="BQ28" s="15"/>
      <c r="BR28" s="55"/>
      <c r="BS28" s="55"/>
      <c r="BT28" s="55"/>
      <c r="BU28" s="55"/>
      <c r="BV28" s="15"/>
      <c r="BW28" s="15"/>
      <c r="BX28" s="15"/>
      <c r="BY28" s="15"/>
      <c r="BZ28" s="15"/>
      <c r="CA28" s="315"/>
      <c r="CB28" s="55"/>
      <c r="CC28" s="55"/>
      <c r="CD28" s="55"/>
      <c r="CE28" s="55"/>
      <c r="CF28" s="55"/>
      <c r="CG28" s="55"/>
      <c r="CM28" s="55"/>
      <c r="CN28" s="55"/>
      <c r="CO28" s="138"/>
      <c r="CP28" s="15"/>
      <c r="CQ28" s="15"/>
      <c r="CR28" s="15"/>
      <c r="CS28" s="15"/>
      <c r="CT28" s="15"/>
      <c r="CU28" s="15"/>
      <c r="CV28" s="15"/>
      <c r="CW28" s="15"/>
      <c r="CX28" s="15"/>
      <c r="CY28" s="15"/>
      <c r="CZ28" s="15"/>
      <c r="DA28" s="15"/>
      <c r="DB28" s="15"/>
      <c r="DC28" s="15"/>
      <c r="DD28" s="15"/>
      <c r="DJ28" s="15"/>
      <c r="DK28" s="15"/>
      <c r="DL28" s="15"/>
      <c r="DM28" s="15"/>
      <c r="DQ28" s="99"/>
      <c r="DR28" s="99"/>
      <c r="DS28" s="99"/>
      <c r="DT28" s="99"/>
      <c r="DU28" s="99"/>
      <c r="DV28" s="99"/>
      <c r="DW28" s="99"/>
      <c r="DX28" s="99"/>
      <c r="DY28" s="99"/>
      <c r="DZ28" s="99"/>
      <c r="EA28" s="99"/>
      <c r="EB28" s="99"/>
      <c r="EC28" s="99"/>
      <c r="EM28" s="15"/>
      <c r="EQ28" s="15"/>
      <c r="ER28" s="15"/>
      <c r="ES28" s="15"/>
      <c r="ET28" s="15"/>
      <c r="EU28" s="15"/>
      <c r="EV28" s="15"/>
      <c r="EW28" s="15"/>
      <c r="EX28" s="15"/>
      <c r="EY28" s="15"/>
      <c r="EZ28" s="138"/>
      <c r="FA28" s="15"/>
      <c r="FB28" s="15"/>
      <c r="FC28" s="15"/>
      <c r="FD28" s="15"/>
      <c r="FE28" s="15"/>
      <c r="FF28" s="15"/>
      <c r="FG28" s="15"/>
      <c r="FH28" s="15"/>
      <c r="FI28" s="15"/>
      <c r="FJ28" s="15"/>
      <c r="FK28" s="15"/>
      <c r="FL28" s="15"/>
      <c r="FM28" s="15"/>
      <c r="FN28" s="15"/>
      <c r="FO28" s="15"/>
      <c r="FP28" s="138"/>
      <c r="FQ28" s="138"/>
      <c r="FR28" s="55"/>
      <c r="FS28" s="55"/>
      <c r="FT28" s="138"/>
      <c r="FU28" s="138"/>
      <c r="FV28" s="138"/>
      <c r="FW28" s="55"/>
      <c r="FX28" s="55"/>
      <c r="FY28" s="55"/>
      <c r="FZ28" s="55"/>
      <c r="GA28" s="21"/>
      <c r="GB28" s="55"/>
      <c r="GC28" s="21"/>
      <c r="GD28" s="55"/>
      <c r="GE28" s="55"/>
      <c r="GF28" s="55"/>
      <c r="GG28" s="55"/>
      <c r="GH28" s="55"/>
      <c r="GI28" s="55"/>
      <c r="GJ28" s="55"/>
      <c r="GK28" s="55"/>
    </row>
    <row r="29" spans="1:199">
      <c r="A29" s="201"/>
      <c r="B29" s="220"/>
      <c r="C29" s="220"/>
      <c r="D29" s="15"/>
      <c r="E29" s="15"/>
      <c r="F29" s="8"/>
      <c r="G29" s="8"/>
      <c r="H29" s="15"/>
      <c r="I29" s="15"/>
      <c r="J29" s="15"/>
      <c r="K29" s="15"/>
      <c r="L29" s="15"/>
      <c r="M29" s="15"/>
      <c r="N29" s="15"/>
      <c r="O29" s="15"/>
      <c r="P29" s="15"/>
      <c r="Q29" s="15"/>
      <c r="R29" s="15"/>
      <c r="S29" s="55"/>
      <c r="T29" s="55"/>
      <c r="U29" s="55"/>
      <c r="V29" s="55"/>
      <c r="W29" s="55"/>
      <c r="X29" s="55"/>
      <c r="Y29" s="55"/>
      <c r="Z29" s="55"/>
      <c r="AA29" s="55"/>
      <c r="AB29" s="55"/>
      <c r="AC29" s="15"/>
      <c r="AD29" s="15"/>
      <c r="AE29" s="15"/>
      <c r="AF29" s="15"/>
      <c r="AG29" s="15"/>
      <c r="AH29" s="15"/>
      <c r="AI29" s="15"/>
      <c r="AJ29" s="15"/>
      <c r="AK29" s="15"/>
      <c r="AL29" s="15"/>
      <c r="AM29" s="55"/>
      <c r="AN29" s="55"/>
      <c r="AO29" s="15"/>
      <c r="AP29" s="15"/>
      <c r="AQ29" s="15"/>
      <c r="AR29" s="15"/>
      <c r="AS29" s="15"/>
      <c r="AT29" s="15"/>
      <c r="AU29" s="55"/>
      <c r="AV29" s="55"/>
      <c r="AW29" s="15"/>
      <c r="AX29" s="55"/>
      <c r="AY29" s="55"/>
      <c r="AZ29" s="103"/>
      <c r="BA29" s="21"/>
      <c r="BB29" s="21"/>
      <c r="BC29" s="21"/>
      <c r="BD29" s="55"/>
      <c r="BE29" s="21"/>
      <c r="BF29" s="21"/>
      <c r="BG29" s="21"/>
      <c r="BH29" s="305"/>
      <c r="BI29" s="305"/>
      <c r="BJ29" s="21"/>
      <c r="BK29" s="21"/>
      <c r="BL29" s="15"/>
      <c r="BM29" s="55"/>
      <c r="BN29" s="55"/>
      <c r="BO29" s="55"/>
      <c r="BP29" s="15"/>
      <c r="BQ29" s="15"/>
      <c r="BR29" s="55"/>
      <c r="BS29" s="55"/>
      <c r="BT29" s="55"/>
      <c r="BU29" s="55"/>
      <c r="BV29" s="15"/>
      <c r="BW29" s="15"/>
      <c r="BX29" s="15"/>
      <c r="BY29" s="15"/>
      <c r="BZ29" s="15"/>
      <c r="CA29" s="315"/>
      <c r="CB29" s="55"/>
      <c r="CC29" s="55"/>
      <c r="CD29" s="55"/>
      <c r="CE29" s="55"/>
      <c r="CF29" s="55"/>
      <c r="CG29" s="55"/>
      <c r="CM29" s="55"/>
      <c r="CN29" s="55"/>
      <c r="CO29" s="138"/>
      <c r="DE29" t="str">
        <f>[1]!ErrorCode(DE35)</f>
        <v>Error # - Error not found</v>
      </c>
      <c r="DQ29" s="99"/>
      <c r="DR29" s="99"/>
      <c r="DS29" s="99"/>
      <c r="DT29" s="99"/>
      <c r="DU29" s="99"/>
      <c r="DV29" s="99"/>
      <c r="DW29" s="99"/>
      <c r="DX29" s="99"/>
      <c r="DY29" s="99"/>
      <c r="DZ29" s="99"/>
      <c r="EA29" s="99"/>
      <c r="EB29" s="99"/>
      <c r="EC29" s="99"/>
      <c r="EM29" s="15"/>
      <c r="EQ29" s="15"/>
      <c r="ER29" s="15"/>
      <c r="ES29" s="15"/>
      <c r="ET29" s="15"/>
      <c r="EU29" s="15"/>
      <c r="EV29" s="15"/>
      <c r="EW29" s="15"/>
      <c r="EX29" s="15"/>
      <c r="EY29" s="15"/>
      <c r="EZ29" s="138"/>
      <c r="FA29" s="15"/>
      <c r="FB29" s="15"/>
      <c r="FC29" s="15"/>
      <c r="FD29" s="15"/>
      <c r="FE29" s="15"/>
      <c r="FF29" s="15"/>
      <c r="FG29" s="15"/>
      <c r="FH29" s="15"/>
      <c r="FI29" s="15"/>
      <c r="FJ29" s="15"/>
      <c r="FK29" s="15"/>
      <c r="FL29" s="15"/>
      <c r="FO29" s="15"/>
      <c r="FP29" s="138"/>
      <c r="FQ29" s="138"/>
      <c r="FR29" s="55"/>
      <c r="FS29" s="55"/>
      <c r="FT29" s="138"/>
      <c r="FU29" s="138"/>
      <c r="FV29" s="138"/>
      <c r="FW29" s="55"/>
      <c r="FX29" s="55"/>
      <c r="FY29" s="55"/>
      <c r="FZ29" s="55"/>
      <c r="GA29" s="21"/>
      <c r="GB29" s="55"/>
      <c r="GC29" s="21"/>
      <c r="GD29" s="55"/>
      <c r="GE29" s="55"/>
      <c r="GF29" s="55"/>
      <c r="GG29" s="55"/>
      <c r="GH29" s="55"/>
      <c r="GI29" s="55"/>
      <c r="GJ29" s="55"/>
      <c r="GK29" s="55"/>
    </row>
    <row r="30" spans="1:199" s="52" customFormat="1">
      <c r="A30" s="246"/>
      <c r="B30" s="168"/>
      <c r="C30" s="168">
        <f>COUNTIF(C34:C119,"3")</f>
        <v>0</v>
      </c>
      <c r="D30" s="163"/>
      <c r="E30" s="163"/>
      <c r="F30" s="36"/>
      <c r="G30" s="36"/>
      <c r="H30" s="163"/>
      <c r="I30" s="15"/>
      <c r="J30" s="15"/>
      <c r="K30" s="15"/>
      <c r="L30" s="15"/>
      <c r="M30" s="15"/>
      <c r="N30" s="15"/>
      <c r="O30" s="15"/>
      <c r="P30" s="15"/>
      <c r="Q30" s="15"/>
      <c r="R30" s="15"/>
      <c r="S30" s="15"/>
      <c r="T30" s="15"/>
      <c r="U30" s="15"/>
      <c r="V30" s="15"/>
      <c r="W30" s="15"/>
      <c r="X30" s="15"/>
      <c r="Y30" s="15"/>
      <c r="Z30" s="15"/>
      <c r="AA30" s="15"/>
      <c r="AB30" s="15"/>
      <c r="AC30" s="194" t="s">
        <v>325</v>
      </c>
      <c r="AD30" s="15"/>
      <c r="AE30" s="15"/>
      <c r="AF30" s="15"/>
      <c r="AG30" s="15"/>
      <c r="AH30" s="15"/>
      <c r="AI30" s="15"/>
      <c r="AJ30" s="15"/>
      <c r="AK30" s="15"/>
      <c r="AL30" s="15"/>
      <c r="AM30" s="248" t="s">
        <v>254</v>
      </c>
      <c r="AN30" s="15"/>
      <c r="AO30" s="248" t="s">
        <v>456</v>
      </c>
      <c r="AP30" s="15"/>
      <c r="AQ30" s="15"/>
      <c r="AR30" s="15"/>
      <c r="AS30" s="15"/>
      <c r="AT30" s="248" t="s">
        <v>436</v>
      </c>
      <c r="AU30" s="15"/>
      <c r="AV30" s="248" t="s">
        <v>470</v>
      </c>
      <c r="AW30" s="248" t="s">
        <v>175</v>
      </c>
      <c r="AX30" s="15"/>
      <c r="AY30" s="15"/>
      <c r="AZ30" s="162"/>
      <c r="BA30" s="222"/>
      <c r="BB30" s="222"/>
      <c r="BC30" s="103"/>
      <c r="BD30" s="15"/>
      <c r="BE30" s="284"/>
      <c r="BF30" s="284"/>
      <c r="BG30" s="103"/>
      <c r="BH30" s="299"/>
      <c r="BI30" s="299"/>
      <c r="BJ30" s="222"/>
      <c r="BK30" s="222"/>
      <c r="BL30" s="222" t="s">
        <v>241</v>
      </c>
      <c r="BM30" s="15"/>
      <c r="BN30" s="15"/>
      <c r="BO30" s="15"/>
      <c r="BP30" s="15"/>
      <c r="BQ30" s="15"/>
      <c r="BR30" s="15"/>
      <c r="BS30" s="15"/>
      <c r="BT30" s="15"/>
      <c r="BU30" s="15"/>
      <c r="BV30" s="15"/>
      <c r="BW30" s="15"/>
      <c r="BX30" s="15"/>
      <c r="BY30" s="15"/>
      <c r="BZ30" s="15"/>
      <c r="CA30" s="315"/>
      <c r="CB30" s="15"/>
      <c r="CC30" s="15"/>
      <c r="CD30" s="15"/>
      <c r="CE30" s="15"/>
      <c r="CF30" s="15"/>
      <c r="CG30" s="15"/>
      <c r="CH30" s="103"/>
      <c r="CI30" s="15"/>
      <c r="CJ30" s="15"/>
      <c r="CK30" s="15"/>
      <c r="CL30" s="15"/>
      <c r="CM30" s="15"/>
      <c r="CN30" s="222" t="s">
        <v>212</v>
      </c>
      <c r="CO30" s="15"/>
      <c r="CP30" s="15"/>
      <c r="CQ30" s="15"/>
      <c r="CR30" s="15"/>
      <c r="CS30" s="15"/>
      <c r="CT30" s="15"/>
      <c r="CU30" s="15"/>
      <c r="CV30" s="15"/>
      <c r="CW30" s="15"/>
      <c r="CX30" s="103"/>
      <c r="CY30" s="103"/>
      <c r="CZ30" s="103"/>
      <c r="DA30" s="103"/>
      <c r="DB30" s="162"/>
      <c r="DC30" s="162"/>
      <c r="DD30" s="162"/>
      <c r="DE30" s="15"/>
      <c r="DF30" s="222" t="s">
        <v>435</v>
      </c>
      <c r="DG30" s="15"/>
      <c r="DH30" s="15"/>
      <c r="DI30" s="15"/>
      <c r="DJ30" s="162"/>
      <c r="DK30" s="162"/>
      <c r="DL30" s="162"/>
      <c r="DM30" s="103"/>
      <c r="DN30" s="103"/>
      <c r="DO30"/>
      <c r="DP30"/>
      <c r="DQ30" s="230"/>
      <c r="DR30" s="230"/>
      <c r="DS30" s="230"/>
      <c r="DT30" s="230"/>
      <c r="DU30" s="230"/>
      <c r="DV30" s="230"/>
      <c r="DW30" s="230"/>
      <c r="DX30" s="230"/>
      <c r="DY30" s="230"/>
      <c r="DZ30" s="230"/>
      <c r="EA30" s="230"/>
      <c r="EB30" s="230"/>
      <c r="EC30" s="230"/>
      <c r="ED30" s="103"/>
      <c r="EE30" s="103"/>
      <c r="EF30"/>
      <c r="EG30"/>
      <c r="EH30"/>
      <c r="EI30"/>
      <c r="EJ30"/>
      <c r="EK30" s="15"/>
      <c r="EL30"/>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0"/>
      <c r="FQ30" s="10"/>
      <c r="FR30" s="15"/>
      <c r="FS30" s="15"/>
      <c r="FT30" s="10"/>
      <c r="FU30" s="10"/>
      <c r="FV30" s="10"/>
      <c r="FW30" s="15"/>
      <c r="FX30" s="15"/>
      <c r="FY30" s="15"/>
      <c r="FZ30" s="15"/>
      <c r="GA30" s="103"/>
      <c r="GB30" s="15"/>
      <c r="GC30" s="103"/>
      <c r="GD30" s="15"/>
      <c r="GE30" s="15"/>
      <c r="GF30" s="15"/>
      <c r="GG30" s="15"/>
      <c r="GH30" s="15"/>
      <c r="GI30" s="15"/>
      <c r="GJ30" s="15"/>
      <c r="GK30" s="15"/>
      <c r="GL30"/>
      <c r="GM30"/>
      <c r="GN30"/>
      <c r="GO30"/>
      <c r="GP30"/>
      <c r="GQ30"/>
    </row>
    <row r="31" spans="1:199" ht="115.5" thickBot="1">
      <c r="A31" s="197"/>
      <c r="B31" s="231"/>
      <c r="C31" s="231"/>
      <c r="D31" s="95"/>
      <c r="E31" s="95"/>
      <c r="F31" s="212"/>
      <c r="G31" s="212"/>
      <c r="H31" s="95" t="s">
        <v>145</v>
      </c>
      <c r="I31" s="95" t="s">
        <v>355</v>
      </c>
      <c r="J31" s="95" t="s">
        <v>79</v>
      </c>
      <c r="K31" s="95" t="s">
        <v>336</v>
      </c>
      <c r="L31" s="95" t="s">
        <v>345</v>
      </c>
      <c r="M31" s="95" t="s">
        <v>267</v>
      </c>
      <c r="N31" s="95" t="s">
        <v>225</v>
      </c>
      <c r="O31" s="95" t="s">
        <v>428</v>
      </c>
      <c r="P31" s="95" t="s">
        <v>262</v>
      </c>
      <c r="Q31" s="95" t="s">
        <v>228</v>
      </c>
      <c r="R31" s="95" t="s">
        <v>3</v>
      </c>
      <c r="S31" s="95" t="s">
        <v>533</v>
      </c>
      <c r="T31" s="95" t="s">
        <v>196</v>
      </c>
      <c r="U31" s="95" t="s">
        <v>469</v>
      </c>
      <c r="V31" s="95" t="s">
        <v>398</v>
      </c>
      <c r="W31" s="95" t="s">
        <v>281</v>
      </c>
      <c r="X31" s="95" t="s">
        <v>460</v>
      </c>
      <c r="Y31" s="95" t="s">
        <v>498</v>
      </c>
      <c r="Z31" s="95" t="s">
        <v>292</v>
      </c>
      <c r="AA31" s="95" t="s">
        <v>674</v>
      </c>
      <c r="AB31" s="95" t="s">
        <v>265</v>
      </c>
      <c r="AC31" s="95" t="s">
        <v>683</v>
      </c>
      <c r="AD31" s="95" t="s">
        <v>684</v>
      </c>
      <c r="AE31" s="95" t="s">
        <v>115</v>
      </c>
      <c r="AF31" s="95" t="s">
        <v>369</v>
      </c>
      <c r="AG31" s="95" t="s">
        <v>473</v>
      </c>
      <c r="AH31" s="95"/>
      <c r="AI31" s="95" t="s">
        <v>453</v>
      </c>
      <c r="AJ31" s="95" t="s">
        <v>10</v>
      </c>
      <c r="AK31" s="95" t="s">
        <v>190</v>
      </c>
      <c r="AL31" s="95" t="s">
        <v>135</v>
      </c>
      <c r="AM31" s="95" t="s">
        <v>128</v>
      </c>
      <c r="AN31" s="95" t="s">
        <v>505</v>
      </c>
      <c r="AO31" s="95" t="s">
        <v>297</v>
      </c>
      <c r="AP31" s="95" t="s">
        <v>552</v>
      </c>
      <c r="AQ31" s="95" t="s">
        <v>554</v>
      </c>
      <c r="AR31" s="95" t="s">
        <v>88</v>
      </c>
      <c r="AS31" s="95" t="s">
        <v>373</v>
      </c>
      <c r="AT31" s="95" t="s">
        <v>240</v>
      </c>
      <c r="AU31" s="95" t="s">
        <v>566</v>
      </c>
      <c r="AV31" s="95" t="s">
        <v>120</v>
      </c>
      <c r="AW31" s="95" t="s">
        <v>198</v>
      </c>
      <c r="AX31" s="95" t="s">
        <v>475</v>
      </c>
      <c r="AY31" s="95" t="s">
        <v>399</v>
      </c>
      <c r="AZ31" s="140" t="s">
        <v>487</v>
      </c>
      <c r="BA31" s="95" t="s">
        <v>343</v>
      </c>
      <c r="BB31" s="95" t="s">
        <v>772</v>
      </c>
      <c r="BC31" s="95" t="s">
        <v>309</v>
      </c>
      <c r="BD31" s="95" t="s">
        <v>611</v>
      </c>
      <c r="BE31" s="95" t="s">
        <v>493</v>
      </c>
      <c r="BF31" s="95" t="s">
        <v>773</v>
      </c>
      <c r="BG31" s="95" t="s">
        <v>573</v>
      </c>
      <c r="BH31" s="273" t="s">
        <v>715</v>
      </c>
      <c r="BI31" s="273" t="s">
        <v>714</v>
      </c>
      <c r="BJ31" s="95" t="s">
        <v>310</v>
      </c>
      <c r="BK31" s="95" t="s">
        <v>395</v>
      </c>
      <c r="BL31" s="95" t="s">
        <v>170</v>
      </c>
      <c r="BM31" s="95" t="s">
        <v>139</v>
      </c>
      <c r="BN31" s="95" t="s">
        <v>27</v>
      </c>
      <c r="BO31" s="95" t="s">
        <v>564</v>
      </c>
      <c r="BP31" s="95" t="s">
        <v>379</v>
      </c>
      <c r="BQ31" s="75" t="s">
        <v>178</v>
      </c>
      <c r="BR31" s="95" t="s">
        <v>41</v>
      </c>
      <c r="BS31" s="95" t="s">
        <v>98</v>
      </c>
      <c r="BT31" s="95" t="s">
        <v>232</v>
      </c>
      <c r="BU31" s="95" t="s">
        <v>193</v>
      </c>
      <c r="BV31" s="95" t="s">
        <v>354</v>
      </c>
      <c r="BW31" s="95" t="s">
        <v>16</v>
      </c>
      <c r="BX31" s="95" t="s">
        <v>200</v>
      </c>
      <c r="BY31" s="95" t="s">
        <v>523</v>
      </c>
      <c r="BZ31" s="95" t="s">
        <v>367</v>
      </c>
      <c r="CA31" s="316" t="s">
        <v>667</v>
      </c>
      <c r="CB31" s="95" t="s">
        <v>669</v>
      </c>
      <c r="CC31" s="95" t="s">
        <v>671</v>
      </c>
      <c r="CD31" s="95" t="s">
        <v>660</v>
      </c>
      <c r="CE31" s="95" t="s">
        <v>661</v>
      </c>
      <c r="CF31" s="95" t="s">
        <v>662</v>
      </c>
      <c r="CG31" s="95" t="s">
        <v>102</v>
      </c>
      <c r="CH31" s="95" t="s">
        <v>697</v>
      </c>
      <c r="CI31" s="95" t="s">
        <v>268</v>
      </c>
      <c r="CJ31" s="95" t="s">
        <v>231</v>
      </c>
      <c r="CK31" s="95" t="s">
        <v>341</v>
      </c>
      <c r="CL31" s="95" t="s">
        <v>459</v>
      </c>
      <c r="CM31" s="95" t="s">
        <v>419</v>
      </c>
      <c r="CN31" s="140" t="s">
        <v>62</v>
      </c>
      <c r="CO31" s="140" t="s">
        <v>148</v>
      </c>
      <c r="CP31" s="140" t="s">
        <v>8</v>
      </c>
      <c r="CQ31" s="140" t="s">
        <v>484</v>
      </c>
      <c r="CR31" s="140" t="s">
        <v>248</v>
      </c>
      <c r="CS31" s="95" t="s">
        <v>182</v>
      </c>
      <c r="CT31" s="95" t="s">
        <v>726</v>
      </c>
      <c r="CU31" s="140" t="s">
        <v>63</v>
      </c>
      <c r="CV31" s="140" t="s">
        <v>753</v>
      </c>
      <c r="CW31" s="140" t="s">
        <v>709</v>
      </c>
      <c r="CX31" s="95" t="s">
        <v>74</v>
      </c>
      <c r="CY31" s="95" t="s">
        <v>238</v>
      </c>
      <c r="CZ31" s="95" t="s">
        <v>74</v>
      </c>
      <c r="DA31" s="95" t="s">
        <v>238</v>
      </c>
      <c r="DB31" s="140" t="s">
        <v>347</v>
      </c>
      <c r="DC31" s="140" t="s">
        <v>568</v>
      </c>
      <c r="DD31" s="140" t="s">
        <v>260</v>
      </c>
      <c r="DE31" s="95" t="s">
        <v>61</v>
      </c>
      <c r="DF31" s="95" t="s">
        <v>47</v>
      </c>
      <c r="DG31" s="95" t="s">
        <v>20</v>
      </c>
      <c r="DH31" s="279" t="s">
        <v>757</v>
      </c>
      <c r="DI31" s="279" t="s">
        <v>759</v>
      </c>
      <c r="DJ31" s="279" t="s">
        <v>760</v>
      </c>
      <c r="DK31" s="279" t="s">
        <v>691</v>
      </c>
      <c r="DL31" s="140" t="s">
        <v>165</v>
      </c>
      <c r="DM31" s="95" t="s">
        <v>544</v>
      </c>
      <c r="DN31" s="95" t="s">
        <v>315</v>
      </c>
      <c r="DO31" s="95" t="s">
        <v>597</v>
      </c>
      <c r="DP31" s="95" t="s">
        <v>318</v>
      </c>
      <c r="DQ31" s="212" t="s">
        <v>33</v>
      </c>
      <c r="DR31" s="212" t="s">
        <v>22</v>
      </c>
      <c r="DS31" s="212" t="s">
        <v>224</v>
      </c>
      <c r="DT31" s="212" t="s">
        <v>545</v>
      </c>
      <c r="DU31" s="212" t="s">
        <v>582</v>
      </c>
      <c r="DV31" s="212" t="s">
        <v>348</v>
      </c>
      <c r="DW31" s="212" t="s">
        <v>221</v>
      </c>
      <c r="DX31" s="212" t="s">
        <v>507</v>
      </c>
      <c r="DY31" s="212" t="s">
        <v>412</v>
      </c>
      <c r="DZ31" s="212" t="s">
        <v>421</v>
      </c>
      <c r="EA31" s="212" t="s">
        <v>463</v>
      </c>
      <c r="EB31" s="212" t="s">
        <v>437</v>
      </c>
      <c r="EC31" s="212" t="s">
        <v>89</v>
      </c>
      <c r="ED31" s="95" t="s">
        <v>698</v>
      </c>
      <c r="EE31" s="95" t="s">
        <v>598</v>
      </c>
      <c r="EF31" s="95" t="s">
        <v>477</v>
      </c>
      <c r="EG31" s="95"/>
      <c r="EH31" s="95" t="s">
        <v>729</v>
      </c>
      <c r="EI31" s="95" t="s">
        <v>593</v>
      </c>
      <c r="EJ31" s="95" t="s">
        <v>114</v>
      </c>
      <c r="EK31" s="95" t="s">
        <v>194</v>
      </c>
      <c r="EL31" s="278" t="s">
        <v>692</v>
      </c>
      <c r="EM31" s="278" t="s">
        <v>693</v>
      </c>
      <c r="EN31" s="95" t="s">
        <v>316</v>
      </c>
      <c r="EO31" s="95" t="s">
        <v>448</v>
      </c>
      <c r="EP31" s="95" t="s">
        <v>5</v>
      </c>
      <c r="EQ31" s="95" t="s">
        <v>294</v>
      </c>
      <c r="ER31" s="95" t="s">
        <v>595</v>
      </c>
      <c r="ES31" s="95" t="s">
        <v>534</v>
      </c>
      <c r="ET31" s="95" t="s">
        <v>60</v>
      </c>
      <c r="EU31" s="95" t="s">
        <v>501</v>
      </c>
      <c r="EV31" s="95" t="s">
        <v>471</v>
      </c>
      <c r="EW31" s="95" t="s">
        <v>382</v>
      </c>
      <c r="EX31" s="95" t="s">
        <v>311</v>
      </c>
      <c r="EY31" s="95" t="s">
        <v>264</v>
      </c>
      <c r="EZ31" s="95" t="s">
        <v>220</v>
      </c>
      <c r="FA31" s="95" t="s">
        <v>326</v>
      </c>
      <c r="FB31" s="278" t="s">
        <v>761</v>
      </c>
      <c r="FC31" s="95" t="s">
        <v>451</v>
      </c>
      <c r="FD31" s="95" t="s">
        <v>481</v>
      </c>
      <c r="FE31" s="95" t="s">
        <v>521</v>
      </c>
      <c r="FF31" s="95" t="s">
        <v>344</v>
      </c>
      <c r="FG31" s="95" t="s">
        <v>485</v>
      </c>
      <c r="FH31" s="278" t="s">
        <v>762</v>
      </c>
      <c r="FI31" s="95" t="s">
        <v>559</v>
      </c>
      <c r="FJ31" s="95" t="s">
        <v>82</v>
      </c>
      <c r="FK31" s="95" t="s">
        <v>442</v>
      </c>
      <c r="FL31" s="95" t="s">
        <v>378</v>
      </c>
      <c r="FM31" s="140" t="s">
        <v>482</v>
      </c>
      <c r="FN31" s="140" t="s">
        <v>81</v>
      </c>
      <c r="FO31" s="95" t="s">
        <v>285</v>
      </c>
      <c r="FP31" s="95" t="s">
        <v>596</v>
      </c>
      <c r="FQ31" s="95" t="s">
        <v>250</v>
      </c>
      <c r="FR31" s="95" t="s">
        <v>141</v>
      </c>
      <c r="FS31" s="95" t="s">
        <v>465</v>
      </c>
      <c r="FT31" s="95" t="s">
        <v>718</v>
      </c>
      <c r="FU31" s="95" t="s">
        <v>719</v>
      </c>
      <c r="FV31" s="95" t="s">
        <v>763</v>
      </c>
      <c r="FW31" s="95" t="s">
        <v>204</v>
      </c>
      <c r="FX31" s="95" t="s">
        <v>277</v>
      </c>
      <c r="FY31" s="95" t="s">
        <v>4</v>
      </c>
      <c r="FZ31" s="95" t="s">
        <v>58</v>
      </c>
      <c r="GA31" s="95" t="s">
        <v>270</v>
      </c>
      <c r="GB31" s="95" t="s">
        <v>53</v>
      </c>
      <c r="GC31" s="95" t="s">
        <v>377</v>
      </c>
      <c r="GD31" s="95" t="s">
        <v>338</v>
      </c>
      <c r="GE31" s="95" t="s">
        <v>263</v>
      </c>
      <c r="GF31" s="95" t="s">
        <v>494</v>
      </c>
      <c r="GG31" s="95" t="s">
        <v>159</v>
      </c>
      <c r="GH31" s="95" t="s">
        <v>409</v>
      </c>
      <c r="GI31" s="95" t="s">
        <v>103</v>
      </c>
      <c r="GJ31" s="95" t="s">
        <v>431</v>
      </c>
      <c r="GK31" s="95" t="s">
        <v>381</v>
      </c>
      <c r="GL31" s="95" t="s">
        <v>699</v>
      </c>
      <c r="GM31" s="95" t="s">
        <v>700</v>
      </c>
      <c r="GN31" s="95" t="s">
        <v>701</v>
      </c>
      <c r="GO31" s="95" t="s">
        <v>702</v>
      </c>
      <c r="GP31" s="95" t="s">
        <v>703</v>
      </c>
      <c r="GQ31" s="95" t="s">
        <v>704</v>
      </c>
    </row>
    <row r="32" spans="1:199" ht="14.25" thickTop="1" thickBot="1">
      <c r="A32" s="70" t="s">
        <v>117</v>
      </c>
      <c r="B32" s="35" t="s">
        <v>269</v>
      </c>
      <c r="C32" s="35" t="s">
        <v>269</v>
      </c>
      <c r="D32" s="35" t="s">
        <v>269</v>
      </c>
      <c r="E32" s="35" t="s">
        <v>269</v>
      </c>
      <c r="F32" s="73" t="s">
        <v>449</v>
      </c>
      <c r="G32" s="73" t="s">
        <v>565</v>
      </c>
      <c r="H32" s="35" t="s">
        <v>269</v>
      </c>
      <c r="I32" s="35" t="s">
        <v>269</v>
      </c>
      <c r="J32" s="35" t="s">
        <v>269</v>
      </c>
      <c r="K32" s="35" t="s">
        <v>269</v>
      </c>
      <c r="L32" s="35" t="s">
        <v>269</v>
      </c>
      <c r="M32" s="35" t="s">
        <v>269</v>
      </c>
      <c r="N32" s="35" t="s">
        <v>269</v>
      </c>
      <c r="O32" s="35" t="s">
        <v>269</v>
      </c>
      <c r="P32" s="35" t="s">
        <v>269</v>
      </c>
      <c r="Q32" s="35" t="s">
        <v>269</v>
      </c>
      <c r="R32" s="35" t="s">
        <v>269</v>
      </c>
      <c r="S32" s="35" t="s">
        <v>269</v>
      </c>
      <c r="T32" s="35" t="s">
        <v>269</v>
      </c>
      <c r="U32" s="35" t="s">
        <v>269</v>
      </c>
      <c r="V32" s="35" t="s">
        <v>269</v>
      </c>
      <c r="W32" s="35" t="s">
        <v>269</v>
      </c>
      <c r="X32" s="35" t="s">
        <v>269</v>
      </c>
      <c r="Y32" s="35" t="s">
        <v>269</v>
      </c>
      <c r="Z32" s="35" t="s">
        <v>464</v>
      </c>
      <c r="AA32" s="35" t="s">
        <v>565</v>
      </c>
      <c r="AB32" s="35" t="s">
        <v>269</v>
      </c>
      <c r="AC32" s="35" t="s">
        <v>464</v>
      </c>
      <c r="AD32" s="35" t="s">
        <v>464</v>
      </c>
      <c r="AE32" s="35" t="s">
        <v>464</v>
      </c>
      <c r="AF32" s="35" t="s">
        <v>464</v>
      </c>
      <c r="AG32" s="35" t="s">
        <v>269</v>
      </c>
      <c r="AH32" s="35" t="s">
        <v>464</v>
      </c>
      <c r="AI32" s="35" t="s">
        <v>269</v>
      </c>
      <c r="AJ32" s="35" t="s">
        <v>269</v>
      </c>
      <c r="AK32" s="35" t="s">
        <v>269</v>
      </c>
      <c r="AL32" s="35" t="s">
        <v>269</v>
      </c>
      <c r="AM32" s="35" t="s">
        <v>464</v>
      </c>
      <c r="AN32" s="35" t="s">
        <v>464</v>
      </c>
      <c r="AO32" s="35" t="s">
        <v>464</v>
      </c>
      <c r="AP32" s="35" t="s">
        <v>269</v>
      </c>
      <c r="AQ32" s="35" t="s">
        <v>464</v>
      </c>
      <c r="AR32" s="35" t="s">
        <v>269</v>
      </c>
      <c r="AS32" s="35" t="s">
        <v>464</v>
      </c>
      <c r="AT32" s="35" t="s">
        <v>464</v>
      </c>
      <c r="AU32" s="35" t="s">
        <v>464</v>
      </c>
      <c r="AV32" s="35" t="s">
        <v>464</v>
      </c>
      <c r="AW32" s="35" t="s">
        <v>464</v>
      </c>
      <c r="AX32" s="35" t="s">
        <v>464</v>
      </c>
      <c r="AY32" s="35" t="s">
        <v>464</v>
      </c>
      <c r="AZ32" s="239" t="s">
        <v>464</v>
      </c>
      <c r="BA32" s="35" t="s">
        <v>464</v>
      </c>
      <c r="BB32" s="35" t="s">
        <v>464</v>
      </c>
      <c r="BC32" s="35" t="s">
        <v>464</v>
      </c>
      <c r="BD32" s="35" t="s">
        <v>464</v>
      </c>
      <c r="BE32" s="35" t="s">
        <v>464</v>
      </c>
      <c r="BF32" s="35" t="s">
        <v>464</v>
      </c>
      <c r="BG32" s="35" t="s">
        <v>464</v>
      </c>
      <c r="BH32" s="300" t="s">
        <v>269</v>
      </c>
      <c r="BI32" s="300" t="s">
        <v>464</v>
      </c>
      <c r="BJ32" s="35" t="s">
        <v>269</v>
      </c>
      <c r="BK32" s="35" t="s">
        <v>269</v>
      </c>
      <c r="BL32" s="35" t="s">
        <v>464</v>
      </c>
      <c r="BM32" s="35" t="s">
        <v>464</v>
      </c>
      <c r="BN32" s="35" t="s">
        <v>565</v>
      </c>
      <c r="BO32" s="35" t="s">
        <v>464</v>
      </c>
      <c r="BP32" s="35" t="s">
        <v>464</v>
      </c>
      <c r="BQ32" s="35" t="s">
        <v>464</v>
      </c>
      <c r="BR32" s="35" t="s">
        <v>464</v>
      </c>
      <c r="BS32" s="35" t="s">
        <v>464</v>
      </c>
      <c r="BT32" s="35" t="s">
        <v>464</v>
      </c>
      <c r="BU32" s="35" t="s">
        <v>464</v>
      </c>
      <c r="BV32" s="35" t="s">
        <v>269</v>
      </c>
      <c r="BW32" s="35" t="s">
        <v>269</v>
      </c>
      <c r="BX32" s="35" t="s">
        <v>269</v>
      </c>
      <c r="BY32" s="35" t="s">
        <v>464</v>
      </c>
      <c r="BZ32" s="35" t="s">
        <v>464</v>
      </c>
      <c r="CA32" s="314" t="s">
        <v>464</v>
      </c>
      <c r="CB32" s="35" t="s">
        <v>464</v>
      </c>
      <c r="CC32" s="35" t="s">
        <v>464</v>
      </c>
      <c r="CD32" s="35" t="s">
        <v>464</v>
      </c>
      <c r="CE32" s="35" t="s">
        <v>464</v>
      </c>
      <c r="CF32" s="35" t="s">
        <v>464</v>
      </c>
      <c r="CG32" s="35" t="s">
        <v>269</v>
      </c>
      <c r="CH32" s="35" t="s">
        <v>269</v>
      </c>
      <c r="CI32" s="35" t="s">
        <v>565</v>
      </c>
      <c r="CJ32" s="35" t="s">
        <v>565</v>
      </c>
      <c r="CK32" s="35" t="s">
        <v>565</v>
      </c>
      <c r="CL32" s="35" t="s">
        <v>464</v>
      </c>
      <c r="CM32" s="35" t="s">
        <v>464</v>
      </c>
      <c r="CN32" s="35" t="s">
        <v>464</v>
      </c>
      <c r="CO32" s="35" t="s">
        <v>464</v>
      </c>
      <c r="CP32" s="35" t="s">
        <v>464</v>
      </c>
      <c r="CQ32" s="35" t="s">
        <v>464</v>
      </c>
      <c r="CR32" s="35" t="s">
        <v>464</v>
      </c>
      <c r="CS32" s="35" t="s">
        <v>464</v>
      </c>
      <c r="CT32" s="35" t="s">
        <v>464</v>
      </c>
      <c r="CU32" s="35" t="s">
        <v>464</v>
      </c>
      <c r="CV32" s="35" t="s">
        <v>464</v>
      </c>
      <c r="CW32" s="35" t="s">
        <v>464</v>
      </c>
      <c r="CX32" s="35" t="s">
        <v>464</v>
      </c>
      <c r="CY32" s="35" t="s">
        <v>464</v>
      </c>
      <c r="CZ32" s="35" t="s">
        <v>464</v>
      </c>
      <c r="DA32" s="35" t="s">
        <v>464</v>
      </c>
      <c r="DB32" s="239" t="s">
        <v>464</v>
      </c>
      <c r="DC32" s="239" t="s">
        <v>464</v>
      </c>
      <c r="DD32" s="239" t="s">
        <v>464</v>
      </c>
      <c r="DE32" s="35" t="s">
        <v>464</v>
      </c>
      <c r="DF32" s="35" t="s">
        <v>464</v>
      </c>
      <c r="DG32" s="35" t="s">
        <v>464</v>
      </c>
      <c r="DH32" s="35" t="s">
        <v>464</v>
      </c>
      <c r="DI32" s="35" t="s">
        <v>464</v>
      </c>
      <c r="DJ32" s="239" t="s">
        <v>464</v>
      </c>
      <c r="DK32" s="239" t="s">
        <v>464</v>
      </c>
      <c r="DL32" s="239" t="s">
        <v>464</v>
      </c>
      <c r="DM32" s="35" t="s">
        <v>464</v>
      </c>
      <c r="DN32" s="35" t="s">
        <v>464</v>
      </c>
      <c r="DO32" s="35" t="s">
        <v>464</v>
      </c>
      <c r="DP32" s="35" t="s">
        <v>464</v>
      </c>
      <c r="DQ32" s="73" t="s">
        <v>578</v>
      </c>
      <c r="DR32" s="73" t="s">
        <v>578</v>
      </c>
      <c r="DS32" s="73" t="s">
        <v>578</v>
      </c>
      <c r="DT32" s="73" t="s">
        <v>578</v>
      </c>
      <c r="DU32" s="73" t="s">
        <v>578</v>
      </c>
      <c r="DV32" s="73" t="s">
        <v>578</v>
      </c>
      <c r="DW32" s="73" t="s">
        <v>464</v>
      </c>
      <c r="DX32" s="73" t="s">
        <v>464</v>
      </c>
      <c r="DY32" s="73" t="s">
        <v>464</v>
      </c>
      <c r="DZ32" s="73" t="s">
        <v>464</v>
      </c>
      <c r="EA32" s="73" t="s">
        <v>464</v>
      </c>
      <c r="EB32" s="73" t="s">
        <v>464</v>
      </c>
      <c r="EC32" s="73" t="s">
        <v>464</v>
      </c>
      <c r="ED32" s="35" t="s">
        <v>269</v>
      </c>
      <c r="EE32" s="35" t="s">
        <v>269</v>
      </c>
      <c r="EF32" s="35" t="s">
        <v>449</v>
      </c>
      <c r="EG32" s="35" t="s">
        <v>464</v>
      </c>
      <c r="EH32" s="35" t="s">
        <v>449</v>
      </c>
      <c r="EI32" s="35" t="s">
        <v>449</v>
      </c>
      <c r="EJ32" s="35" t="s">
        <v>449</v>
      </c>
      <c r="EK32" s="35" t="s">
        <v>464</v>
      </c>
      <c r="EL32" s="35" t="s">
        <v>464</v>
      </c>
      <c r="EM32" s="35" t="s">
        <v>464</v>
      </c>
      <c r="EN32" s="35" t="s">
        <v>464</v>
      </c>
      <c r="EO32" s="35" t="s">
        <v>464</v>
      </c>
      <c r="EP32" s="35" t="s">
        <v>464</v>
      </c>
      <c r="EQ32" s="35" t="s">
        <v>464</v>
      </c>
      <c r="ER32" s="35" t="s">
        <v>464</v>
      </c>
      <c r="ES32" s="35" t="s">
        <v>464</v>
      </c>
      <c r="ET32" s="35" t="s">
        <v>464</v>
      </c>
      <c r="EU32" s="35" t="s">
        <v>464</v>
      </c>
      <c r="EV32" s="35" t="s">
        <v>464</v>
      </c>
      <c r="EW32" s="35" t="s">
        <v>464</v>
      </c>
      <c r="EX32" s="35" t="s">
        <v>464</v>
      </c>
      <c r="EY32" s="35" t="s">
        <v>464</v>
      </c>
      <c r="EZ32" s="35" t="s">
        <v>464</v>
      </c>
      <c r="FA32" s="35" t="s">
        <v>464</v>
      </c>
      <c r="FB32" s="35" t="s">
        <v>464</v>
      </c>
      <c r="FC32" s="35" t="s">
        <v>464</v>
      </c>
      <c r="FD32" s="35" t="s">
        <v>464</v>
      </c>
      <c r="FE32" s="35" t="s">
        <v>464</v>
      </c>
      <c r="FF32" s="35" t="s">
        <v>464</v>
      </c>
      <c r="FG32" s="35" t="s">
        <v>464</v>
      </c>
      <c r="FH32" s="35" t="s">
        <v>464</v>
      </c>
      <c r="FI32" s="35" t="s">
        <v>464</v>
      </c>
      <c r="FJ32" s="35" t="s">
        <v>464</v>
      </c>
      <c r="FK32" s="35" t="s">
        <v>464</v>
      </c>
      <c r="FL32" s="35" t="s">
        <v>464</v>
      </c>
      <c r="FM32" s="35" t="s">
        <v>464</v>
      </c>
      <c r="FN32" s="35" t="s">
        <v>464</v>
      </c>
      <c r="FO32" s="35" t="s">
        <v>464</v>
      </c>
      <c r="FP32" s="35" t="s">
        <v>464</v>
      </c>
      <c r="FQ32" s="35" t="s">
        <v>565</v>
      </c>
      <c r="FR32" s="35" t="s">
        <v>269</v>
      </c>
      <c r="FS32" s="35" t="s">
        <v>269</v>
      </c>
      <c r="FT32" s="35" t="s">
        <v>269</v>
      </c>
      <c r="FU32" s="35" t="s">
        <v>269</v>
      </c>
      <c r="FV32" s="35" t="s">
        <v>464</v>
      </c>
      <c r="FW32" s="35" t="s">
        <v>464</v>
      </c>
      <c r="FX32" s="35" t="s">
        <v>464</v>
      </c>
      <c r="FY32" s="35" t="s">
        <v>464</v>
      </c>
      <c r="FZ32" s="35" t="s">
        <v>464</v>
      </c>
      <c r="GA32" s="35" t="s">
        <v>464</v>
      </c>
      <c r="GB32" s="35" t="s">
        <v>464</v>
      </c>
      <c r="GC32" s="35" t="s">
        <v>464</v>
      </c>
      <c r="GD32" s="35" t="s">
        <v>464</v>
      </c>
      <c r="GE32" s="35" t="s">
        <v>464</v>
      </c>
      <c r="GF32" s="35" t="s">
        <v>464</v>
      </c>
      <c r="GG32" s="35" t="s">
        <v>464</v>
      </c>
      <c r="GH32" s="35" t="s">
        <v>464</v>
      </c>
      <c r="GI32" s="35" t="s">
        <v>464</v>
      </c>
      <c r="GJ32" s="35" t="s">
        <v>464</v>
      </c>
      <c r="GK32" s="35" t="s">
        <v>464</v>
      </c>
      <c r="GL32" s="35" t="s">
        <v>464</v>
      </c>
      <c r="GM32" s="35" t="s">
        <v>464</v>
      </c>
      <c r="GN32" s="35" t="s">
        <v>464</v>
      </c>
      <c r="GO32" s="35" t="s">
        <v>464</v>
      </c>
      <c r="GP32" s="35" t="s">
        <v>464</v>
      </c>
      <c r="GQ32" s="35" t="s">
        <v>464</v>
      </c>
    </row>
    <row r="33" spans="1:199" ht="14.25" thickTop="1" thickBot="1">
      <c r="A33" s="14" t="s">
        <v>535</v>
      </c>
      <c r="B33" s="61" t="s">
        <v>663</v>
      </c>
      <c r="C33" s="61" t="s">
        <v>519</v>
      </c>
      <c r="D33" s="83" t="s">
        <v>405</v>
      </c>
      <c r="E33" s="61" t="s">
        <v>306</v>
      </c>
      <c r="F33" s="133" t="s">
        <v>28</v>
      </c>
      <c r="G33" s="133" t="s">
        <v>67</v>
      </c>
      <c r="H33" s="83" t="s">
        <v>168</v>
      </c>
      <c r="I33" s="57" t="s">
        <v>314</v>
      </c>
      <c r="J33" s="57" t="s">
        <v>87</v>
      </c>
      <c r="K33" s="57" t="s">
        <v>230</v>
      </c>
      <c r="L33" s="57" t="s">
        <v>144</v>
      </c>
      <c r="M33" s="57" t="s">
        <v>434</v>
      </c>
      <c r="N33" s="57" t="s">
        <v>183</v>
      </c>
      <c r="O33" s="57" t="s">
        <v>302</v>
      </c>
      <c r="P33" s="57" t="s">
        <v>580</v>
      </c>
      <c r="Q33" s="57" t="s">
        <v>156</v>
      </c>
      <c r="R33" s="57" t="s">
        <v>303</v>
      </c>
      <c r="S33" s="57" t="s">
        <v>164</v>
      </c>
      <c r="T33" s="57" t="s">
        <v>408</v>
      </c>
      <c r="U33" s="57" t="s">
        <v>372</v>
      </c>
      <c r="V33" s="57" t="s">
        <v>105</v>
      </c>
      <c r="W33" s="57" t="s">
        <v>529</v>
      </c>
      <c r="X33" s="57" t="s">
        <v>478</v>
      </c>
      <c r="Y33" s="57" t="s">
        <v>439</v>
      </c>
      <c r="Z33" s="57" t="s">
        <v>75</v>
      </c>
      <c r="AA33" s="57" t="s">
        <v>675</v>
      </c>
      <c r="AB33" s="57" t="s">
        <v>111</v>
      </c>
      <c r="AC33" s="57" t="s">
        <v>293</v>
      </c>
      <c r="AD33" s="57" t="s">
        <v>312</v>
      </c>
      <c r="AE33" s="57" t="s">
        <v>416</v>
      </c>
      <c r="AF33" s="57" t="s">
        <v>430</v>
      </c>
      <c r="AG33" s="57" t="s">
        <v>438</v>
      </c>
      <c r="AH33" s="57" t="s">
        <v>705</v>
      </c>
      <c r="AI33" s="57" t="s">
        <v>15</v>
      </c>
      <c r="AJ33" s="57" t="s">
        <v>560</v>
      </c>
      <c r="AK33" s="57" t="s">
        <v>9</v>
      </c>
      <c r="AL33" s="57" t="s">
        <v>575</v>
      </c>
      <c r="AM33" s="57" t="s">
        <v>417</v>
      </c>
      <c r="AN33" s="57" t="s">
        <v>374</v>
      </c>
      <c r="AO33" s="57" t="s">
        <v>353</v>
      </c>
      <c r="AP33" s="57" t="s">
        <v>247</v>
      </c>
      <c r="AQ33" s="57" t="s">
        <v>497</v>
      </c>
      <c r="AR33" s="57" t="s">
        <v>402</v>
      </c>
      <c r="AS33" s="57" t="s">
        <v>447</v>
      </c>
      <c r="AT33" s="57" t="s">
        <v>452</v>
      </c>
      <c r="AU33" s="204" t="s">
        <v>119</v>
      </c>
      <c r="AV33" s="204" t="s">
        <v>589</v>
      </c>
      <c r="AW33" s="204" t="s">
        <v>64</v>
      </c>
      <c r="AX33" s="57" t="s">
        <v>480</v>
      </c>
      <c r="AY33" s="57" t="s">
        <v>548</v>
      </c>
      <c r="AZ33" s="204" t="s">
        <v>322</v>
      </c>
      <c r="BA33" s="204" t="s">
        <v>261</v>
      </c>
      <c r="BB33" s="204" t="s">
        <v>770</v>
      </c>
      <c r="BC33" s="204" t="s">
        <v>55</v>
      </c>
      <c r="BD33" s="57" t="s">
        <v>531</v>
      </c>
      <c r="BE33" s="204" t="s">
        <v>375</v>
      </c>
      <c r="BF33" s="204" t="s">
        <v>771</v>
      </c>
      <c r="BG33" s="204" t="s">
        <v>594</v>
      </c>
      <c r="BH33" s="301" t="s">
        <v>612</v>
      </c>
      <c r="BI33" s="301" t="s">
        <v>613</v>
      </c>
      <c r="BJ33" s="204" t="s">
        <v>574</v>
      </c>
      <c r="BK33" s="204" t="s">
        <v>359</v>
      </c>
      <c r="BL33" s="204" t="s">
        <v>93</v>
      </c>
      <c r="BM33" s="204" t="s">
        <v>199</v>
      </c>
      <c r="BN33" s="204" t="s">
        <v>252</v>
      </c>
      <c r="BO33" s="204" t="s">
        <v>152</v>
      </c>
      <c r="BP33" s="204" t="s">
        <v>556</v>
      </c>
      <c r="BQ33" s="204" t="s">
        <v>499</v>
      </c>
      <c r="BR33" s="204" t="s">
        <v>210</v>
      </c>
      <c r="BS33" s="204" t="s">
        <v>163</v>
      </c>
      <c r="BT33" s="204" t="s">
        <v>201</v>
      </c>
      <c r="BU33" s="204" t="s">
        <v>54</v>
      </c>
      <c r="BV33" s="204" t="s">
        <v>133</v>
      </c>
      <c r="BW33" s="204" t="s">
        <v>234</v>
      </c>
      <c r="BX33" s="204" t="s">
        <v>56</v>
      </c>
      <c r="BY33" s="204" t="s">
        <v>441</v>
      </c>
      <c r="BZ33" s="204" t="s">
        <v>108</v>
      </c>
      <c r="CA33" s="309" t="s">
        <v>666</v>
      </c>
      <c r="CB33" s="204" t="s">
        <v>668</v>
      </c>
      <c r="CC33" s="204" t="s">
        <v>670</v>
      </c>
      <c r="CD33" s="204" t="s">
        <v>657</v>
      </c>
      <c r="CE33" s="204" t="s">
        <v>658</v>
      </c>
      <c r="CF33" s="204" t="s">
        <v>659</v>
      </c>
      <c r="CG33" s="204" t="s">
        <v>332</v>
      </c>
      <c r="CH33" s="204" t="s">
        <v>361</v>
      </c>
      <c r="CI33" s="204" t="s">
        <v>522</v>
      </c>
      <c r="CJ33" s="204" t="s">
        <v>563</v>
      </c>
      <c r="CK33" s="204" t="s">
        <v>414</v>
      </c>
      <c r="CL33" s="204" t="s">
        <v>72</v>
      </c>
      <c r="CM33" s="204" t="s">
        <v>35</v>
      </c>
      <c r="CN33" s="204" t="s">
        <v>118</v>
      </c>
      <c r="CO33" s="204" t="s">
        <v>258</v>
      </c>
      <c r="CP33" s="204" t="s">
        <v>401</v>
      </c>
      <c r="CQ33" s="204" t="s">
        <v>283</v>
      </c>
      <c r="CR33" s="204" t="s">
        <v>66</v>
      </c>
      <c r="CS33" s="204" t="s">
        <v>577</v>
      </c>
      <c r="CT33" s="204" t="s">
        <v>725</v>
      </c>
      <c r="CU33" s="204" t="s">
        <v>376</v>
      </c>
      <c r="CV33" s="204" t="s">
        <v>506</v>
      </c>
      <c r="CW33" s="204" t="s">
        <v>708</v>
      </c>
      <c r="CX33" s="204" t="s">
        <v>324</v>
      </c>
      <c r="CY33" s="204" t="s">
        <v>518</v>
      </c>
      <c r="CZ33" s="204" t="s">
        <v>187</v>
      </c>
      <c r="DA33" s="204" t="s">
        <v>526</v>
      </c>
      <c r="DB33" s="147" t="s">
        <v>295</v>
      </c>
      <c r="DC33" s="147" t="s">
        <v>358</v>
      </c>
      <c r="DD33" s="147" t="s">
        <v>371</v>
      </c>
      <c r="DE33" s="172" t="s">
        <v>510</v>
      </c>
      <c r="DF33" s="204" t="s">
        <v>21</v>
      </c>
      <c r="DG33" s="172" t="s">
        <v>328</v>
      </c>
      <c r="DH33" s="172" t="s">
        <v>454</v>
      </c>
      <c r="DI33" s="172" t="s">
        <v>758</v>
      </c>
      <c r="DJ33" s="147" t="s">
        <v>687</v>
      </c>
      <c r="DK33" s="147" t="s">
        <v>688</v>
      </c>
      <c r="DL33" s="147" t="s">
        <v>266</v>
      </c>
      <c r="DM33" s="204" t="s">
        <v>259</v>
      </c>
      <c r="DN33" s="204" t="s">
        <v>550</v>
      </c>
      <c r="DO33" s="204" t="s">
        <v>400</v>
      </c>
      <c r="DP33" s="204" t="s">
        <v>508</v>
      </c>
      <c r="DQ33" s="2" t="s">
        <v>65</v>
      </c>
      <c r="DR33" s="2" t="s">
        <v>271</v>
      </c>
      <c r="DS33" s="2" t="s">
        <v>13</v>
      </c>
      <c r="DT33" s="2" t="s">
        <v>472</v>
      </c>
      <c r="DU33" s="2" t="s">
        <v>11</v>
      </c>
      <c r="DV33" s="2" t="s">
        <v>586</v>
      </c>
      <c r="DW33" s="2" t="s">
        <v>113</v>
      </c>
      <c r="DX33" s="2" t="s">
        <v>298</v>
      </c>
      <c r="DY33" s="2" t="s">
        <v>131</v>
      </c>
      <c r="DZ33" s="2" t="s">
        <v>458</v>
      </c>
      <c r="EA33" s="2" t="s">
        <v>444</v>
      </c>
      <c r="EB33" s="2" t="s">
        <v>14</v>
      </c>
      <c r="EC33" s="2" t="s">
        <v>172</v>
      </c>
      <c r="ED33" s="204" t="s">
        <v>679</v>
      </c>
      <c r="EE33" s="204" t="s">
        <v>253</v>
      </c>
      <c r="EF33" s="204" t="s">
        <v>672</v>
      </c>
      <c r="EG33" s="204" t="s">
        <v>724</v>
      </c>
      <c r="EH33" s="204" t="s">
        <v>716</v>
      </c>
      <c r="EI33" s="204" t="s">
        <v>0</v>
      </c>
      <c r="EJ33" s="204" t="s">
        <v>349</v>
      </c>
      <c r="EK33" s="172" t="s">
        <v>173</v>
      </c>
      <c r="EL33" s="172" t="s">
        <v>689</v>
      </c>
      <c r="EM33" s="172" t="s">
        <v>690</v>
      </c>
      <c r="EN33" s="172" t="s">
        <v>488</v>
      </c>
      <c r="EO33" s="172" t="s">
        <v>290</v>
      </c>
      <c r="EP33" s="172" t="s">
        <v>127</v>
      </c>
      <c r="EQ33" s="172" t="s">
        <v>561</v>
      </c>
      <c r="ER33" s="172" t="s">
        <v>195</v>
      </c>
      <c r="ES33" s="172" t="s">
        <v>19</v>
      </c>
      <c r="ET33" s="172" t="s">
        <v>413</v>
      </c>
      <c r="EU33" s="172" t="s">
        <v>572</v>
      </c>
      <c r="EV33" s="172" t="s">
        <v>363</v>
      </c>
      <c r="EW33" s="172" t="s">
        <v>323</v>
      </c>
      <c r="EX33" s="172" t="s">
        <v>208</v>
      </c>
      <c r="EY33" s="172" t="s">
        <v>567</v>
      </c>
      <c r="EZ33" s="204" t="s">
        <v>150</v>
      </c>
      <c r="FA33" s="172" t="s">
        <v>245</v>
      </c>
      <c r="FB33" s="172" t="s">
        <v>513</v>
      </c>
      <c r="FC33" s="172" t="s">
        <v>346</v>
      </c>
      <c r="FD33" s="172" t="s">
        <v>24</v>
      </c>
      <c r="FE33" s="172" t="s">
        <v>192</v>
      </c>
      <c r="FF33" s="172" t="s">
        <v>121</v>
      </c>
      <c r="FG33" s="172" t="s">
        <v>410</v>
      </c>
      <c r="FH33" s="172" t="s">
        <v>304</v>
      </c>
      <c r="FI33" s="172" t="s">
        <v>48</v>
      </c>
      <c r="FJ33" s="172" t="s">
        <v>509</v>
      </c>
      <c r="FK33" s="172" t="s">
        <v>393</v>
      </c>
      <c r="FL33" s="172" t="s">
        <v>500</v>
      </c>
      <c r="FM33" s="204" t="s">
        <v>576</v>
      </c>
      <c r="FN33" s="204" t="s">
        <v>126</v>
      </c>
      <c r="FO33" s="172" t="s">
        <v>537</v>
      </c>
      <c r="FP33" s="204" t="s">
        <v>492</v>
      </c>
      <c r="FQ33" s="204" t="s">
        <v>540</v>
      </c>
      <c r="FR33" s="204" t="s">
        <v>202</v>
      </c>
      <c r="FS33" s="204" t="s">
        <v>330</v>
      </c>
      <c r="FT33" s="204" t="s">
        <v>720</v>
      </c>
      <c r="FU33" s="204" t="s">
        <v>721</v>
      </c>
      <c r="FV33" s="204" t="s">
        <v>723</v>
      </c>
      <c r="FW33" s="204" t="s">
        <v>273</v>
      </c>
      <c r="FX33" s="204" t="s">
        <v>418</v>
      </c>
      <c r="FY33" s="204" t="s">
        <v>255</v>
      </c>
      <c r="FZ33" s="204" t="s">
        <v>474</v>
      </c>
      <c r="GA33" s="204" t="s">
        <v>51</v>
      </c>
      <c r="GB33" s="57" t="s">
        <v>287</v>
      </c>
      <c r="GC33" s="204" t="s">
        <v>551</v>
      </c>
      <c r="GD33" s="57" t="s">
        <v>585</v>
      </c>
      <c r="GE33" s="204" t="s">
        <v>112</v>
      </c>
      <c r="GF33" s="204" t="s">
        <v>368</v>
      </c>
      <c r="GG33" s="204" t="s">
        <v>186</v>
      </c>
      <c r="GH33" s="204" t="s">
        <v>350</v>
      </c>
      <c r="GI33" s="204" t="s">
        <v>181</v>
      </c>
      <c r="GJ33" s="204" t="s">
        <v>426</v>
      </c>
      <c r="GK33" s="204" t="s">
        <v>96</v>
      </c>
      <c r="GL33" s="204" t="s">
        <v>599</v>
      </c>
      <c r="GM33" s="204" t="s">
        <v>601</v>
      </c>
      <c r="GN33" s="204" t="s">
        <v>602</v>
      </c>
      <c r="GO33" s="204" t="s">
        <v>603</v>
      </c>
      <c r="GP33" s="204" t="s">
        <v>604</v>
      </c>
      <c r="GQ33" s="204" t="s">
        <v>605</v>
      </c>
    </row>
    <row r="34" spans="1:199" ht="13.5" thickTop="1"/>
    <row r="49" spans="1:199" s="15" customFormat="1">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row>
    <row r="50" spans="1:199" s="15" customFormat="1">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row>
    <row r="51" spans="1:199" s="15" customFormat="1">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row>
    <row r="52" spans="1:199" s="15" customForma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row>
    <row r="53" spans="1:199" s="15" customForma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row>
  </sheetData>
  <printOptions gridLines="1" gridLinesSet="0"/>
  <pageMargins left="0.75" right="0.75" top="1" bottom="1" header="0.5" footer="0.5"/>
  <pageSetup orientation="portrait" r:id="rId1"/>
  <headerFooter>
    <oddHeader>&amp;C&amp;A</oddHeader>
    <oddFooter>&amp;CPage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396"/>
  <sheetViews>
    <sheetView workbookViewId="0"/>
  </sheetViews>
  <sheetFormatPr defaultRowHeight="12.75"/>
  <sheetData>
    <row r="1" spans="1:1">
      <c r="A1" t="s">
        <v>480</v>
      </c>
    </row>
    <row r="2" spans="1:1">
      <c r="A2" t="s">
        <v>401</v>
      </c>
    </row>
    <row r="3" spans="1:1">
      <c r="A3" t="s">
        <v>418</v>
      </c>
    </row>
    <row r="4" spans="1:1">
      <c r="A4" t="s">
        <v>361</v>
      </c>
    </row>
    <row r="5" spans="1:1">
      <c r="A5" t="s">
        <v>51</v>
      </c>
    </row>
    <row r="6" spans="1:1">
      <c r="A6" t="s">
        <v>551</v>
      </c>
    </row>
    <row r="7" spans="1:1">
      <c r="A7" t="s">
        <v>439</v>
      </c>
    </row>
    <row r="8" spans="1:1">
      <c r="A8" t="s">
        <v>575</v>
      </c>
    </row>
    <row r="9" spans="1:1">
      <c r="A9" t="s">
        <v>126</v>
      </c>
    </row>
    <row r="10" spans="1:1">
      <c r="A10" t="s">
        <v>66</v>
      </c>
    </row>
    <row r="11" spans="1:1">
      <c r="A11" t="s">
        <v>576</v>
      </c>
    </row>
    <row r="12" spans="1:1">
      <c r="A12" t="s">
        <v>295</v>
      </c>
    </row>
    <row r="13" spans="1:1">
      <c r="A13" t="s">
        <v>302</v>
      </c>
    </row>
    <row r="14" spans="1:1">
      <c r="A14" t="s">
        <v>93</v>
      </c>
    </row>
    <row r="15" spans="1:1">
      <c r="A15" t="s">
        <v>580</v>
      </c>
    </row>
    <row r="16" spans="1:1">
      <c r="A16" t="s">
        <v>346</v>
      </c>
    </row>
    <row r="17" spans="1:1">
      <c r="A17" t="s">
        <v>48</v>
      </c>
    </row>
    <row r="18" spans="1:1">
      <c r="A18" t="s">
        <v>363</v>
      </c>
    </row>
    <row r="19" spans="1:1">
      <c r="A19" t="s">
        <v>186</v>
      </c>
    </row>
    <row r="20" spans="1:1">
      <c r="A20" t="s">
        <v>368</v>
      </c>
    </row>
    <row r="21" spans="1:1">
      <c r="A21" t="s">
        <v>400</v>
      </c>
    </row>
    <row r="22" spans="1:1">
      <c r="A22" t="s">
        <v>508</v>
      </c>
    </row>
    <row r="23" spans="1:1">
      <c r="A23" t="s">
        <v>372</v>
      </c>
    </row>
    <row r="24" spans="1:1">
      <c r="A24" t="s">
        <v>183</v>
      </c>
    </row>
    <row r="25" spans="1:1">
      <c r="A25" t="s">
        <v>663</v>
      </c>
    </row>
    <row r="26" spans="1:1">
      <c r="A26" t="s">
        <v>306</v>
      </c>
    </row>
    <row r="27" spans="1:1">
      <c r="A27" t="s">
        <v>405</v>
      </c>
    </row>
    <row r="28" spans="1:1">
      <c r="A28" t="s">
        <v>519</v>
      </c>
    </row>
    <row r="29" spans="1:1">
      <c r="A29" t="s">
        <v>67</v>
      </c>
    </row>
    <row r="30" spans="1:1">
      <c r="A30" t="s">
        <v>599</v>
      </c>
    </row>
    <row r="31" spans="1:1">
      <c r="A31" t="s">
        <v>601</v>
      </c>
    </row>
    <row r="32" spans="1:1">
      <c r="A32" t="s">
        <v>602</v>
      </c>
    </row>
    <row r="33" spans="1:1">
      <c r="A33" t="s">
        <v>603</v>
      </c>
    </row>
    <row r="34" spans="1:1">
      <c r="A34" t="s">
        <v>604</v>
      </c>
    </row>
    <row r="35" spans="1:1">
      <c r="A35" t="s">
        <v>605</v>
      </c>
    </row>
    <row r="36" spans="1:1">
      <c r="A36" t="s">
        <v>353</v>
      </c>
    </row>
    <row r="37" spans="1:1">
      <c r="A37" t="s">
        <v>247</v>
      </c>
    </row>
    <row r="38" spans="1:1">
      <c r="A38" t="s">
        <v>293</v>
      </c>
    </row>
    <row r="39" spans="1:1">
      <c r="A39" t="s">
        <v>312</v>
      </c>
    </row>
    <row r="40" spans="1:1">
      <c r="A40" t="s">
        <v>416</v>
      </c>
    </row>
    <row r="41" spans="1:1">
      <c r="A41" t="s">
        <v>430</v>
      </c>
    </row>
    <row r="42" spans="1:1">
      <c r="A42" t="s">
        <v>452</v>
      </c>
    </row>
    <row r="43" spans="1:1">
      <c r="A43" t="s">
        <v>720</v>
      </c>
    </row>
    <row r="44" spans="1:1">
      <c r="A44" t="s">
        <v>675</v>
      </c>
    </row>
    <row r="45" spans="1:1">
      <c r="A45" t="s">
        <v>529</v>
      </c>
    </row>
    <row r="46" spans="1:1">
      <c r="A46" t="s">
        <v>705</v>
      </c>
    </row>
    <row r="47" spans="1:1">
      <c r="A47" t="s">
        <v>560</v>
      </c>
    </row>
    <row r="48" spans="1:1">
      <c r="A48" t="s">
        <v>111</v>
      </c>
    </row>
    <row r="49" spans="1:1">
      <c r="A49" t="s">
        <v>438</v>
      </c>
    </row>
    <row r="50" spans="1:1">
      <c r="A50" t="s">
        <v>574</v>
      </c>
    </row>
    <row r="51" spans="1:1">
      <c r="A51" t="s">
        <v>15</v>
      </c>
    </row>
    <row r="52" spans="1:1">
      <c r="A52" t="s">
        <v>35</v>
      </c>
    </row>
    <row r="53" spans="1:1">
      <c r="A53" t="s">
        <v>287</v>
      </c>
    </row>
    <row r="54" spans="1:1">
      <c r="A54" t="s">
        <v>585</v>
      </c>
    </row>
    <row r="55" spans="1:1">
      <c r="A55" t="s">
        <v>594</v>
      </c>
    </row>
    <row r="56" spans="1:1">
      <c r="A56" t="s">
        <v>771</v>
      </c>
    </row>
    <row r="57" spans="1:1">
      <c r="A57" t="s">
        <v>258</v>
      </c>
    </row>
    <row r="58" spans="1:1">
      <c r="A58" t="s">
        <v>518</v>
      </c>
    </row>
    <row r="59" spans="1:1">
      <c r="A59" t="s">
        <v>55</v>
      </c>
    </row>
    <row r="60" spans="1:1">
      <c r="A60" t="s">
        <v>770</v>
      </c>
    </row>
    <row r="61" spans="1:1">
      <c r="A61" t="s">
        <v>314</v>
      </c>
    </row>
    <row r="62" spans="1:1">
      <c r="A62" t="s">
        <v>522</v>
      </c>
    </row>
    <row r="63" spans="1:1">
      <c r="A63" t="s">
        <v>133</v>
      </c>
    </row>
    <row r="64" spans="1:1">
      <c r="A64" t="s">
        <v>441</v>
      </c>
    </row>
    <row r="65" spans="1:1">
      <c r="A65" t="s">
        <v>499</v>
      </c>
    </row>
    <row r="66" spans="1:1">
      <c r="A66" t="s">
        <v>556</v>
      </c>
    </row>
    <row r="67" spans="1:1">
      <c r="A67" t="s">
        <v>666</v>
      </c>
    </row>
    <row r="68" spans="1:1">
      <c r="A68" t="s">
        <v>657</v>
      </c>
    </row>
    <row r="69" spans="1:1">
      <c r="A69" t="s">
        <v>679</v>
      </c>
    </row>
    <row r="70" spans="1:1">
      <c r="A70" t="s">
        <v>87</v>
      </c>
    </row>
    <row r="71" spans="1:1">
      <c r="A71" t="s">
        <v>192</v>
      </c>
    </row>
    <row r="72" spans="1:1">
      <c r="A72" t="s">
        <v>150</v>
      </c>
    </row>
    <row r="73" spans="1:1">
      <c r="A73" t="s">
        <v>376</v>
      </c>
    </row>
    <row r="74" spans="1:1">
      <c r="A74" t="s">
        <v>526</v>
      </c>
    </row>
    <row r="75" spans="1:1">
      <c r="A75" t="s">
        <v>330</v>
      </c>
    </row>
    <row r="76" spans="1:1">
      <c r="A76" t="s">
        <v>540</v>
      </c>
    </row>
    <row r="77" spans="1:1">
      <c r="A77" t="s">
        <v>723</v>
      </c>
    </row>
    <row r="78" spans="1:1">
      <c r="A78" t="s">
        <v>273</v>
      </c>
    </row>
    <row r="79" spans="1:1">
      <c r="A79" t="s">
        <v>322</v>
      </c>
    </row>
    <row r="80" spans="1:1">
      <c r="A80" t="s">
        <v>358</v>
      </c>
    </row>
    <row r="81" spans="1:1">
      <c r="A81" t="s">
        <v>118</v>
      </c>
    </row>
    <row r="82" spans="1:1">
      <c r="A82" t="s">
        <v>324</v>
      </c>
    </row>
    <row r="83" spans="1:1">
      <c r="A83" t="s">
        <v>577</v>
      </c>
    </row>
    <row r="84" spans="1:1">
      <c r="A84" t="s">
        <v>187</v>
      </c>
    </row>
    <row r="85" spans="1:1">
      <c r="A85" t="s">
        <v>105</v>
      </c>
    </row>
    <row r="86" spans="1:1">
      <c r="A86" t="s">
        <v>414</v>
      </c>
    </row>
    <row r="87" spans="1:1">
      <c r="A87" t="s">
        <v>56</v>
      </c>
    </row>
    <row r="88" spans="1:1">
      <c r="A88" t="s">
        <v>670</v>
      </c>
    </row>
    <row r="89" spans="1:1">
      <c r="A89" t="s">
        <v>658</v>
      </c>
    </row>
    <row r="90" spans="1:1">
      <c r="A90" t="s">
        <v>54</v>
      </c>
    </row>
    <row r="91" spans="1:1">
      <c r="A91" t="s">
        <v>201</v>
      </c>
    </row>
    <row r="92" spans="1:1">
      <c r="A92" t="s">
        <v>108</v>
      </c>
    </row>
    <row r="93" spans="1:1">
      <c r="A93" t="s">
        <v>708</v>
      </c>
    </row>
    <row r="94" spans="1:1">
      <c r="A94" t="s">
        <v>131</v>
      </c>
    </row>
    <row r="95" spans="1:1">
      <c r="A95" t="s">
        <v>444</v>
      </c>
    </row>
    <row r="96" spans="1:1">
      <c r="A96" t="s">
        <v>725</v>
      </c>
    </row>
    <row r="97" spans="1:1">
      <c r="A97" t="s">
        <v>721</v>
      </c>
    </row>
    <row r="98" spans="1:1">
      <c r="A98" t="s">
        <v>758</v>
      </c>
    </row>
    <row r="99" spans="1:1">
      <c r="A99" t="s">
        <v>156</v>
      </c>
    </row>
    <row r="100" spans="1:1">
      <c r="A100" t="s">
        <v>374</v>
      </c>
    </row>
    <row r="101" spans="1:1">
      <c r="A101" t="s">
        <v>417</v>
      </c>
    </row>
    <row r="102" spans="1:1">
      <c r="A102" t="s">
        <v>350</v>
      </c>
    </row>
    <row r="103" spans="1:1">
      <c r="A103" t="s">
        <v>402</v>
      </c>
    </row>
    <row r="104" spans="1:1">
      <c r="A104" t="s">
        <v>253</v>
      </c>
    </row>
    <row r="105" spans="1:1">
      <c r="A105" t="s">
        <v>11</v>
      </c>
    </row>
    <row r="106" spans="1:1">
      <c r="A106" t="s">
        <v>586</v>
      </c>
    </row>
    <row r="107" spans="1:1">
      <c r="A107" t="s">
        <v>472</v>
      </c>
    </row>
    <row r="108" spans="1:1">
      <c r="A108" t="s">
        <v>14</v>
      </c>
    </row>
    <row r="109" spans="1:1">
      <c r="A109" t="s">
        <v>298</v>
      </c>
    </row>
    <row r="110" spans="1:1">
      <c r="A110" t="s">
        <v>458</v>
      </c>
    </row>
    <row r="111" spans="1:1">
      <c r="A111" t="s">
        <v>172</v>
      </c>
    </row>
    <row r="112" spans="1:1">
      <c r="A112" t="s">
        <v>113</v>
      </c>
    </row>
    <row r="113" spans="1:1">
      <c r="A113" t="s">
        <v>271</v>
      </c>
    </row>
    <row r="114" spans="1:1">
      <c r="A114" t="s">
        <v>13</v>
      </c>
    </row>
    <row r="115" spans="1:1">
      <c r="A115" t="s">
        <v>24</v>
      </c>
    </row>
    <row r="116" spans="1:1">
      <c r="A116" t="s">
        <v>497</v>
      </c>
    </row>
    <row r="117" spans="1:1">
      <c r="A117" t="s">
        <v>688</v>
      </c>
    </row>
    <row r="118" spans="1:1">
      <c r="A118" t="s">
        <v>689</v>
      </c>
    </row>
    <row r="119" spans="1:1">
      <c r="A119" t="s">
        <v>687</v>
      </c>
    </row>
    <row r="120" spans="1:1">
      <c r="A120" t="s">
        <v>513</v>
      </c>
    </row>
    <row r="121" spans="1:1">
      <c r="A121" t="s">
        <v>454</v>
      </c>
    </row>
    <row r="122" spans="1:1">
      <c r="A122" t="s">
        <v>690</v>
      </c>
    </row>
    <row r="123" spans="1:1">
      <c r="A123" t="s">
        <v>304</v>
      </c>
    </row>
    <row r="124" spans="1:1">
      <c r="A124" t="s">
        <v>303</v>
      </c>
    </row>
    <row r="125" spans="1:1">
      <c r="A125" t="s">
        <v>375</v>
      </c>
    </row>
    <row r="126" spans="1:1">
      <c r="A126" t="s">
        <v>261</v>
      </c>
    </row>
    <row r="127" spans="1:1">
      <c r="A127" t="s">
        <v>724</v>
      </c>
    </row>
    <row r="128" spans="1:1">
      <c r="A128" t="s">
        <v>328</v>
      </c>
    </row>
    <row r="129" spans="1:1">
      <c r="A129" t="s">
        <v>426</v>
      </c>
    </row>
    <row r="130" spans="1:1">
      <c r="A130" t="s">
        <v>164</v>
      </c>
    </row>
    <row r="131" spans="1:1">
      <c r="A131" t="s">
        <v>21</v>
      </c>
    </row>
    <row r="132" spans="1:1">
      <c r="A132" t="s">
        <v>492</v>
      </c>
    </row>
    <row r="133" spans="1:1">
      <c r="A133" t="s">
        <v>202</v>
      </c>
    </row>
    <row r="134" spans="1:1">
      <c r="A134" t="s">
        <v>393</v>
      </c>
    </row>
    <row r="135" spans="1:1">
      <c r="A135" t="s">
        <v>208</v>
      </c>
    </row>
    <row r="136" spans="1:1">
      <c r="A136" t="s">
        <v>290</v>
      </c>
    </row>
    <row r="137" spans="1:1">
      <c r="A137" t="s">
        <v>19</v>
      </c>
    </row>
    <row r="138" spans="1:1">
      <c r="A138" t="s">
        <v>500</v>
      </c>
    </row>
    <row r="139" spans="1:1">
      <c r="A139" t="s">
        <v>567</v>
      </c>
    </row>
    <row r="140" spans="1:1">
      <c r="A140" t="s">
        <v>127</v>
      </c>
    </row>
    <row r="141" spans="1:1">
      <c r="A141" t="s">
        <v>413</v>
      </c>
    </row>
    <row r="142" spans="1:1">
      <c r="A142" t="s">
        <v>410</v>
      </c>
    </row>
    <row r="143" spans="1:1">
      <c r="A143" t="s">
        <v>572</v>
      </c>
    </row>
    <row r="144" spans="1:1">
      <c r="A144" t="s">
        <v>173</v>
      </c>
    </row>
    <row r="145" spans="1:1">
      <c r="A145" t="s">
        <v>561</v>
      </c>
    </row>
    <row r="146" spans="1:1">
      <c r="A146" t="s">
        <v>509</v>
      </c>
    </row>
    <row r="147" spans="1:1">
      <c r="A147" t="s">
        <v>323</v>
      </c>
    </row>
    <row r="148" spans="1:1">
      <c r="A148" t="s">
        <v>488</v>
      </c>
    </row>
    <row r="149" spans="1:1">
      <c r="A149" t="s">
        <v>195</v>
      </c>
    </row>
    <row r="150" spans="1:1">
      <c r="A150" t="s">
        <v>332</v>
      </c>
    </row>
    <row r="151" spans="1:1">
      <c r="A151" t="s">
        <v>510</v>
      </c>
    </row>
    <row r="152" spans="1:1">
      <c r="A152" t="s">
        <v>531</v>
      </c>
    </row>
    <row r="153" spans="1:1">
      <c r="A153" t="s">
        <v>613</v>
      </c>
    </row>
    <row r="154" spans="1:1">
      <c r="A154" t="s">
        <v>181</v>
      </c>
    </row>
    <row r="155" spans="1:1">
      <c r="A155" t="s">
        <v>112</v>
      </c>
    </row>
    <row r="156" spans="1:1">
      <c r="A156" t="s">
        <v>72</v>
      </c>
    </row>
    <row r="157" spans="1:1">
      <c r="A157" t="s">
        <v>548</v>
      </c>
    </row>
    <row r="158" spans="1:1">
      <c r="A158" t="s">
        <v>283</v>
      </c>
    </row>
    <row r="159" spans="1:1">
      <c r="A159" t="s">
        <v>359</v>
      </c>
    </row>
    <row r="160" spans="1:1">
      <c r="A160" t="s">
        <v>478</v>
      </c>
    </row>
    <row r="161" spans="1:1">
      <c r="A161" t="s">
        <v>9</v>
      </c>
    </row>
    <row r="162" spans="1:1">
      <c r="A162" t="s">
        <v>144</v>
      </c>
    </row>
    <row r="163" spans="1:1">
      <c r="A163" t="s">
        <v>96</v>
      </c>
    </row>
    <row r="164" spans="1:1">
      <c r="A164" t="s">
        <v>434</v>
      </c>
    </row>
    <row r="165" spans="1:1">
      <c r="A165" t="s">
        <v>234</v>
      </c>
    </row>
    <row r="166" spans="1:1">
      <c r="A166" t="s">
        <v>668</v>
      </c>
    </row>
    <row r="167" spans="1:1">
      <c r="A167" t="s">
        <v>563</v>
      </c>
    </row>
    <row r="168" spans="1:1">
      <c r="A168" t="s">
        <v>163</v>
      </c>
    </row>
    <row r="169" spans="1:1">
      <c r="A169" t="s">
        <v>210</v>
      </c>
    </row>
    <row r="170" spans="1:1">
      <c r="A170" t="s">
        <v>408</v>
      </c>
    </row>
    <row r="171" spans="1:1">
      <c r="A171" t="s">
        <v>168</v>
      </c>
    </row>
    <row r="172" spans="1:1">
      <c r="A172" t="s">
        <v>230</v>
      </c>
    </row>
    <row r="173" spans="1:1">
      <c r="A173" t="s">
        <v>152</v>
      </c>
    </row>
    <row r="174" spans="1:1">
      <c r="A174" t="s">
        <v>612</v>
      </c>
    </row>
    <row r="175" spans="1:1">
      <c r="A175" t="s">
        <v>659</v>
      </c>
    </row>
    <row r="176" spans="1:1">
      <c r="A176" t="s">
        <v>121</v>
      </c>
    </row>
    <row r="177" spans="1:1">
      <c r="A177" t="s">
        <v>255</v>
      </c>
    </row>
    <row r="178" spans="1:1">
      <c r="A178" t="s">
        <v>474</v>
      </c>
    </row>
    <row r="179" spans="1:1">
      <c r="A179" t="s">
        <v>65</v>
      </c>
    </row>
    <row r="180" spans="1:1">
      <c r="A180" t="s">
        <v>245</v>
      </c>
    </row>
    <row r="181" spans="1:1">
      <c r="A181" t="s">
        <v>75</v>
      </c>
    </row>
    <row r="182" spans="1:1">
      <c r="A182" t="s">
        <v>64</v>
      </c>
    </row>
    <row r="183" spans="1:1">
      <c r="A183" t="s">
        <v>589</v>
      </c>
    </row>
    <row r="184" spans="1:1">
      <c r="A184" t="s">
        <v>119</v>
      </c>
    </row>
    <row r="185" spans="1:1">
      <c r="A185" t="s">
        <v>199</v>
      </c>
    </row>
    <row r="186" spans="1:1">
      <c r="A186" t="s">
        <v>252</v>
      </c>
    </row>
    <row r="187" spans="1:1">
      <c r="A187" t="s">
        <v>266</v>
      </c>
    </row>
    <row r="188" spans="1:1">
      <c r="A188" t="s">
        <v>537</v>
      </c>
    </row>
    <row r="189" spans="1:1">
      <c r="A189" t="s">
        <v>259</v>
      </c>
    </row>
    <row r="190" spans="1:1">
      <c r="A190" t="s">
        <v>371</v>
      </c>
    </row>
    <row r="191" spans="1:1">
      <c r="A191" t="s">
        <v>506</v>
      </c>
    </row>
    <row r="192" spans="1:1">
      <c r="A192" t="s">
        <v>550</v>
      </c>
    </row>
    <row r="193" spans="1:1">
      <c r="A193" t="s">
        <v>266</v>
      </c>
    </row>
    <row r="194" spans="1:1">
      <c r="A194" t="s">
        <v>537</v>
      </c>
    </row>
    <row r="195" spans="1:1">
      <c r="A195" t="s">
        <v>259</v>
      </c>
    </row>
    <row r="196" spans="1:1">
      <c r="A196" t="s">
        <v>371</v>
      </c>
    </row>
    <row r="197" spans="1:1">
      <c r="A197" t="s">
        <v>506</v>
      </c>
    </row>
    <row r="198" spans="1:1">
      <c r="A198" t="s">
        <v>550</v>
      </c>
    </row>
    <row r="199" spans="1:1">
      <c r="A199" t="s">
        <v>371</v>
      </c>
    </row>
    <row r="200" spans="1:1">
      <c r="A200" t="s">
        <v>506</v>
      </c>
    </row>
    <row r="201" spans="1:1">
      <c r="A201" t="s">
        <v>550</v>
      </c>
    </row>
    <row r="202" spans="1:1">
      <c r="A202" t="s">
        <v>550</v>
      </c>
    </row>
    <row r="203" spans="1:1">
      <c r="A203" t="s">
        <v>152</v>
      </c>
    </row>
    <row r="204" spans="1:1">
      <c r="A204" t="s">
        <v>249</v>
      </c>
    </row>
    <row r="205" spans="1:1">
      <c r="A205" t="s">
        <v>612</v>
      </c>
    </row>
    <row r="206" spans="1:1">
      <c r="A206" t="s">
        <v>673</v>
      </c>
    </row>
    <row r="207" spans="1:1">
      <c r="A207" t="s">
        <v>659</v>
      </c>
    </row>
    <row r="208" spans="1:1">
      <c r="A208" t="s">
        <v>121</v>
      </c>
    </row>
    <row r="209" spans="1:1">
      <c r="A209" t="s">
        <v>255</v>
      </c>
    </row>
    <row r="210" spans="1:1">
      <c r="A210" t="s">
        <v>474</v>
      </c>
    </row>
    <row r="211" spans="1:1">
      <c r="A211" t="s">
        <v>672</v>
      </c>
    </row>
    <row r="212" spans="1:1">
      <c r="A212" t="s">
        <v>65</v>
      </c>
    </row>
    <row r="213" spans="1:1">
      <c r="A213" t="s">
        <v>209</v>
      </c>
    </row>
    <row r="214" spans="1:1">
      <c r="A214" t="s">
        <v>245</v>
      </c>
    </row>
    <row r="215" spans="1:1">
      <c r="A215" t="s">
        <v>75</v>
      </c>
    </row>
    <row r="216" spans="1:1">
      <c r="A216" t="s">
        <v>64</v>
      </c>
    </row>
    <row r="217" spans="1:1">
      <c r="A217" t="s">
        <v>589</v>
      </c>
    </row>
    <row r="218" spans="1:1">
      <c r="A218" t="s">
        <v>119</v>
      </c>
    </row>
    <row r="219" spans="1:1">
      <c r="A219" t="s">
        <v>199</v>
      </c>
    </row>
    <row r="220" spans="1:1">
      <c r="A220" t="s">
        <v>252</v>
      </c>
    </row>
    <row r="221" spans="1:1">
      <c r="A221" t="s">
        <v>266</v>
      </c>
    </row>
    <row r="222" spans="1:1">
      <c r="A222" t="s">
        <v>537</v>
      </c>
    </row>
    <row r="223" spans="1:1">
      <c r="A223" t="s">
        <v>259</v>
      </c>
    </row>
    <row r="224" spans="1:1">
      <c r="A224" t="s">
        <v>371</v>
      </c>
    </row>
    <row r="225" spans="1:1">
      <c r="A225" t="s">
        <v>506</v>
      </c>
    </row>
    <row r="226" spans="1:1">
      <c r="A226" t="s">
        <v>550</v>
      </c>
    </row>
    <row r="227" spans="1:1">
      <c r="A227" t="s">
        <v>75</v>
      </c>
    </row>
    <row r="228" spans="1:1">
      <c r="A228" t="s">
        <v>64</v>
      </c>
    </row>
    <row r="229" spans="1:1">
      <c r="A229" t="s">
        <v>589</v>
      </c>
    </row>
    <row r="230" spans="1:1">
      <c r="A230" t="s">
        <v>119</v>
      </c>
    </row>
    <row r="231" spans="1:1">
      <c r="A231" t="s">
        <v>199</v>
      </c>
    </row>
    <row r="232" spans="1:1">
      <c r="A232" t="s">
        <v>252</v>
      </c>
    </row>
    <row r="233" spans="1:1">
      <c r="A233" t="s">
        <v>266</v>
      </c>
    </row>
    <row r="234" spans="1:1">
      <c r="A234" t="s">
        <v>537</v>
      </c>
    </row>
    <row r="235" spans="1:1">
      <c r="A235" t="s">
        <v>259</v>
      </c>
    </row>
    <row r="236" spans="1:1">
      <c r="A236" t="s">
        <v>371</v>
      </c>
    </row>
    <row r="237" spans="1:1">
      <c r="A237" t="s">
        <v>506</v>
      </c>
    </row>
    <row r="238" spans="1:1">
      <c r="A238" t="s">
        <v>550</v>
      </c>
    </row>
    <row r="239" spans="1:1">
      <c r="A239" t="s">
        <v>550</v>
      </c>
    </row>
    <row r="240" spans="1:1">
      <c r="A240" t="s">
        <v>259</v>
      </c>
    </row>
    <row r="241" spans="1:1">
      <c r="A241" t="s">
        <v>371</v>
      </c>
    </row>
    <row r="242" spans="1:1">
      <c r="A242" t="s">
        <v>506</v>
      </c>
    </row>
    <row r="243" spans="1:1">
      <c r="A243" t="s">
        <v>550</v>
      </c>
    </row>
    <row r="244" spans="1:1">
      <c r="A244" t="s">
        <v>656</v>
      </c>
    </row>
    <row r="245" spans="1:1">
      <c r="A245" t="s">
        <v>259</v>
      </c>
    </row>
    <row r="246" spans="1:1">
      <c r="A246" t="s">
        <v>371</v>
      </c>
    </row>
    <row r="247" spans="1:1">
      <c r="A247" t="s">
        <v>506</v>
      </c>
    </row>
    <row r="248" spans="1:1">
      <c r="A248" t="s">
        <v>550</v>
      </c>
    </row>
    <row r="249" spans="1:1">
      <c r="A249" t="s">
        <v>550</v>
      </c>
    </row>
    <row r="250" spans="1:1">
      <c r="A250" t="s">
        <v>550</v>
      </c>
    </row>
    <row r="251" spans="1:1">
      <c r="A251" t="s">
        <v>18</v>
      </c>
    </row>
    <row r="252" spans="1:1">
      <c r="A252" t="s">
        <v>123</v>
      </c>
    </row>
    <row r="253" spans="1:1">
      <c r="A253" t="s">
        <v>138</v>
      </c>
    </row>
    <row r="254" spans="1:1">
      <c r="A254" t="s">
        <v>158</v>
      </c>
    </row>
    <row r="255" spans="1:1">
      <c r="A255" t="s">
        <v>176</v>
      </c>
    </row>
    <row r="256" spans="1:1">
      <c r="A256" t="s">
        <v>301</v>
      </c>
    </row>
    <row r="257" spans="1:1">
      <c r="A257" t="s">
        <v>495</v>
      </c>
    </row>
    <row r="258" spans="1:1">
      <c r="A258" t="s">
        <v>517</v>
      </c>
    </row>
    <row r="259" spans="1:1">
      <c r="A259" t="s">
        <v>25</v>
      </c>
    </row>
    <row r="260" spans="1:1">
      <c r="A260" t="s">
        <v>37</v>
      </c>
    </row>
    <row r="261" spans="1:1">
      <c r="A261" t="s">
        <v>57</v>
      </c>
    </row>
    <row r="262" spans="1:1">
      <c r="A262" t="s">
        <v>80</v>
      </c>
    </row>
    <row r="263" spans="1:1">
      <c r="A263" t="s">
        <v>184</v>
      </c>
    </row>
    <row r="264" spans="1:1">
      <c r="A264" t="s">
        <v>203</v>
      </c>
    </row>
    <row r="265" spans="1:1">
      <c r="A265" t="s">
        <v>217</v>
      </c>
    </row>
    <row r="266" spans="1:1">
      <c r="A266" t="s">
        <v>236</v>
      </c>
    </row>
    <row r="267" spans="1:1">
      <c r="A267" t="s">
        <v>370</v>
      </c>
    </row>
    <row r="268" spans="1:1">
      <c r="A268" t="s">
        <v>569</v>
      </c>
    </row>
    <row r="269" spans="1:1">
      <c r="A269" t="s">
        <v>584</v>
      </c>
    </row>
    <row r="270" spans="1:1">
      <c r="A270" t="s">
        <v>156</v>
      </c>
    </row>
    <row r="271" spans="1:1">
      <c r="A271" t="s">
        <v>374</v>
      </c>
    </row>
    <row r="272" spans="1:1">
      <c r="A272" t="s">
        <v>417</v>
      </c>
    </row>
    <row r="273" spans="1:1">
      <c r="A273" t="s">
        <v>7</v>
      </c>
    </row>
    <row r="274" spans="1:1">
      <c r="A274" t="s">
        <v>402</v>
      </c>
    </row>
    <row r="275" spans="1:1">
      <c r="A275" t="s">
        <v>233</v>
      </c>
    </row>
    <row r="276" spans="1:1">
      <c r="A276" t="s">
        <v>253</v>
      </c>
    </row>
    <row r="277" spans="1:1">
      <c r="A277" t="s">
        <v>11</v>
      </c>
    </row>
    <row r="278" spans="1:1">
      <c r="A278" t="s">
        <v>586</v>
      </c>
    </row>
    <row r="279" spans="1:1">
      <c r="A279" t="s">
        <v>472</v>
      </c>
    </row>
    <row r="280" spans="1:1">
      <c r="A280" t="s">
        <v>14</v>
      </c>
    </row>
    <row r="281" spans="1:1">
      <c r="A281" t="s">
        <v>298</v>
      </c>
    </row>
    <row r="282" spans="1:1">
      <c r="A282" t="s">
        <v>458</v>
      </c>
    </row>
    <row r="283" spans="1:1">
      <c r="A283" t="s">
        <v>172</v>
      </c>
    </row>
    <row r="284" spans="1:1">
      <c r="A284" t="s">
        <v>113</v>
      </c>
    </row>
    <row r="285" spans="1:1">
      <c r="A285" t="s">
        <v>271</v>
      </c>
    </row>
    <row r="286" spans="1:1">
      <c r="A286" t="s">
        <v>13</v>
      </c>
    </row>
    <row r="287" spans="1:1">
      <c r="A287" t="s">
        <v>282</v>
      </c>
    </row>
    <row r="288" spans="1:1">
      <c r="A288" t="s">
        <v>512</v>
      </c>
    </row>
    <row r="289" spans="1:1">
      <c r="A289" t="s">
        <v>497</v>
      </c>
    </row>
    <row r="290" spans="1:1">
      <c r="A290" t="s">
        <v>321</v>
      </c>
    </row>
    <row r="291" spans="1:1">
      <c r="A291" t="s">
        <v>219</v>
      </c>
    </row>
    <row r="292" spans="1:1">
      <c r="A292" t="s">
        <v>132</v>
      </c>
    </row>
    <row r="293" spans="1:1">
      <c r="A293" t="s">
        <v>291</v>
      </c>
    </row>
    <row r="294" spans="1:1">
      <c r="A294" t="s">
        <v>331</v>
      </c>
    </row>
    <row r="295" spans="1:1">
      <c r="A295" t="s">
        <v>303</v>
      </c>
    </row>
    <row r="296" spans="1:1">
      <c r="A296" t="s">
        <v>375</v>
      </c>
    </row>
    <row r="297" spans="1:1">
      <c r="A297" t="s">
        <v>261</v>
      </c>
    </row>
    <row r="298" spans="1:1">
      <c r="A298" t="s">
        <v>479</v>
      </c>
    </row>
    <row r="299" spans="1:1">
      <c r="A299" t="s">
        <v>164</v>
      </c>
    </row>
    <row r="300" spans="1:1">
      <c r="A300" t="s">
        <v>332</v>
      </c>
    </row>
    <row r="301" spans="1:1">
      <c r="A301" t="s">
        <v>349</v>
      </c>
    </row>
    <row r="302" spans="1:1">
      <c r="A302" t="s">
        <v>167</v>
      </c>
    </row>
    <row r="303" spans="1:1">
      <c r="A303" t="s">
        <v>180</v>
      </c>
    </row>
    <row r="304" spans="1:1">
      <c r="A304" t="s">
        <v>308</v>
      </c>
    </row>
    <row r="305" spans="1:1">
      <c r="A305" t="s">
        <v>327</v>
      </c>
    </row>
    <row r="306" spans="1:1">
      <c r="A306" t="s">
        <v>339</v>
      </c>
    </row>
    <row r="307" spans="1:1">
      <c r="A307" t="s">
        <v>356</v>
      </c>
    </row>
    <row r="308" spans="1:1">
      <c r="A308" t="s">
        <v>467</v>
      </c>
    </row>
    <row r="309" spans="1:1">
      <c r="A309" t="s">
        <v>476</v>
      </c>
    </row>
    <row r="310" spans="1:1">
      <c r="A310" t="s">
        <v>489</v>
      </c>
    </row>
    <row r="311" spans="1:1">
      <c r="A311" t="s">
        <v>188</v>
      </c>
    </row>
    <row r="312" spans="1:1">
      <c r="A312" t="s">
        <v>207</v>
      </c>
    </row>
    <row r="313" spans="1:1">
      <c r="A313" t="s">
        <v>222</v>
      </c>
    </row>
    <row r="314" spans="1:1">
      <c r="A314" t="s">
        <v>243</v>
      </c>
    </row>
    <row r="315" spans="1:1">
      <c r="A315" t="s">
        <v>365</v>
      </c>
    </row>
    <row r="316" spans="1:1">
      <c r="A316" t="s">
        <v>72</v>
      </c>
    </row>
    <row r="317" spans="1:1">
      <c r="A317" t="s">
        <v>548</v>
      </c>
    </row>
    <row r="318" spans="1:1">
      <c r="A318" t="s">
        <v>592</v>
      </c>
    </row>
    <row r="319" spans="1:1">
      <c r="A319" t="s">
        <v>478</v>
      </c>
    </row>
    <row r="320" spans="1:1">
      <c r="A320" t="s">
        <v>9</v>
      </c>
    </row>
    <row r="321" spans="1:1">
      <c r="A321" t="s">
        <v>239</v>
      </c>
    </row>
    <row r="322" spans="1:1">
      <c r="A322" t="s">
        <v>144</v>
      </c>
    </row>
    <row r="323" spans="1:1">
      <c r="A323" t="s">
        <v>434</v>
      </c>
    </row>
    <row r="324" spans="1:1">
      <c r="A324" t="s">
        <v>234</v>
      </c>
    </row>
    <row r="325" spans="1:1">
      <c r="A325" t="s">
        <v>163</v>
      </c>
    </row>
    <row r="326" spans="1:1">
      <c r="A326" t="s">
        <v>210</v>
      </c>
    </row>
    <row r="327" spans="1:1">
      <c r="A327" t="s">
        <v>483</v>
      </c>
    </row>
    <row r="328" spans="1:1">
      <c r="A328" t="s">
        <v>408</v>
      </c>
    </row>
    <row r="329" spans="1:1">
      <c r="A329" t="s">
        <v>168</v>
      </c>
    </row>
    <row r="330" spans="1:1">
      <c r="A330" t="s">
        <v>230</v>
      </c>
    </row>
    <row r="331" spans="1:1">
      <c r="A331" t="s">
        <v>152</v>
      </c>
    </row>
    <row r="332" spans="1:1">
      <c r="A332" t="s">
        <v>249</v>
      </c>
    </row>
    <row r="333" spans="1:1">
      <c r="A333" t="s">
        <v>151</v>
      </c>
    </row>
    <row r="334" spans="1:1">
      <c r="A334" t="s">
        <v>65</v>
      </c>
    </row>
    <row r="335" spans="1:1">
      <c r="A335" t="s">
        <v>440</v>
      </c>
    </row>
    <row r="336" spans="1:1">
      <c r="A336" t="s">
        <v>75</v>
      </c>
    </row>
    <row r="337" spans="1:1">
      <c r="A337" t="s">
        <v>64</v>
      </c>
    </row>
    <row r="338" spans="1:1">
      <c r="A338" t="s">
        <v>589</v>
      </c>
    </row>
    <row r="339" spans="1:1">
      <c r="A339" t="s">
        <v>119</v>
      </c>
    </row>
    <row r="340" spans="1:1">
      <c r="A340" t="s">
        <v>199</v>
      </c>
    </row>
    <row r="341" spans="1:1">
      <c r="A341" t="s">
        <v>323</v>
      </c>
    </row>
    <row r="342" spans="1:1">
      <c r="A342" t="s">
        <v>488</v>
      </c>
    </row>
    <row r="343" spans="1:1">
      <c r="A343" t="s">
        <v>195</v>
      </c>
    </row>
    <row r="344" spans="1:1">
      <c r="A344" t="s">
        <v>332</v>
      </c>
    </row>
    <row r="345" spans="1:1">
      <c r="A345" t="s">
        <v>510</v>
      </c>
    </row>
    <row r="346" spans="1:1">
      <c r="A346" t="s">
        <v>349</v>
      </c>
    </row>
    <row r="347" spans="1:1">
      <c r="A347" t="s">
        <v>181</v>
      </c>
    </row>
    <row r="348" spans="1:1">
      <c r="A348" t="s">
        <v>112</v>
      </c>
    </row>
    <row r="349" spans="1:1">
      <c r="A349" t="s">
        <v>167</v>
      </c>
    </row>
    <row r="350" spans="1:1">
      <c r="A350" t="s">
        <v>180</v>
      </c>
    </row>
    <row r="351" spans="1:1">
      <c r="A351" t="s">
        <v>308</v>
      </c>
    </row>
    <row r="352" spans="1:1">
      <c r="A352" t="s">
        <v>327</v>
      </c>
    </row>
    <row r="353" spans="1:1">
      <c r="A353" t="s">
        <v>339</v>
      </c>
    </row>
    <row r="354" spans="1:1">
      <c r="A354" t="s">
        <v>356</v>
      </c>
    </row>
    <row r="355" spans="1:1">
      <c r="A355" t="s">
        <v>467</v>
      </c>
    </row>
    <row r="356" spans="1:1">
      <c r="A356" t="s">
        <v>476</v>
      </c>
    </row>
    <row r="357" spans="1:1">
      <c r="A357" t="s">
        <v>489</v>
      </c>
    </row>
    <row r="358" spans="1:1">
      <c r="A358" t="s">
        <v>188</v>
      </c>
    </row>
    <row r="359" spans="1:1">
      <c r="A359" t="s">
        <v>207</v>
      </c>
    </row>
    <row r="360" spans="1:1">
      <c r="A360" t="s">
        <v>222</v>
      </c>
    </row>
    <row r="361" spans="1:1">
      <c r="A361" t="s">
        <v>243</v>
      </c>
    </row>
    <row r="362" spans="1:1">
      <c r="A362" t="s">
        <v>365</v>
      </c>
    </row>
    <row r="363" spans="1:1">
      <c r="A363" t="s">
        <v>72</v>
      </c>
    </row>
    <row r="364" spans="1:1">
      <c r="A364" t="s">
        <v>548</v>
      </c>
    </row>
    <row r="365" spans="1:1">
      <c r="A365" t="s">
        <v>283</v>
      </c>
    </row>
    <row r="366" spans="1:1">
      <c r="A366" t="s">
        <v>478</v>
      </c>
    </row>
    <row r="367" spans="1:1">
      <c r="A367" t="s">
        <v>9</v>
      </c>
    </row>
    <row r="368" spans="1:1">
      <c r="A368" t="s">
        <v>239</v>
      </c>
    </row>
    <row r="369" spans="1:1">
      <c r="A369" t="s">
        <v>144</v>
      </c>
    </row>
    <row r="370" spans="1:1">
      <c r="A370" t="s">
        <v>96</v>
      </c>
    </row>
    <row r="371" spans="1:1">
      <c r="A371" t="s">
        <v>434</v>
      </c>
    </row>
    <row r="372" spans="1:1">
      <c r="A372" t="s">
        <v>563</v>
      </c>
    </row>
    <row r="373" spans="1:1">
      <c r="A373" t="s">
        <v>163</v>
      </c>
    </row>
    <row r="374" spans="1:1">
      <c r="A374" t="s">
        <v>210</v>
      </c>
    </row>
    <row r="375" spans="1:1">
      <c r="A375" t="s">
        <v>483</v>
      </c>
    </row>
    <row r="376" spans="1:1">
      <c r="A376" t="s">
        <v>408</v>
      </c>
    </row>
    <row r="377" spans="1:1">
      <c r="A377" t="s">
        <v>168</v>
      </c>
    </row>
    <row r="378" spans="1:1">
      <c r="A378" t="s">
        <v>230</v>
      </c>
    </row>
    <row r="379" spans="1:1">
      <c r="A379" t="s">
        <v>152</v>
      </c>
    </row>
    <row r="380" spans="1:1">
      <c r="A380" t="s">
        <v>121</v>
      </c>
    </row>
    <row r="381" spans="1:1">
      <c r="A381" t="s">
        <v>255</v>
      </c>
    </row>
    <row r="382" spans="1:1">
      <c r="A382" t="s">
        <v>474</v>
      </c>
    </row>
    <row r="383" spans="1:1">
      <c r="A383" t="s">
        <v>65</v>
      </c>
    </row>
    <row r="384" spans="1:1">
      <c r="A384" t="s">
        <v>245</v>
      </c>
    </row>
    <row r="385" spans="1:1">
      <c r="A385" t="s">
        <v>75</v>
      </c>
    </row>
    <row r="386" spans="1:1">
      <c r="A386" t="s">
        <v>64</v>
      </c>
    </row>
    <row r="387" spans="1:1">
      <c r="A387" t="s">
        <v>589</v>
      </c>
    </row>
    <row r="388" spans="1:1">
      <c r="A388" t="s">
        <v>119</v>
      </c>
    </row>
    <row r="389" spans="1:1">
      <c r="A389" t="s">
        <v>199</v>
      </c>
    </row>
    <row r="390" spans="1:1">
      <c r="A390" t="s">
        <v>252</v>
      </c>
    </row>
    <row r="391" spans="1:1">
      <c r="A391" t="s">
        <v>266</v>
      </c>
    </row>
    <row r="392" spans="1:1">
      <c r="A392" t="s">
        <v>537</v>
      </c>
    </row>
    <row r="393" spans="1:1">
      <c r="A393" t="s">
        <v>259</v>
      </c>
    </row>
    <row r="394" spans="1:1">
      <c r="A394" t="s">
        <v>371</v>
      </c>
    </row>
    <row r="395" spans="1:1">
      <c r="A395" t="s">
        <v>506</v>
      </c>
    </row>
    <row r="396" spans="1:1">
      <c r="A396" t="s">
        <v>550</v>
      </c>
    </row>
  </sheetData>
  <sortState xmlns:xlrd2="http://schemas.microsoft.com/office/spreadsheetml/2017/richdata2" ref="A1:A192">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54</vt:i4>
      </vt:variant>
    </vt:vector>
  </HeadingPairs>
  <TitlesOfParts>
    <vt:vector size="62" baseType="lpstr">
      <vt:lpstr>TOC</vt:lpstr>
      <vt:lpstr>TOC_metadata</vt:lpstr>
      <vt:lpstr>Retirees</vt:lpstr>
      <vt:lpstr>Beneficiaries in Pay</vt:lpstr>
      <vt:lpstr>Separated Vested</vt:lpstr>
      <vt:lpstr>Tables</vt:lpstr>
      <vt:lpstr>Actives</vt:lpstr>
      <vt:lpstr>mySort</vt:lpstr>
      <vt:lpstr>Actives!Active</vt:lpstr>
      <vt:lpstr>Active</vt:lpstr>
      <vt:lpstr>Actives!Active_Vesteds</vt:lpstr>
      <vt:lpstr>Active_Vesteds</vt:lpstr>
      <vt:lpstr>AEQ_Rates</vt:lpstr>
      <vt:lpstr>All_Criteria</vt:lpstr>
      <vt:lpstr>Annuity_Criteria</vt:lpstr>
      <vt:lpstr>Annuity_Rates</vt:lpstr>
      <vt:lpstr>AX</vt:lpstr>
      <vt:lpstr>Beneficiaries_in_Pay</vt:lpstr>
      <vt:lpstr>Beneficiary_Criteria</vt:lpstr>
      <vt:lpstr>Benefit_Rate_Table</vt:lpstr>
      <vt:lpstr>BFCF_RATES</vt:lpstr>
      <vt:lpstr>BFCF_Table</vt:lpstr>
      <vt:lpstr>BFCF_Table_2</vt:lpstr>
      <vt:lpstr>BFCF_Table_3</vt:lpstr>
      <vt:lpstr>BRCHANGE</vt:lpstr>
      <vt:lpstr>Covered_Comp_Table</vt:lpstr>
      <vt:lpstr>DOPT</vt:lpstr>
      <vt:lpstr>DOPT_1_Medicare_Benefit</vt:lpstr>
      <vt:lpstr>DOPT_3</vt:lpstr>
      <vt:lpstr>DOPT_Medicare_Benefit</vt:lpstr>
      <vt:lpstr>DY</vt:lpstr>
      <vt:lpstr>Earliest_Payment_Date</vt:lpstr>
      <vt:lpstr>ep</vt:lpstr>
      <vt:lpstr>ERF_Table</vt:lpstr>
      <vt:lpstr>Initial_Annuity_Interest_Rate</vt:lpstr>
      <vt:lpstr>INT_NEW</vt:lpstr>
      <vt:lpstr>Load_Percent</vt:lpstr>
      <vt:lpstr>LRF</vt:lpstr>
      <vt:lpstr>LRF_Table</vt:lpstr>
      <vt:lpstr>LS_Rates</vt:lpstr>
      <vt:lpstr>Medicare_Rates</vt:lpstr>
      <vt:lpstr>Participant_Criteria</vt:lpstr>
      <vt:lpstr>PBGC_BFCF_Table</vt:lpstr>
      <vt:lpstr>PBGC_ERF</vt:lpstr>
      <vt:lpstr>PBGC_LRF</vt:lpstr>
      <vt:lpstr>PBGC_MAX</vt:lpstr>
      <vt:lpstr>PBGC_Option_Rates</vt:lpstr>
      <vt:lpstr>PC6_4022C_AR</vt:lpstr>
      <vt:lpstr>Plan_Date</vt:lpstr>
      <vt:lpstr>Plan_LRF_Table</vt:lpstr>
      <vt:lpstr>Post_Retirement_Interest</vt:lpstr>
      <vt:lpstr>Pre_Retirement_Interest</vt:lpstr>
      <vt:lpstr>Tables!Print_Area</vt:lpstr>
      <vt:lpstr>'Beneficiaries in Pay'!Retirees</vt:lpstr>
      <vt:lpstr>Retirees</vt:lpstr>
      <vt:lpstr>Actives!Separated_Vesteds</vt:lpstr>
      <vt:lpstr>Separated_Vesteds</vt:lpstr>
      <vt:lpstr>SPARR</vt:lpstr>
      <vt:lpstr>Total_4022C</vt:lpstr>
      <vt:lpstr>Total_Title_IV_PV</vt:lpstr>
      <vt:lpstr>Vesting_Table</vt:lpstr>
      <vt:lpstr>Vesting_Table_2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Lopez Herick</dc:creator>
  <cp:lastModifiedBy>Herick Lopez</cp:lastModifiedBy>
  <dcterms:created xsi:type="dcterms:W3CDTF">2019-07-17T20:01:33Z</dcterms:created>
  <dcterms:modified xsi:type="dcterms:W3CDTF">2026-01-22T21:26:09Z</dcterms:modified>
</cp:coreProperties>
</file>