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updateLinks="never" codeName="ThisWorkbook" defaultThemeVersion="124226"/>
  <mc:AlternateContent xmlns:mc="http://schemas.openxmlformats.org/markup-compatibility/2006">
    <mc:Choice Requires="x15">
      <x15ac:absPath xmlns:x15ac="http://schemas.microsoft.com/office/spreadsheetml/2010/11/ac" url="https://pbgcgov-my.sharepoint.com/personal/lopez_herick_pbgc_gov/Documents/Desktop/tests/b1/data/"/>
    </mc:Choice>
  </mc:AlternateContent>
  <xr:revisionPtr revIDLastSave="7" documentId="11_A34C2C24FB71AA8FF6183AEDA789D5C0F0A11974" xr6:coauthVersionLast="47" xr6:coauthVersionMax="47" xr10:uidLastSave="{65E7A985-7127-4319-8242-9FDF1F164D41}"/>
  <bookViews>
    <workbookView xWindow="-120" yWindow="-120" windowWidth="29040" windowHeight="15720" activeTab="2" xr2:uid="{00000000-000D-0000-FFFF-FFFF00000000}"/>
  </bookViews>
  <sheets>
    <sheet name="Separated Vesteds" sheetId="4" r:id="rId1"/>
    <sheet name="Active Vesteds" sheetId="1" r:id="rId2"/>
    <sheet name="Tables" sheetId="2" r:id="rId3"/>
    <sheet name="mySort" sheetId="3" state="hidden" r:id="rId4"/>
  </sheets>
  <externalReferences>
    <externalReference r:id="rId5"/>
  </externalReferences>
  <definedNames>
    <definedName name="Active">'Active Vesteds'!$13:$64</definedName>
    <definedName name="Active_Vesteds">'Active Vesteds'!$13:$1048576</definedName>
    <definedName name="All_Criteria">Tables!$CU$9:$CU$10</definedName>
    <definedName name="Annuity_Criteria">Tables!$CU$3:$CU$4</definedName>
    <definedName name="Annuity_Rates">Tables!$CP$13:$CQ$14</definedName>
    <definedName name="Bene_Amt">Tables!$CS$62:$CV$70</definedName>
    <definedName name="Beneficiary_Criteria">Tables!$CU$21:$CU$22</definedName>
    <definedName name="BFCF_Rates">Tables!$CP$61:$CQ$62</definedName>
    <definedName name="BFCF_Rates1">Tables!$CP$65:$CQ$66</definedName>
    <definedName name="BPD">Tables!$CS$20</definedName>
    <definedName name="DOPT">Tables!$CS$7</definedName>
    <definedName name="DOPT_3">Tables!$CS$11</definedName>
    <definedName name="ERF">Tables!$CP$33:$CQ$33</definedName>
    <definedName name="ERFB">Tables!$CP$30:$CQ$30</definedName>
    <definedName name="Initial_Annuity_Interest_Rate">Tables!$CP$13</definedName>
    <definedName name="Load_Percent">Tables!$CX$13</definedName>
    <definedName name="LRF">Tables!$CP$44:$CQ$44</definedName>
    <definedName name="LRFB">Tables!$CP$36:$CQ$36</definedName>
    <definedName name="LRFTABLE1">Tables!$A$147:$B$327</definedName>
    <definedName name="LRFTABLE2">Tables!$I$147:$J$327</definedName>
    <definedName name="LRFTABLE3">Tables!$R$147:$S$327</definedName>
    <definedName name="LRFTABLE4">Tables!$Z$147:$AA$255</definedName>
    <definedName name="LRFTABLE5">Tables!$AH$147:$AI$327</definedName>
    <definedName name="LS_Rates">Tables!$CP$7:$CQ$10</definedName>
    <definedName name="Participant_Criteria">Tables!$CU$15:$CU$16</definedName>
    <definedName name="PBGC_MAX">Tables!$CS$14</definedName>
    <definedName name="PBGC_Option_Rates">Tables!$CP$26:$CQ$26</definedName>
    <definedName name="PC3_Date">Tables!$CS$17</definedName>
    <definedName name="Plan_Date">Tables!$CP$40</definedName>
    <definedName name="_xlnm.Print_Area" localSheetId="2">Tables!$DB$3:$DJ$53</definedName>
    <definedName name="Separated_Vesteds">'Separated Vesteds'!$13:$1048576</definedName>
    <definedName name="SPARR">Tables!$DE$51</definedName>
    <definedName name="Total_4022C">Tables!$DD$55</definedName>
    <definedName name="Vesting_Table">Tables!$G$4:$H$9</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B6" i="1" l="1"/>
  <c r="JE5" i="1"/>
  <c r="JC5" i="1"/>
  <c r="FQ5" i="1"/>
  <c r="FP5" i="1"/>
  <c r="FO5" i="1"/>
  <c r="FN5" i="1"/>
  <c r="FM5" i="1"/>
  <c r="AB2" i="1"/>
  <c r="FP5" i="4"/>
  <c r="FO5" i="4"/>
  <c r="FN5" i="4"/>
  <c r="FM5" i="4"/>
  <c r="FL5" i="4"/>
  <c r="AM140" i="2"/>
  <c r="AQ2" i="4"/>
  <c r="AM5" i="4"/>
  <c r="AJ5" i="4"/>
  <c r="CS2" i="4"/>
  <c r="CV6" i="4"/>
  <c r="W140" i="2"/>
  <c r="DY5" i="1"/>
  <c r="FI6" i="4"/>
  <c r="IM6" i="1"/>
  <c r="AS2" i="1"/>
  <c r="AO2" i="4"/>
  <c r="BG6" i="1"/>
  <c r="DZ2" i="4"/>
  <c r="S95" i="2"/>
  <c r="CG2" i="1"/>
  <c r="CI2" i="4"/>
  <c r="F140" i="2"/>
  <c r="AL6" i="1"/>
  <c r="CP5" i="4"/>
  <c r="AP6" i="1"/>
  <c r="CN7" i="4"/>
  <c r="DU2" i="1"/>
  <c r="DM8" i="1"/>
  <c r="DM8" i="4"/>
  <c r="DY2" i="1"/>
  <c r="N140" i="2"/>
  <c r="AJ6" i="4"/>
  <c r="DU7" i="4"/>
  <c r="CO7" i="4"/>
  <c r="E5" i="2"/>
  <c r="CP6" i="1"/>
  <c r="S96" i="2"/>
  <c r="CC2" i="1"/>
  <c r="BG7" i="1"/>
  <c r="CS2" i="1"/>
  <c r="AN8" i="4"/>
  <c r="AZ6" i="1"/>
  <c r="CC5" i="4"/>
  <c r="CB2" i="4"/>
  <c r="AS7" i="4"/>
  <c r="CF5" i="4"/>
  <c r="AR6" i="4"/>
  <c r="CO8" i="4"/>
  <c r="CJ2" i="1"/>
  <c r="CQ5" i="1" s="1"/>
  <c r="DR7" i="1"/>
  <c r="CG5" i="1"/>
  <c r="DP8" i="1"/>
  <c r="IK6" i="1"/>
  <c r="AS2" i="4"/>
  <c r="CG7" i="1"/>
  <c r="AP5" i="1"/>
  <c r="AE140" i="2"/>
  <c r="CF2" i="4"/>
  <c r="EA2" i="1"/>
  <c r="IA5" i="4"/>
  <c r="BH5" i="4"/>
  <c r="DX5" i="4"/>
  <c r="AO5" i="1"/>
  <c r="AL5" i="1"/>
  <c r="CY6" i="4"/>
  <c r="DU2" i="4"/>
  <c r="AN6" i="4"/>
  <c r="DX2" i="4"/>
  <c r="AU2" i="1"/>
  <c r="DP6" i="1"/>
  <c r="AU6" i="4"/>
  <c r="CW6" i="4"/>
  <c r="AQ2" i="1"/>
  <c r="DZ2" i="1"/>
  <c r="AP2" i="1"/>
  <c r="AT2" i="1" s="1"/>
  <c r="AV9" i="1" l="1"/>
  <c r="CX7" i="2"/>
  <c r="CX8" i="2" s="1"/>
  <c r="EB5" i="1"/>
  <c r="AL2" i="1"/>
  <c r="AV8" i="1"/>
  <c r="CD6" i="1"/>
  <c r="CH5" i="1"/>
  <c r="AV2" i="1"/>
  <c r="CD5" i="1"/>
  <c r="AV10" i="1"/>
  <c r="EB2" i="1"/>
  <c r="BC2" i="1"/>
  <c r="CG5" i="4"/>
  <c r="AV5" i="1"/>
  <c r="AM2" i="1"/>
  <c r="BB2" i="1"/>
  <c r="EA7" i="1"/>
  <c r="DZ5" i="4"/>
  <c r="EA5" i="1"/>
  <c r="AV6" i="1"/>
  <c r="AZ7" i="1"/>
  <c r="EB6" i="1"/>
  <c r="DZ8" i="4"/>
  <c r="CO5" i="4"/>
  <c r="DZ7" i="4"/>
  <c r="CP5" i="1"/>
  <c r="AC2" i="1" l="1"/>
  <c r="AW5" i="1"/>
  <c r="IJ7" i="1" l="1"/>
  <c r="IG6" i="1"/>
  <c r="AB7" i="1"/>
  <c r="IE2" i="4" l="1"/>
  <c r="IF2" i="4" s="1"/>
  <c r="IF2" i="1"/>
  <c r="IG2" i="1" s="1"/>
  <c r="IW2" i="1" l="1"/>
  <c r="IW5" i="1"/>
  <c r="IV2" i="1"/>
  <c r="IV5" i="1"/>
  <c r="JC2" i="1" l="1"/>
  <c r="JA2" i="1"/>
  <c r="JB2" i="1" s="1"/>
  <c r="JF7" i="1"/>
  <c r="JF5" i="1"/>
  <c r="IZ2" i="1"/>
  <c r="JB8" i="1"/>
  <c r="JC7" i="1"/>
  <c r="JA6" i="1"/>
  <c r="JD2" i="1"/>
  <c r="JB5" i="1"/>
  <c r="JE2" i="1"/>
  <c r="JA5" i="1"/>
  <c r="JG7" i="1"/>
  <c r="JG2" i="1" l="1"/>
  <c r="IV2" i="4"/>
  <c r="IU2" i="4" l="1"/>
  <c r="IU7" i="4"/>
  <c r="IV5" i="4"/>
  <c r="IU5" i="4"/>
  <c r="JE5" i="4" l="1"/>
  <c r="IZ2" i="4"/>
  <c r="IY2" i="4"/>
  <c r="JB5" i="4"/>
  <c r="JD2" i="4"/>
  <c r="IZ5" i="4"/>
  <c r="JA5" i="4"/>
  <c r="JC2" i="4"/>
  <c r="JB2" i="4"/>
  <c r="JA2" i="4"/>
  <c r="IZ6" i="4"/>
  <c r="JA6" i="4"/>
  <c r="JE2" i="4"/>
  <c r="JF2" i="4"/>
  <c r="Z2" i="4"/>
  <c r="Z2" i="1" l="1"/>
  <c r="AB5" i="1"/>
  <c r="AA5" i="1"/>
  <c r="CJ2" i="4"/>
  <c r="DY2" i="4"/>
  <c r="EA9" i="4"/>
  <c r="EA8" i="4"/>
  <c r="EA2" i="4"/>
  <c r="EA5" i="4"/>
  <c r="Z5" i="4" l="1"/>
  <c r="CK2" i="1"/>
  <c r="Z9" i="1" l="1"/>
  <c r="DD56" i="2" l="1"/>
  <c r="AL321" i="2" l="1"/>
  <c r="AL322" i="2"/>
  <c r="AL323" i="2"/>
  <c r="AL324" i="2"/>
  <c r="AM321" i="2"/>
  <c r="AM322" i="2"/>
  <c r="AM323" i="2"/>
  <c r="AM324" i="2"/>
  <c r="AO324" i="2"/>
  <c r="AL320" i="2" l="1"/>
  <c r="AL319" i="2"/>
  <c r="AL318" i="2"/>
  <c r="AL317" i="2"/>
  <c r="AL316" i="2"/>
  <c r="AL315" i="2"/>
  <c r="AL314" i="2"/>
  <c r="AL313" i="2"/>
  <c r="AL312" i="2"/>
  <c r="AL311" i="2"/>
  <c r="AL310" i="2"/>
  <c r="AL309" i="2"/>
  <c r="AL308" i="2"/>
  <c r="AL307" i="2"/>
  <c r="AL306" i="2"/>
  <c r="AL305" i="2"/>
  <c r="AL304" i="2"/>
  <c r="AL303" i="2"/>
  <c r="AL302" i="2"/>
  <c r="AL301" i="2"/>
  <c r="AL300" i="2"/>
  <c r="AL299" i="2"/>
  <c r="AL298" i="2"/>
  <c r="AL297" i="2"/>
  <c r="AL296" i="2"/>
  <c r="AL295" i="2"/>
  <c r="AL294" i="2"/>
  <c r="AL293" i="2"/>
  <c r="AL292" i="2"/>
  <c r="AL291" i="2"/>
  <c r="AL290" i="2"/>
  <c r="AL289" i="2"/>
  <c r="AL288" i="2"/>
  <c r="AL287" i="2"/>
  <c r="AL286" i="2"/>
  <c r="AL285" i="2"/>
  <c r="AL284" i="2"/>
  <c r="AL283" i="2"/>
  <c r="AL282" i="2"/>
  <c r="AL281" i="2"/>
  <c r="AL280" i="2"/>
  <c r="AL279" i="2"/>
  <c r="AL278" i="2"/>
  <c r="AL277" i="2"/>
  <c r="AL276" i="2"/>
  <c r="AL275" i="2"/>
  <c r="AL274" i="2"/>
  <c r="AL273" i="2"/>
  <c r="AL272" i="2"/>
  <c r="AL271" i="2"/>
  <c r="AL270" i="2"/>
  <c r="AL269" i="2"/>
  <c r="AL268" i="2"/>
  <c r="AL267" i="2"/>
  <c r="AL266" i="2"/>
  <c r="AL265" i="2"/>
  <c r="AL264" i="2"/>
  <c r="AL263" i="2"/>
  <c r="AL262" i="2"/>
  <c r="AL261" i="2"/>
  <c r="AL260" i="2"/>
  <c r="AL259" i="2"/>
  <c r="AL258" i="2"/>
  <c r="AL257" i="2"/>
  <c r="AL256" i="2"/>
  <c r="AL255" i="2"/>
  <c r="AL254" i="2"/>
  <c r="AL253" i="2"/>
  <c r="AL252" i="2"/>
  <c r="AL251" i="2"/>
  <c r="AL250" i="2"/>
  <c r="AL249" i="2"/>
  <c r="AL248" i="2"/>
  <c r="AL247" i="2"/>
  <c r="AL246" i="2"/>
  <c r="AL245" i="2"/>
  <c r="AL244" i="2"/>
  <c r="AL243" i="2"/>
  <c r="AL242" i="2"/>
  <c r="AL241" i="2"/>
  <c r="AL240" i="2"/>
  <c r="AL239" i="2"/>
  <c r="AL238" i="2"/>
  <c r="AL237" i="2"/>
  <c r="AL236" i="2"/>
  <c r="AL235" i="2"/>
  <c r="AL234" i="2"/>
  <c r="AL233" i="2"/>
  <c r="AL232" i="2"/>
  <c r="AL231" i="2"/>
  <c r="AL230" i="2"/>
  <c r="AL229" i="2"/>
  <c r="AL228" i="2"/>
  <c r="AL227" i="2"/>
  <c r="AL226" i="2"/>
  <c r="AL225" i="2"/>
  <c r="AL224" i="2"/>
  <c r="AL223" i="2"/>
  <c r="AL222" i="2"/>
  <c r="AL221" i="2"/>
  <c r="AL220" i="2"/>
  <c r="AL219" i="2"/>
  <c r="AL218" i="2"/>
  <c r="AL217" i="2"/>
  <c r="AL216" i="2"/>
  <c r="AL215" i="2"/>
  <c r="AL214" i="2"/>
  <c r="AL213" i="2"/>
  <c r="AL212" i="2"/>
  <c r="AL211" i="2"/>
  <c r="AL210" i="2"/>
  <c r="AL209" i="2"/>
  <c r="AL208" i="2"/>
  <c r="AL207" i="2"/>
  <c r="AL206" i="2"/>
  <c r="AL205" i="2"/>
  <c r="AL204" i="2"/>
  <c r="AL203" i="2"/>
  <c r="AL202" i="2"/>
  <c r="AL201" i="2"/>
  <c r="AL200" i="2"/>
  <c r="AL199" i="2"/>
  <c r="AL198" i="2"/>
  <c r="AL197" i="2"/>
  <c r="AL196" i="2"/>
  <c r="AL195" i="2"/>
  <c r="AL194" i="2"/>
  <c r="AL193" i="2"/>
  <c r="AL192" i="2"/>
  <c r="AL191" i="2"/>
  <c r="AL190" i="2"/>
  <c r="AL189" i="2"/>
  <c r="AL188" i="2"/>
  <c r="AL187" i="2"/>
  <c r="AL186" i="2"/>
  <c r="AL185" i="2"/>
  <c r="AL184" i="2"/>
  <c r="AL183" i="2"/>
  <c r="AL182" i="2"/>
  <c r="AL181" i="2"/>
  <c r="AL180" i="2"/>
  <c r="AL179" i="2"/>
  <c r="AL178" i="2"/>
  <c r="AL177" i="2"/>
  <c r="AL176" i="2"/>
  <c r="AL175" i="2"/>
  <c r="AL174" i="2"/>
  <c r="AL173" i="2"/>
  <c r="AL172" i="2"/>
  <c r="AL171" i="2"/>
  <c r="AL170" i="2"/>
  <c r="AL169" i="2"/>
  <c r="AL168" i="2"/>
  <c r="AL167" i="2"/>
  <c r="AL166" i="2"/>
  <c r="AL165" i="2"/>
  <c r="AL164" i="2"/>
  <c r="AL163" i="2"/>
  <c r="AL162" i="2"/>
  <c r="AL161" i="2"/>
  <c r="AL160" i="2"/>
  <c r="AL159" i="2"/>
  <c r="AL158" i="2"/>
  <c r="AL157" i="2"/>
  <c r="AL156" i="2"/>
  <c r="AL155" i="2"/>
  <c r="AL154" i="2"/>
  <c r="AL153" i="2"/>
  <c r="AL152" i="2"/>
  <c r="AL151" i="2"/>
  <c r="AL150" i="2"/>
  <c r="AL149" i="2"/>
  <c r="AL148" i="2"/>
  <c r="AL147" i="2"/>
  <c r="AL146" i="2"/>
  <c r="AL145" i="2"/>
  <c r="AL144" i="2"/>
  <c r="AL143" i="2"/>
  <c r="AL142" i="2"/>
  <c r="AL141" i="2"/>
  <c r="AD320" i="2"/>
  <c r="AD319" i="2"/>
  <c r="AD318" i="2"/>
  <c r="AD317" i="2"/>
  <c r="AD316" i="2"/>
  <c r="AD315" i="2"/>
  <c r="AD314" i="2"/>
  <c r="AD313" i="2"/>
  <c r="AD312" i="2"/>
  <c r="AD311" i="2"/>
  <c r="AD310" i="2"/>
  <c r="AD309" i="2"/>
  <c r="AD308" i="2"/>
  <c r="AD307" i="2"/>
  <c r="AD306" i="2"/>
  <c r="AD305" i="2"/>
  <c r="AD304" i="2"/>
  <c r="AD303" i="2"/>
  <c r="AD302" i="2"/>
  <c r="AD301" i="2"/>
  <c r="AD300" i="2"/>
  <c r="AD299" i="2"/>
  <c r="AD298" i="2"/>
  <c r="AD297" i="2"/>
  <c r="AD296" i="2"/>
  <c r="AD295" i="2"/>
  <c r="AD294" i="2"/>
  <c r="AD293" i="2"/>
  <c r="AD292" i="2"/>
  <c r="AD291" i="2"/>
  <c r="AD290" i="2"/>
  <c r="AD289" i="2"/>
  <c r="AD288" i="2"/>
  <c r="AD287" i="2"/>
  <c r="AD286" i="2"/>
  <c r="AD285" i="2"/>
  <c r="AD284" i="2"/>
  <c r="AD283" i="2"/>
  <c r="AD282" i="2"/>
  <c r="AD281" i="2"/>
  <c r="AD280" i="2"/>
  <c r="AD279" i="2"/>
  <c r="AD278" i="2"/>
  <c r="AD277" i="2"/>
  <c r="AD276" i="2"/>
  <c r="AD275" i="2"/>
  <c r="AD274" i="2"/>
  <c r="AD273" i="2"/>
  <c r="AD272" i="2"/>
  <c r="AD271" i="2"/>
  <c r="AD270" i="2"/>
  <c r="AD269" i="2"/>
  <c r="AD268" i="2"/>
  <c r="AD267" i="2"/>
  <c r="AD266" i="2"/>
  <c r="AD265" i="2"/>
  <c r="AD264" i="2"/>
  <c r="AD263" i="2"/>
  <c r="AD262" i="2"/>
  <c r="AD261" i="2"/>
  <c r="AD260" i="2"/>
  <c r="AD259" i="2"/>
  <c r="AD258" i="2"/>
  <c r="AD257" i="2"/>
  <c r="AD256" i="2"/>
  <c r="AD255" i="2"/>
  <c r="AD254" i="2"/>
  <c r="AD253" i="2"/>
  <c r="AD252" i="2"/>
  <c r="AD251" i="2"/>
  <c r="AD250" i="2"/>
  <c r="AD249" i="2"/>
  <c r="AD248" i="2"/>
  <c r="AD247" i="2"/>
  <c r="AD246" i="2"/>
  <c r="AD245" i="2"/>
  <c r="AD244" i="2"/>
  <c r="AD243" i="2"/>
  <c r="AD242" i="2"/>
  <c r="AD241" i="2"/>
  <c r="AD240" i="2"/>
  <c r="AD239" i="2"/>
  <c r="AD238" i="2"/>
  <c r="AD237" i="2"/>
  <c r="AD236" i="2"/>
  <c r="AD235" i="2"/>
  <c r="AD234" i="2"/>
  <c r="AD233" i="2"/>
  <c r="AD232" i="2"/>
  <c r="AD231" i="2"/>
  <c r="AD230" i="2"/>
  <c r="AD229" i="2"/>
  <c r="AD228" i="2"/>
  <c r="AD227" i="2"/>
  <c r="AD226" i="2"/>
  <c r="AD225" i="2"/>
  <c r="AD224" i="2"/>
  <c r="AD223" i="2"/>
  <c r="AD222" i="2"/>
  <c r="AD221" i="2"/>
  <c r="AD220" i="2"/>
  <c r="AD219" i="2"/>
  <c r="AD218" i="2"/>
  <c r="AD217" i="2"/>
  <c r="AD216" i="2"/>
  <c r="AD215" i="2"/>
  <c r="AD214" i="2"/>
  <c r="AD213" i="2"/>
  <c r="AD212" i="2"/>
  <c r="AD211" i="2"/>
  <c r="AD210" i="2"/>
  <c r="AD209" i="2"/>
  <c r="AD208" i="2"/>
  <c r="AD207" i="2"/>
  <c r="AD206" i="2"/>
  <c r="AD205" i="2"/>
  <c r="AD204" i="2"/>
  <c r="AD203" i="2"/>
  <c r="AD202" i="2"/>
  <c r="AD201" i="2"/>
  <c r="AD200" i="2"/>
  <c r="AD199" i="2"/>
  <c r="AD198" i="2"/>
  <c r="AD197" i="2"/>
  <c r="AD196" i="2"/>
  <c r="AD195" i="2"/>
  <c r="AD194" i="2"/>
  <c r="AD193" i="2"/>
  <c r="AD192" i="2"/>
  <c r="AD191" i="2"/>
  <c r="AD190" i="2"/>
  <c r="AD189" i="2"/>
  <c r="AD188" i="2"/>
  <c r="AD187" i="2"/>
  <c r="AD186" i="2"/>
  <c r="AD185" i="2"/>
  <c r="AD184" i="2"/>
  <c r="AD183" i="2"/>
  <c r="AD182" i="2"/>
  <c r="AD181" i="2"/>
  <c r="AD180" i="2"/>
  <c r="AD179" i="2"/>
  <c r="AD178" i="2"/>
  <c r="AD177" i="2"/>
  <c r="AD176" i="2"/>
  <c r="AD175" i="2"/>
  <c r="AD174" i="2"/>
  <c r="AD173" i="2"/>
  <c r="AD172" i="2"/>
  <c r="AD171" i="2"/>
  <c r="AD170" i="2"/>
  <c r="AD169" i="2"/>
  <c r="AD168" i="2"/>
  <c r="AD167" i="2"/>
  <c r="AD166" i="2"/>
  <c r="AD165" i="2"/>
  <c r="AD164" i="2"/>
  <c r="AD163" i="2"/>
  <c r="AD162" i="2"/>
  <c r="AD161" i="2"/>
  <c r="AD160" i="2"/>
  <c r="AD159" i="2"/>
  <c r="AD158" i="2"/>
  <c r="AD157" i="2"/>
  <c r="AD156" i="2"/>
  <c r="AD155" i="2"/>
  <c r="AD154" i="2"/>
  <c r="AD153" i="2"/>
  <c r="AD152" i="2"/>
  <c r="AD151" i="2"/>
  <c r="AD150" i="2"/>
  <c r="AD149" i="2"/>
  <c r="AD148" i="2"/>
  <c r="AD147" i="2"/>
  <c r="AD146" i="2"/>
  <c r="AD145" i="2"/>
  <c r="AD144" i="2"/>
  <c r="AD143" i="2"/>
  <c r="AD142" i="2"/>
  <c r="AD141" i="2"/>
  <c r="AM188" i="2"/>
  <c r="AM224" i="2"/>
  <c r="AE164" i="2"/>
  <c r="AE200" i="2"/>
  <c r="AM164" i="2"/>
  <c r="AE236" i="2"/>
  <c r="AM284" i="2"/>
  <c r="AM260" i="2"/>
  <c r="AE320" i="2"/>
  <c r="AM176" i="2"/>
  <c r="AM248" i="2"/>
  <c r="AM296" i="2"/>
  <c r="AE188" i="2"/>
  <c r="AM308" i="2"/>
  <c r="AE284" i="2"/>
  <c r="AE152" i="2"/>
  <c r="AM200" i="2"/>
  <c r="AM320" i="2"/>
  <c r="AE296" i="2"/>
  <c r="AM236" i="2"/>
  <c r="AE212" i="2"/>
  <c r="AM152" i="2"/>
  <c r="AM212" i="2"/>
  <c r="AE248" i="2"/>
  <c r="AE224" i="2"/>
  <c r="AE260" i="2"/>
  <c r="AE176" i="2"/>
  <c r="AE272" i="2"/>
  <c r="AE308" i="2"/>
  <c r="AM272" i="2"/>
  <c r="E320" i="2" l="1"/>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V252" i="2"/>
  <c r="V228" i="2"/>
  <c r="V231" i="2"/>
  <c r="V203" i="2"/>
  <c r="V204" i="2"/>
  <c r="V152" i="2"/>
  <c r="V259" i="2"/>
  <c r="V258" i="2"/>
  <c r="V257" i="2"/>
  <c r="V256" i="2"/>
  <c r="V255" i="2"/>
  <c r="V254" i="2"/>
  <c r="V253" i="2"/>
  <c r="V251" i="2"/>
  <c r="V250" i="2"/>
  <c r="V249" i="2"/>
  <c r="V248" i="2"/>
  <c r="V247" i="2"/>
  <c r="V246" i="2"/>
  <c r="V245" i="2"/>
  <c r="V244" i="2"/>
  <c r="V243" i="2"/>
  <c r="V242" i="2"/>
  <c r="V241" i="2"/>
  <c r="V240" i="2"/>
  <c r="V239" i="2"/>
  <c r="V238" i="2"/>
  <c r="V237" i="2"/>
  <c r="V236" i="2"/>
  <c r="V235" i="2"/>
  <c r="V234" i="2"/>
  <c r="V233" i="2"/>
  <c r="V232" i="2"/>
  <c r="V230" i="2"/>
  <c r="V229" i="2"/>
  <c r="V227" i="2"/>
  <c r="V226" i="2"/>
  <c r="V225" i="2"/>
  <c r="V224" i="2"/>
  <c r="V223" i="2"/>
  <c r="V222" i="2"/>
  <c r="V221" i="2"/>
  <c r="V220" i="2"/>
  <c r="V219" i="2"/>
  <c r="V218" i="2"/>
  <c r="V217" i="2"/>
  <c r="V216" i="2"/>
  <c r="V215" i="2"/>
  <c r="V214" i="2"/>
  <c r="V213" i="2"/>
  <c r="V212" i="2"/>
  <c r="V211" i="2"/>
  <c r="V210" i="2"/>
  <c r="V209" i="2"/>
  <c r="V208" i="2"/>
  <c r="V207" i="2"/>
  <c r="V269" i="2"/>
  <c r="V268" i="2"/>
  <c r="V267" i="2"/>
  <c r="V266" i="2"/>
  <c r="V265" i="2"/>
  <c r="V264" i="2"/>
  <c r="V263" i="2"/>
  <c r="V262" i="2"/>
  <c r="V261" i="2"/>
  <c r="V260" i="2"/>
  <c r="V279" i="2"/>
  <c r="V278" i="2"/>
  <c r="V277" i="2"/>
  <c r="V276" i="2"/>
  <c r="V275" i="2"/>
  <c r="V274" i="2"/>
  <c r="V273" i="2"/>
  <c r="V272" i="2"/>
  <c r="V271" i="2"/>
  <c r="V270" i="2"/>
  <c r="V317" i="2"/>
  <c r="V316" i="2"/>
  <c r="V315" i="2"/>
  <c r="V314" i="2"/>
  <c r="V313" i="2"/>
  <c r="V312" i="2"/>
  <c r="V311" i="2"/>
  <c r="V310" i="2"/>
  <c r="V309" i="2"/>
  <c r="V308" i="2"/>
  <c r="V307" i="2"/>
  <c r="V306" i="2"/>
  <c r="V305" i="2"/>
  <c r="V304" i="2"/>
  <c r="V303" i="2"/>
  <c r="V302" i="2"/>
  <c r="V301" i="2"/>
  <c r="V300" i="2"/>
  <c r="V299" i="2"/>
  <c r="V298" i="2"/>
  <c r="V297" i="2"/>
  <c r="V296" i="2"/>
  <c r="V295" i="2"/>
  <c r="V294" i="2"/>
  <c r="V293" i="2"/>
  <c r="V292" i="2"/>
  <c r="V291" i="2"/>
  <c r="V290" i="2"/>
  <c r="V289" i="2"/>
  <c r="V288" i="2"/>
  <c r="V287" i="2"/>
  <c r="V286" i="2"/>
  <c r="V285" i="2"/>
  <c r="V284" i="2"/>
  <c r="V283" i="2"/>
  <c r="V282" i="2"/>
  <c r="V281" i="2"/>
  <c r="V280" i="2"/>
  <c r="V206" i="2"/>
  <c r="V205" i="2"/>
  <c r="V202" i="2"/>
  <c r="V201" i="2"/>
  <c r="V200" i="2"/>
  <c r="V199" i="2"/>
  <c r="V198" i="2"/>
  <c r="V197" i="2"/>
  <c r="V196" i="2"/>
  <c r="V195" i="2"/>
  <c r="V194" i="2"/>
  <c r="V193" i="2"/>
  <c r="N176" i="2"/>
  <c r="W260" i="2"/>
  <c r="N308" i="2"/>
  <c r="N284" i="2"/>
  <c r="W236" i="2"/>
  <c r="N200" i="2"/>
  <c r="W308" i="2"/>
  <c r="F308" i="2"/>
  <c r="N320" i="2"/>
  <c r="N236" i="2"/>
  <c r="F236" i="2"/>
  <c r="F284" i="2"/>
  <c r="W200" i="2"/>
  <c r="F272" i="2"/>
  <c r="N224" i="2"/>
  <c r="F188" i="2"/>
  <c r="W284" i="2"/>
  <c r="W224" i="2"/>
  <c r="F224" i="2"/>
  <c r="N152" i="2"/>
  <c r="F320" i="2"/>
  <c r="F200" i="2"/>
  <c r="N164" i="2"/>
  <c r="F260" i="2"/>
  <c r="N296" i="2"/>
  <c r="W152" i="2"/>
  <c r="F176" i="2"/>
  <c r="N212" i="2"/>
  <c r="F248" i="2"/>
  <c r="N272" i="2"/>
  <c r="W296" i="2"/>
  <c r="F164" i="2"/>
  <c r="N188" i="2"/>
  <c r="F296" i="2"/>
  <c r="N260" i="2"/>
  <c r="W212" i="2"/>
  <c r="F212" i="2"/>
  <c r="W248" i="2"/>
  <c r="F152" i="2"/>
  <c r="W272" i="2"/>
  <c r="N248" i="2"/>
  <c r="AE229" i="2" l="1"/>
  <c r="AE227" i="2"/>
  <c r="AE235" i="2"/>
  <c r="AE228" i="2"/>
  <c r="AE230" i="2"/>
  <c r="AE225" i="2"/>
  <c r="AE233" i="2"/>
  <c r="AE231" i="2"/>
  <c r="AE232" i="2"/>
  <c r="AE234" i="2"/>
  <c r="AE226" i="2"/>
  <c r="AM234" i="2"/>
  <c r="AM226" i="2"/>
  <c r="AM227" i="2"/>
  <c r="AM232" i="2"/>
  <c r="AM233" i="2"/>
  <c r="AM225" i="2"/>
  <c r="AM230" i="2"/>
  <c r="AM231" i="2"/>
  <c r="AM235" i="2"/>
  <c r="AM228" i="2"/>
  <c r="AM229" i="2"/>
  <c r="AE189" i="2"/>
  <c r="AE197" i="2"/>
  <c r="AE195" i="2"/>
  <c r="AE198" i="2"/>
  <c r="AE190" i="2"/>
  <c r="AE192" i="2"/>
  <c r="AE193" i="2"/>
  <c r="AE191" i="2"/>
  <c r="AE199" i="2"/>
  <c r="AE194" i="2"/>
  <c r="AE196" i="2"/>
  <c r="AM196" i="2"/>
  <c r="AM199" i="2"/>
  <c r="AM191" i="2"/>
  <c r="AM194" i="2"/>
  <c r="AM197" i="2"/>
  <c r="AM189" i="2"/>
  <c r="AM192" i="2"/>
  <c r="AM195" i="2"/>
  <c r="AM198" i="2"/>
  <c r="AM190" i="2"/>
  <c r="AM193" i="2"/>
  <c r="AE253" i="2"/>
  <c r="AE259" i="2"/>
  <c r="AE255" i="2"/>
  <c r="AE258" i="2"/>
  <c r="AE254" i="2"/>
  <c r="AE249" i="2"/>
  <c r="AE251" i="2"/>
  <c r="AE257" i="2"/>
  <c r="AE252" i="2"/>
  <c r="AE256" i="2"/>
  <c r="AE250" i="2"/>
  <c r="AM256" i="2"/>
  <c r="AM249" i="2"/>
  <c r="AM250" i="2"/>
  <c r="AM257" i="2"/>
  <c r="AM251" i="2"/>
  <c r="AM258" i="2"/>
  <c r="AM253" i="2"/>
  <c r="AM254" i="2"/>
  <c r="AM259" i="2"/>
  <c r="AM255" i="2"/>
  <c r="AM252" i="2"/>
  <c r="AE317" i="2"/>
  <c r="AE313" i="2"/>
  <c r="AE309" i="2"/>
  <c r="AE316" i="2"/>
  <c r="AE312" i="2"/>
  <c r="AE319" i="2"/>
  <c r="AE315" i="2"/>
  <c r="AE311" i="2"/>
  <c r="AE318" i="2"/>
  <c r="AE314" i="2"/>
  <c r="AE310" i="2"/>
  <c r="AM317" i="2"/>
  <c r="AM313" i="2"/>
  <c r="AM309" i="2"/>
  <c r="AM316" i="2"/>
  <c r="AM312" i="2"/>
  <c r="AM319" i="2"/>
  <c r="AM315" i="2"/>
  <c r="AM311" i="2"/>
  <c r="AM318" i="2"/>
  <c r="AM314" i="2"/>
  <c r="AM310" i="2"/>
  <c r="AE295" i="2"/>
  <c r="AE291" i="2"/>
  <c r="AE287" i="2"/>
  <c r="AE292" i="2"/>
  <c r="AE288" i="2"/>
  <c r="AE285" i="2"/>
  <c r="AE293" i="2"/>
  <c r="AE289" i="2"/>
  <c r="AE294" i="2"/>
  <c r="AE290" i="2"/>
  <c r="AE286" i="2"/>
  <c r="AM295" i="2"/>
  <c r="AM291" i="2"/>
  <c r="AM287" i="2"/>
  <c r="AM294" i="2"/>
  <c r="AM290" i="2"/>
  <c r="AM286" i="2"/>
  <c r="AM293" i="2"/>
  <c r="AM289" i="2"/>
  <c r="AM285" i="2"/>
  <c r="AM292" i="2"/>
  <c r="AM288" i="2"/>
  <c r="AE147" i="2"/>
  <c r="AE148" i="2"/>
  <c r="AE141" i="2"/>
  <c r="AE146" i="2"/>
  <c r="AE143" i="2"/>
  <c r="AE151" i="2"/>
  <c r="AE145" i="2"/>
  <c r="AE142" i="2"/>
  <c r="AE149" i="2"/>
  <c r="AE144" i="2"/>
  <c r="AE150" i="2"/>
  <c r="AM159" i="2"/>
  <c r="AM154" i="2"/>
  <c r="AM162" i="2"/>
  <c r="AM157" i="2"/>
  <c r="AM156" i="2"/>
  <c r="AM163" i="2"/>
  <c r="AM155" i="2"/>
  <c r="AM158" i="2"/>
  <c r="AM161" i="2"/>
  <c r="AM153" i="2"/>
  <c r="AM160" i="2"/>
  <c r="AE217" i="2"/>
  <c r="AE215" i="2"/>
  <c r="AE223" i="2"/>
  <c r="AE218" i="2"/>
  <c r="AE220" i="2"/>
  <c r="AE213" i="2"/>
  <c r="AE221" i="2"/>
  <c r="AE219" i="2"/>
  <c r="AE222" i="2"/>
  <c r="AE214" i="2"/>
  <c r="AE216" i="2"/>
  <c r="AM216" i="2"/>
  <c r="AM219" i="2"/>
  <c r="AM222" i="2"/>
  <c r="AM214" i="2"/>
  <c r="AM217" i="2"/>
  <c r="AM220" i="2"/>
  <c r="AM223" i="2"/>
  <c r="AM215" i="2"/>
  <c r="AM218" i="2"/>
  <c r="AM221" i="2"/>
  <c r="AM213" i="2"/>
  <c r="AE177" i="2"/>
  <c r="AE185" i="2"/>
  <c r="AE183" i="2"/>
  <c r="AE184" i="2"/>
  <c r="AE186" i="2"/>
  <c r="AE178" i="2"/>
  <c r="AE181" i="2"/>
  <c r="AE179" i="2"/>
  <c r="AE187" i="2"/>
  <c r="AE180" i="2"/>
  <c r="AE182" i="2"/>
  <c r="AM187" i="2"/>
  <c r="AM179" i="2"/>
  <c r="AM182" i="2"/>
  <c r="AM181" i="2"/>
  <c r="AM180" i="2"/>
  <c r="AM186" i="2"/>
  <c r="AM183" i="2"/>
  <c r="AM178" i="2"/>
  <c r="AM185" i="2"/>
  <c r="AM177" i="2"/>
  <c r="AM184" i="2"/>
  <c r="AE241" i="2"/>
  <c r="AE239" i="2"/>
  <c r="AE247" i="2"/>
  <c r="AE242" i="2"/>
  <c r="AE244" i="2"/>
  <c r="AE237" i="2"/>
  <c r="AE245" i="2"/>
  <c r="AE243" i="2"/>
  <c r="AE246" i="2"/>
  <c r="AE238" i="2"/>
  <c r="AE240" i="2"/>
  <c r="AM241" i="2"/>
  <c r="AM244" i="2"/>
  <c r="AM247" i="2"/>
  <c r="AM239" i="2"/>
  <c r="AM242" i="2"/>
  <c r="AM245" i="2"/>
  <c r="AM237" i="2"/>
  <c r="AM240" i="2"/>
  <c r="AM243" i="2"/>
  <c r="AM246" i="2"/>
  <c r="AM238" i="2"/>
  <c r="AE201" i="2"/>
  <c r="AE209" i="2"/>
  <c r="AE207" i="2"/>
  <c r="AE208" i="2"/>
  <c r="AE210" i="2"/>
  <c r="AE202" i="2"/>
  <c r="AE205" i="2"/>
  <c r="AE203" i="2"/>
  <c r="AE211" i="2"/>
  <c r="AE204" i="2"/>
  <c r="AE206" i="2"/>
  <c r="AM210" i="2"/>
  <c r="AM202" i="2"/>
  <c r="AM207" i="2"/>
  <c r="AM208" i="2"/>
  <c r="AM209" i="2"/>
  <c r="AM201" i="2"/>
  <c r="AM206" i="2"/>
  <c r="AM211" i="2"/>
  <c r="AM203" i="2"/>
  <c r="AM204" i="2"/>
  <c r="AM205" i="2"/>
  <c r="AE270" i="2"/>
  <c r="AE266" i="2"/>
  <c r="AE262" i="2"/>
  <c r="AE269" i="2"/>
  <c r="AE265" i="2"/>
  <c r="AE261" i="2"/>
  <c r="AE268" i="2"/>
  <c r="AE264" i="2"/>
  <c r="AE271" i="2"/>
  <c r="AE267" i="2"/>
  <c r="AE263" i="2"/>
  <c r="AM271" i="2"/>
  <c r="AM267" i="2"/>
  <c r="AM263" i="2"/>
  <c r="AM270" i="2"/>
  <c r="AM266" i="2"/>
  <c r="AM262" i="2"/>
  <c r="AM269" i="2"/>
  <c r="AM265" i="2"/>
  <c r="AM261" i="2"/>
  <c r="AM268" i="2"/>
  <c r="AM264" i="2"/>
  <c r="AE283" i="2"/>
  <c r="AE279" i="2"/>
  <c r="AE275" i="2"/>
  <c r="AE282" i="2"/>
  <c r="AE278" i="2"/>
  <c r="AE274" i="2"/>
  <c r="AE281" i="2"/>
  <c r="AE277" i="2"/>
  <c r="AE273" i="2"/>
  <c r="AE280" i="2"/>
  <c r="AE276" i="2"/>
  <c r="AM280" i="2"/>
  <c r="AM276" i="2"/>
  <c r="AM283" i="2"/>
  <c r="AM279" i="2"/>
  <c r="AM275" i="2"/>
  <c r="AM282" i="2"/>
  <c r="AM278" i="2"/>
  <c r="AM274" i="2"/>
  <c r="AM281" i="2"/>
  <c r="AM277" i="2"/>
  <c r="AM273" i="2"/>
  <c r="AE173" i="2"/>
  <c r="AE171" i="2"/>
  <c r="AE174" i="2"/>
  <c r="AE165" i="2"/>
  <c r="AE168" i="2"/>
  <c r="AE169" i="2"/>
  <c r="AE166" i="2"/>
  <c r="AE175" i="2"/>
  <c r="AE170" i="2"/>
  <c r="AE172" i="2"/>
  <c r="AE167" i="2"/>
  <c r="AM146" i="2"/>
  <c r="AM143" i="2"/>
  <c r="AM151" i="2"/>
  <c r="AM145" i="2"/>
  <c r="AM142" i="2"/>
  <c r="AM149" i="2"/>
  <c r="AM144" i="2"/>
  <c r="AM141" i="2"/>
  <c r="AM150" i="2"/>
  <c r="AM148" i="2"/>
  <c r="AM147" i="2"/>
  <c r="AE306" i="2"/>
  <c r="AE302" i="2"/>
  <c r="AE298" i="2"/>
  <c r="AE305" i="2"/>
  <c r="AE301" i="2"/>
  <c r="AE297" i="2"/>
  <c r="AE304" i="2"/>
  <c r="AE300" i="2"/>
  <c r="AE307" i="2"/>
  <c r="AE303" i="2"/>
  <c r="AE299" i="2"/>
  <c r="AM306" i="2"/>
  <c r="AM302" i="2"/>
  <c r="AM298" i="2"/>
  <c r="AM305" i="2"/>
  <c r="AM301" i="2"/>
  <c r="AM297" i="2"/>
  <c r="AM304" i="2"/>
  <c r="AM300" i="2"/>
  <c r="AM307" i="2"/>
  <c r="AM303" i="2"/>
  <c r="AM299" i="2"/>
  <c r="AE158" i="2"/>
  <c r="AE162" i="2"/>
  <c r="AE160" i="2"/>
  <c r="AE157" i="2"/>
  <c r="AE155" i="2"/>
  <c r="AE163" i="2"/>
  <c r="AE156" i="2"/>
  <c r="AE154" i="2"/>
  <c r="AE153" i="2"/>
  <c r="AE161" i="2"/>
  <c r="AE159" i="2"/>
  <c r="AM175" i="2"/>
  <c r="AM167" i="2"/>
  <c r="AM172" i="2"/>
  <c r="AM169" i="2"/>
  <c r="AM166" i="2"/>
  <c r="AM174" i="2"/>
  <c r="AM171" i="2"/>
  <c r="AM168" i="2"/>
  <c r="AM173" i="2"/>
  <c r="AM165" i="2"/>
  <c r="AM170" i="2"/>
  <c r="F150" i="2"/>
  <c r="F151" i="2"/>
  <c r="F149" i="2"/>
  <c r="F147" i="2"/>
  <c r="F146" i="2"/>
  <c r="F145" i="2"/>
  <c r="F144" i="2"/>
  <c r="F148" i="2"/>
  <c r="F143" i="2"/>
  <c r="F142" i="2"/>
  <c r="F141" i="2"/>
  <c r="F319" i="2"/>
  <c r="F318" i="2"/>
  <c r="F317" i="2"/>
  <c r="F316" i="2"/>
  <c r="F315" i="2"/>
  <c r="F314" i="2"/>
  <c r="F313" i="2"/>
  <c r="F312" i="2"/>
  <c r="F311" i="2"/>
  <c r="F310" i="2"/>
  <c r="F309" i="2"/>
  <c r="F307" i="2"/>
  <c r="F306" i="2"/>
  <c r="F305" i="2"/>
  <c r="F304" i="2"/>
  <c r="F303" i="2"/>
  <c r="F302" i="2"/>
  <c r="F301" i="2"/>
  <c r="F300" i="2"/>
  <c r="F299" i="2"/>
  <c r="F298" i="2"/>
  <c r="F297" i="2"/>
  <c r="F295" i="2"/>
  <c r="F294" i="2"/>
  <c r="F293" i="2"/>
  <c r="F292" i="2"/>
  <c r="F291" i="2"/>
  <c r="F290" i="2"/>
  <c r="F289" i="2"/>
  <c r="F288" i="2"/>
  <c r="F287" i="2"/>
  <c r="F286" i="2"/>
  <c r="F285" i="2"/>
  <c r="F283" i="2"/>
  <c r="F282" i="2"/>
  <c r="F281" i="2"/>
  <c r="F280" i="2"/>
  <c r="F279" i="2"/>
  <c r="F278" i="2"/>
  <c r="F277" i="2"/>
  <c r="F276" i="2"/>
  <c r="F275" i="2"/>
  <c r="F274" i="2"/>
  <c r="F273" i="2"/>
  <c r="F271" i="2"/>
  <c r="F270" i="2"/>
  <c r="F269" i="2"/>
  <c r="F268" i="2"/>
  <c r="F267" i="2"/>
  <c r="F266" i="2"/>
  <c r="F265" i="2"/>
  <c r="F264" i="2"/>
  <c r="F263" i="2"/>
  <c r="F262" i="2"/>
  <c r="F261" i="2"/>
  <c r="F259" i="2"/>
  <c r="F258" i="2"/>
  <c r="F257" i="2"/>
  <c r="F256" i="2"/>
  <c r="F255" i="2"/>
  <c r="F253" i="2"/>
  <c r="F251" i="2"/>
  <c r="F249" i="2"/>
  <c r="F247" i="2"/>
  <c r="F245" i="2"/>
  <c r="F243" i="2"/>
  <c r="F241" i="2"/>
  <c r="F239" i="2"/>
  <c r="F237" i="2"/>
  <c r="F235" i="2"/>
  <c r="F254" i="2"/>
  <c r="F252" i="2"/>
  <c r="F250" i="2"/>
  <c r="F246" i="2"/>
  <c r="F244" i="2"/>
  <c r="F242" i="2"/>
  <c r="F240" i="2"/>
  <c r="F238" i="2"/>
  <c r="F234" i="2"/>
  <c r="F232" i="2"/>
  <c r="F230" i="2"/>
  <c r="F228" i="2"/>
  <c r="F226" i="2"/>
  <c r="F222" i="2"/>
  <c r="F220" i="2"/>
  <c r="F218" i="2"/>
  <c r="F216" i="2"/>
  <c r="F214" i="2"/>
  <c r="F210" i="2"/>
  <c r="F208" i="2"/>
  <c r="F206" i="2"/>
  <c r="F204" i="2"/>
  <c r="F202" i="2"/>
  <c r="F198" i="2"/>
  <c r="F196" i="2"/>
  <c r="F194" i="2"/>
  <c r="F192" i="2"/>
  <c r="F190" i="2"/>
  <c r="F186" i="2"/>
  <c r="F184" i="2"/>
  <c r="F182" i="2"/>
  <c r="F180" i="2"/>
  <c r="F178" i="2"/>
  <c r="F174" i="2"/>
  <c r="F172" i="2"/>
  <c r="F170" i="2"/>
  <c r="F168" i="2"/>
  <c r="F166" i="2"/>
  <c r="F162" i="2"/>
  <c r="F160" i="2"/>
  <c r="F158" i="2"/>
  <c r="F156" i="2"/>
  <c r="F154" i="2"/>
  <c r="F233" i="2"/>
  <c r="F231" i="2"/>
  <c r="F229" i="2"/>
  <c r="F227" i="2"/>
  <c r="F225" i="2"/>
  <c r="F223" i="2"/>
  <c r="F221" i="2"/>
  <c r="F219" i="2"/>
  <c r="F217" i="2"/>
  <c r="F215" i="2"/>
  <c r="F213" i="2"/>
  <c r="F211" i="2"/>
  <c r="F209" i="2"/>
  <c r="F207" i="2"/>
  <c r="F205" i="2"/>
  <c r="F203" i="2"/>
  <c r="F201" i="2"/>
  <c r="F199" i="2"/>
  <c r="F197" i="2"/>
  <c r="F195" i="2"/>
  <c r="F193" i="2"/>
  <c r="F191" i="2"/>
  <c r="F189" i="2"/>
  <c r="F187" i="2"/>
  <c r="F185" i="2"/>
  <c r="F183" i="2"/>
  <c r="F181" i="2"/>
  <c r="F179" i="2"/>
  <c r="F177" i="2"/>
  <c r="F175" i="2"/>
  <c r="F173" i="2"/>
  <c r="F171" i="2"/>
  <c r="F169" i="2"/>
  <c r="F167" i="2"/>
  <c r="F165" i="2"/>
  <c r="F163" i="2"/>
  <c r="F161" i="2"/>
  <c r="F159" i="2"/>
  <c r="F157" i="2"/>
  <c r="F155" i="2"/>
  <c r="F153" i="2"/>
  <c r="N150" i="2"/>
  <c r="N151" i="2"/>
  <c r="N149" i="2"/>
  <c r="N147" i="2"/>
  <c r="N146" i="2"/>
  <c r="N145" i="2"/>
  <c r="N144" i="2"/>
  <c r="N148" i="2"/>
  <c r="N143" i="2"/>
  <c r="N142" i="2"/>
  <c r="N141" i="2"/>
  <c r="N319" i="2"/>
  <c r="N318" i="2"/>
  <c r="N317" i="2"/>
  <c r="N316" i="2"/>
  <c r="N315" i="2"/>
  <c r="N314" i="2"/>
  <c r="N313" i="2"/>
  <c r="N312" i="2"/>
  <c r="N311" i="2"/>
  <c r="N310" i="2"/>
  <c r="N309" i="2"/>
  <c r="N307" i="2"/>
  <c r="N306" i="2"/>
  <c r="N305" i="2"/>
  <c r="N304" i="2"/>
  <c r="N303" i="2"/>
  <c r="N302" i="2"/>
  <c r="N301" i="2"/>
  <c r="N300" i="2"/>
  <c r="N299" i="2"/>
  <c r="N298" i="2"/>
  <c r="N297" i="2"/>
  <c r="N295" i="2"/>
  <c r="N294" i="2"/>
  <c r="N293" i="2"/>
  <c r="N292" i="2"/>
  <c r="N291" i="2"/>
  <c r="N290" i="2"/>
  <c r="N289" i="2"/>
  <c r="N288" i="2"/>
  <c r="N287" i="2"/>
  <c r="N286" i="2"/>
  <c r="N285" i="2"/>
  <c r="N283" i="2"/>
  <c r="N282" i="2"/>
  <c r="N281" i="2"/>
  <c r="N280" i="2"/>
  <c r="N279" i="2"/>
  <c r="N278" i="2"/>
  <c r="N277" i="2"/>
  <c r="N276" i="2"/>
  <c r="N275" i="2"/>
  <c r="N274" i="2"/>
  <c r="N273" i="2"/>
  <c r="N271" i="2"/>
  <c r="N270" i="2"/>
  <c r="N269" i="2"/>
  <c r="N268" i="2"/>
  <c r="N267" i="2"/>
  <c r="N266" i="2"/>
  <c r="N265" i="2"/>
  <c r="N264" i="2"/>
  <c r="N263" i="2"/>
  <c r="N262" i="2"/>
  <c r="N261" i="2"/>
  <c r="N259" i="2"/>
  <c r="N258" i="2"/>
  <c r="N257" i="2"/>
  <c r="N256" i="2"/>
  <c r="N255" i="2"/>
  <c r="N253" i="2"/>
  <c r="N251" i="2"/>
  <c r="N249" i="2"/>
  <c r="N247" i="2"/>
  <c r="N245" i="2"/>
  <c r="N243" i="2"/>
  <c r="N241" i="2"/>
  <c r="N239" i="2"/>
  <c r="N237" i="2"/>
  <c r="N235" i="2"/>
  <c r="N254" i="2"/>
  <c r="N252" i="2"/>
  <c r="N250" i="2"/>
  <c r="N246" i="2"/>
  <c r="N244" i="2"/>
  <c r="N242" i="2"/>
  <c r="N240" i="2"/>
  <c r="N238" i="2"/>
  <c r="N234" i="2"/>
  <c r="N232" i="2"/>
  <c r="N230" i="2"/>
  <c r="N228" i="2"/>
  <c r="N226" i="2"/>
  <c r="N222" i="2"/>
  <c r="N220" i="2"/>
  <c r="N218" i="2"/>
  <c r="N216" i="2"/>
  <c r="N214" i="2"/>
  <c r="N210" i="2"/>
  <c r="N208" i="2"/>
  <c r="N206" i="2"/>
  <c r="N204" i="2"/>
  <c r="N202" i="2"/>
  <c r="N198" i="2"/>
  <c r="N196" i="2"/>
  <c r="N194" i="2"/>
  <c r="N192" i="2"/>
  <c r="N190" i="2"/>
  <c r="N186" i="2"/>
  <c r="N184" i="2"/>
  <c r="N182" i="2"/>
  <c r="N180" i="2"/>
  <c r="N178" i="2"/>
  <c r="N174" i="2"/>
  <c r="N172" i="2"/>
  <c r="N170" i="2"/>
  <c r="N168" i="2"/>
  <c r="N166" i="2"/>
  <c r="N162" i="2"/>
  <c r="N160" i="2"/>
  <c r="N158" i="2"/>
  <c r="N156" i="2"/>
  <c r="N154" i="2"/>
  <c r="N233" i="2"/>
  <c r="N231" i="2"/>
  <c r="N229" i="2"/>
  <c r="N227" i="2"/>
  <c r="N225" i="2"/>
  <c r="N223" i="2"/>
  <c r="N221" i="2"/>
  <c r="N219" i="2"/>
  <c r="N217" i="2"/>
  <c r="N215" i="2"/>
  <c r="N213" i="2"/>
  <c r="N211" i="2"/>
  <c r="N209" i="2"/>
  <c r="N207" i="2"/>
  <c r="N205" i="2"/>
  <c r="N203" i="2"/>
  <c r="N201" i="2"/>
  <c r="N199" i="2"/>
  <c r="N197" i="2"/>
  <c r="N195" i="2"/>
  <c r="N193" i="2"/>
  <c r="N191" i="2"/>
  <c r="N189" i="2"/>
  <c r="N187" i="2"/>
  <c r="N185" i="2"/>
  <c r="N183" i="2"/>
  <c r="N181" i="2"/>
  <c r="N179" i="2"/>
  <c r="N177" i="2"/>
  <c r="N175" i="2"/>
  <c r="N173" i="2"/>
  <c r="N171" i="2"/>
  <c r="N169" i="2"/>
  <c r="N167" i="2"/>
  <c r="N165" i="2"/>
  <c r="N163" i="2"/>
  <c r="N161" i="2"/>
  <c r="N159" i="2"/>
  <c r="N157" i="2"/>
  <c r="N155" i="2"/>
  <c r="N153" i="2"/>
  <c r="Y269" i="2" l="1"/>
  <c r="Y268" i="2"/>
  <c r="J144" i="2"/>
  <c r="B144" i="2"/>
  <c r="Y267" i="2"/>
  <c r="Y266" i="2"/>
  <c r="AI144" i="2" l="1"/>
  <c r="AA144" i="2" l="1"/>
  <c r="V192" i="2"/>
  <c r="V191" i="2"/>
  <c r="V190" i="2"/>
  <c r="V189" i="2"/>
  <c r="V188" i="2"/>
  <c r="V187" i="2"/>
  <c r="V186" i="2"/>
  <c r="V185" i="2"/>
  <c r="V184" i="2"/>
  <c r="V183" i="2"/>
  <c r="V182" i="2"/>
  <c r="V181" i="2"/>
  <c r="V180" i="2"/>
  <c r="V179" i="2"/>
  <c r="V178" i="2"/>
  <c r="V177" i="2"/>
  <c r="V176" i="2"/>
  <c r="V175" i="2"/>
  <c r="V174" i="2"/>
  <c r="V173" i="2"/>
  <c r="V172" i="2"/>
  <c r="V171" i="2"/>
  <c r="V170" i="2"/>
  <c r="V169" i="2"/>
  <c r="V168" i="2"/>
  <c r="V167" i="2"/>
  <c r="V166" i="2"/>
  <c r="V165" i="2"/>
  <c r="V164" i="2"/>
  <c r="V163" i="2"/>
  <c r="V162" i="2"/>
  <c r="V161" i="2"/>
  <c r="V160" i="2"/>
  <c r="V159" i="2"/>
  <c r="V158" i="2"/>
  <c r="V157" i="2"/>
  <c r="V156" i="2"/>
  <c r="V155" i="2"/>
  <c r="V154" i="2"/>
  <c r="V153" i="2"/>
  <c r="V318" i="2"/>
  <c r="V319" i="2"/>
  <c r="V320" i="2"/>
  <c r="V151" i="2"/>
  <c r="V150" i="2"/>
  <c r="V149" i="2"/>
  <c r="V148" i="2"/>
  <c r="V147" i="2"/>
  <c r="V146" i="2"/>
  <c r="V145" i="2"/>
  <c r="V144" i="2"/>
  <c r="V143" i="2"/>
  <c r="V142" i="2"/>
  <c r="V141" i="2"/>
  <c r="W320" i="2"/>
  <c r="W188" i="2"/>
  <c r="W176" i="2"/>
  <c r="W164" i="2"/>
  <c r="Q209" i="2" l="1"/>
  <c r="Q233" i="2"/>
  <c r="W151" i="2"/>
  <c r="W149" i="2"/>
  <c r="W147" i="2"/>
  <c r="W146" i="2"/>
  <c r="W145" i="2"/>
  <c r="W144" i="2"/>
  <c r="W150" i="2"/>
  <c r="W148" i="2"/>
  <c r="W143" i="2"/>
  <c r="W141" i="2"/>
  <c r="W142" i="2"/>
  <c r="W273" i="2"/>
  <c r="W171" i="2"/>
  <c r="W156" i="2"/>
  <c r="W160" i="2"/>
  <c r="W169" i="2"/>
  <c r="W173" i="2"/>
  <c r="W175" i="2"/>
  <c r="W177" i="2"/>
  <c r="W179" i="2"/>
  <c r="W181" i="2"/>
  <c r="W183" i="2"/>
  <c r="W185" i="2"/>
  <c r="W187" i="2"/>
  <c r="W189" i="2"/>
  <c r="W191" i="2"/>
  <c r="W193" i="2"/>
  <c r="W195" i="2"/>
  <c r="W197" i="2"/>
  <c r="W199" i="2"/>
  <c r="W201" i="2"/>
  <c r="W203" i="2"/>
  <c r="W205" i="2"/>
  <c r="W207" i="2"/>
  <c r="W209" i="2"/>
  <c r="W211" i="2"/>
  <c r="W213" i="2"/>
  <c r="W215" i="2"/>
  <c r="W217" i="2"/>
  <c r="W219" i="2"/>
  <c r="W221" i="2"/>
  <c r="W223" i="2"/>
  <c r="W225" i="2"/>
  <c r="W227" i="2"/>
  <c r="W229" i="2"/>
  <c r="W231" i="2"/>
  <c r="W233" i="2"/>
  <c r="W235" i="2"/>
  <c r="W237" i="2"/>
  <c r="W239" i="2"/>
  <c r="W241" i="2"/>
  <c r="W243" i="2"/>
  <c r="W245" i="2"/>
  <c r="W247" i="2"/>
  <c r="W249" i="2"/>
  <c r="W251" i="2"/>
  <c r="W253" i="2"/>
  <c r="W255" i="2"/>
  <c r="W256" i="2"/>
  <c r="W257" i="2"/>
  <c r="W258" i="2"/>
  <c r="W259" i="2"/>
  <c r="W261" i="2"/>
  <c r="W262" i="2"/>
  <c r="W263" i="2"/>
  <c r="W264" i="2"/>
  <c r="W265" i="2"/>
  <c r="W266" i="2"/>
  <c r="W267" i="2"/>
  <c r="W268" i="2"/>
  <c r="W269" i="2"/>
  <c r="W270" i="2"/>
  <c r="W271" i="2"/>
  <c r="W154" i="2"/>
  <c r="W158" i="2"/>
  <c r="W162" i="2"/>
  <c r="W166" i="2"/>
  <c r="W319" i="2"/>
  <c r="W318" i="2"/>
  <c r="W317" i="2"/>
  <c r="W316" i="2"/>
  <c r="W315" i="2"/>
  <c r="W314" i="2"/>
  <c r="W313" i="2"/>
  <c r="W312" i="2"/>
  <c r="W311" i="2"/>
  <c r="W310" i="2"/>
  <c r="W309" i="2"/>
  <c r="W307" i="2"/>
  <c r="W306" i="2"/>
  <c r="W305" i="2"/>
  <c r="W304" i="2"/>
  <c r="W303" i="2"/>
  <c r="W302" i="2"/>
  <c r="W301" i="2"/>
  <c r="W300" i="2"/>
  <c r="W299" i="2"/>
  <c r="W298" i="2"/>
  <c r="W297" i="2"/>
  <c r="W295" i="2"/>
  <c r="W294" i="2"/>
  <c r="W293" i="2"/>
  <c r="W292" i="2"/>
  <c r="W291" i="2"/>
  <c r="W290" i="2"/>
  <c r="W289" i="2"/>
  <c r="W288" i="2"/>
  <c r="W287" i="2"/>
  <c r="W286" i="2"/>
  <c r="W285" i="2"/>
  <c r="W283" i="2"/>
  <c r="W282" i="2"/>
  <c r="W281" i="2"/>
  <c r="W280" i="2"/>
  <c r="W279" i="2"/>
  <c r="W278" i="2"/>
  <c r="W277" i="2"/>
  <c r="W276" i="2"/>
  <c r="W275" i="2"/>
  <c r="W274" i="2"/>
  <c r="W254" i="2"/>
  <c r="W252" i="2"/>
  <c r="W250" i="2"/>
  <c r="W246" i="2"/>
  <c r="W244" i="2"/>
  <c r="W242" i="2"/>
  <c r="W240" i="2"/>
  <c r="W238" i="2"/>
  <c r="W234" i="2"/>
  <c r="W232" i="2"/>
  <c r="W230" i="2"/>
  <c r="W228" i="2"/>
  <c r="W226" i="2"/>
  <c r="W222" i="2"/>
  <c r="W220" i="2"/>
  <c r="W218" i="2"/>
  <c r="W216" i="2"/>
  <c r="W214" i="2"/>
  <c r="W210" i="2"/>
  <c r="W208" i="2"/>
  <c r="W206" i="2"/>
  <c r="W204" i="2"/>
  <c r="Q208" i="2" s="1"/>
  <c r="W202" i="2"/>
  <c r="W198" i="2"/>
  <c r="W196" i="2"/>
  <c r="W194" i="2"/>
  <c r="W192" i="2"/>
  <c r="W190" i="2"/>
  <c r="W186" i="2"/>
  <c r="W184" i="2"/>
  <c r="W182" i="2"/>
  <c r="W180" i="2"/>
  <c r="W178" i="2"/>
  <c r="W174" i="2"/>
  <c r="W172" i="2"/>
  <c r="W170" i="2"/>
  <c r="W168" i="2"/>
  <c r="W153" i="2"/>
  <c r="W155" i="2"/>
  <c r="W157" i="2"/>
  <c r="W159" i="2"/>
  <c r="W161" i="2"/>
  <c r="W163" i="2"/>
  <c r="W165" i="2"/>
  <c r="W167" i="2"/>
  <c r="Q206" i="2"/>
  <c r="Q230" i="2"/>
  <c r="DE67" i="2" l="1"/>
  <c r="Q256" i="2"/>
  <c r="Q231" i="2"/>
  <c r="Q234" i="2"/>
  <c r="Q232" i="2"/>
  <c r="Q197" i="2"/>
  <c r="Q196" i="2"/>
  <c r="Q207" i="2"/>
  <c r="S144" i="2"/>
  <c r="AH5" i="1" l="1"/>
  <c r="AF5" i="4" l="1"/>
  <c r="AH6" i="1"/>
  <c r="AF6" i="4"/>
  <c r="AQ5" i="4" l="1"/>
  <c r="AF2" i="4" l="1"/>
  <c r="Z5" i="1" l="1"/>
  <c r="DE41" i="2" l="1"/>
  <c r="AN5" i="4"/>
  <c r="BF5" i="1" l="1"/>
  <c r="DE40" i="2" l="1"/>
  <c r="DE44" i="2" s="1"/>
  <c r="BG8" i="1"/>
  <c r="DH17" i="2"/>
  <c r="DH16" i="2"/>
  <c r="DH20" i="2" s="1"/>
  <c r="DK16" i="2"/>
  <c r="DJ16" i="2"/>
  <c r="DE49" i="2" l="1"/>
  <c r="DE52" i="2" s="1"/>
  <c r="DD55" i="2" l="1"/>
  <c r="DD57" i="2" s="1"/>
  <c r="FF2" i="1" l="1"/>
  <c r="FF5" i="1"/>
  <c r="FE5" i="1"/>
  <c r="FD5" i="1"/>
  <c r="FC5" i="1"/>
  <c r="FE2" i="4" l="1"/>
  <c r="FE6" i="4"/>
  <c r="FD6" i="4"/>
  <c r="FC6" i="4"/>
  <c r="FB6" i="4" l="1"/>
  <c r="X2" i="4" l="1"/>
  <c r="X2" i="1"/>
  <c r="CH6" i="1" l="1"/>
  <c r="FV2" i="1"/>
  <c r="FU2" i="1"/>
  <c r="FT2" i="1"/>
  <c r="FU2" i="4" l="1"/>
  <c r="FT2" i="4"/>
  <c r="FS2" i="4"/>
  <c r="FU5" i="4"/>
  <c r="FT5" i="4"/>
  <c r="FS5" i="4"/>
  <c r="JL2" i="4" l="1"/>
  <c r="JK2" i="4"/>
  <c r="JJ2" i="4"/>
  <c r="JI2" i="4"/>
  <c r="JH2" i="4"/>
  <c r="JG2" i="4"/>
  <c r="JM2" i="1"/>
  <c r="JL2" i="1"/>
  <c r="JK2" i="1"/>
  <c r="JJ2" i="1"/>
  <c r="JI2" i="1"/>
  <c r="JH2" i="1"/>
  <c r="DF69" i="2" l="1"/>
  <c r="CZ46" i="2"/>
  <c r="DD76" i="2" l="1"/>
  <c r="DD72" i="2" l="1"/>
  <c r="DD71" i="2" l="1"/>
  <c r="DD73" i="2" s="1"/>
  <c r="Z7" i="4" l="1"/>
  <c r="Y6" i="1" l="1"/>
  <c r="Z7" i="1"/>
  <c r="DW6" i="1" l="1"/>
  <c r="CG7" i="4" l="1"/>
  <c r="CG6" i="4"/>
  <c r="AA6" i="1" l="1"/>
  <c r="AD2" i="1" l="1"/>
  <c r="AB2" i="4"/>
  <c r="AB5" i="4"/>
  <c r="AK2" i="4"/>
  <c r="AJ2" i="4"/>
  <c r="AC2" i="4" l="1"/>
  <c r="AR2" i="1"/>
  <c r="AW2" i="1"/>
  <c r="AZ2" i="1"/>
  <c r="AY2" i="1"/>
  <c r="CR2" i="4"/>
  <c r="BK2" i="1"/>
  <c r="BF8" i="1"/>
  <c r="BB6" i="1"/>
  <c r="CM5" i="1"/>
  <c r="CM2" i="1"/>
  <c r="AN2" i="4"/>
  <c r="BC5" i="1"/>
  <c r="BA2" i="1"/>
  <c r="BF2" i="1"/>
  <c r="BG2" i="1"/>
  <c r="BI2" i="1"/>
  <c r="BQ5" i="1"/>
  <c r="AR2" i="4"/>
  <c r="BH2" i="1"/>
  <c r="BQ2" i="1"/>
  <c r="BD2" i="1"/>
  <c r="BE2" i="1"/>
  <c r="AY6" i="4"/>
  <c r="BL6" i="1"/>
  <c r="BG5" i="1"/>
  <c r="BI5" i="1"/>
  <c r="CM6" i="1"/>
  <c r="HW5" i="1"/>
  <c r="HW2" i="1"/>
  <c r="IB2" i="1"/>
  <c r="IA2" i="1"/>
  <c r="IC5" i="1"/>
  <c r="IC2" i="1"/>
  <c r="AT10" i="4" l="1"/>
  <c r="AW2" i="4"/>
  <c r="AU2" i="4"/>
  <c r="AY2" i="4"/>
  <c r="AP2" i="4"/>
  <c r="IH2" i="1"/>
  <c r="CU8" i="1"/>
  <c r="CN7" i="1"/>
  <c r="CU6" i="1"/>
  <c r="CU5" i="1"/>
  <c r="EC5" i="1"/>
  <c r="EC2" i="1"/>
  <c r="IH2" i="4"/>
  <c r="II2" i="1"/>
  <c r="IH5" i="1"/>
  <c r="IG6" i="4"/>
  <c r="BO2" i="1"/>
  <c r="BP2" i="1"/>
  <c r="BP7" i="1"/>
  <c r="BP6" i="1"/>
  <c r="CP2" i="1"/>
  <c r="AX2" i="1"/>
  <c r="AW7" i="1"/>
  <c r="BV5" i="1"/>
  <c r="BV2" i="1"/>
  <c r="BT2" i="1"/>
  <c r="BR2" i="1"/>
  <c r="BS2" i="1"/>
  <c r="BJ2" i="1"/>
  <c r="BF6" i="1"/>
  <c r="DV2" i="1"/>
  <c r="ED6" i="4"/>
  <c r="GC2" i="1"/>
  <c r="GB2" i="4"/>
  <c r="HP2" i="4"/>
  <c r="HQ2" i="1"/>
  <c r="IQ2" i="4"/>
  <c r="BD9" i="1"/>
  <c r="BG2" i="4"/>
  <c r="BB5" i="4"/>
  <c r="CL5" i="4"/>
  <c r="CL2" i="4"/>
  <c r="CD2" i="1"/>
  <c r="BI2" i="4"/>
  <c r="AZ2" i="4"/>
  <c r="IJ5" i="1"/>
  <c r="CQ6" i="1"/>
  <c r="BA2" i="4"/>
  <c r="CL6" i="4"/>
  <c r="BD5" i="1"/>
  <c r="CM6" i="4"/>
  <c r="BA5" i="4"/>
  <c r="AT6" i="4"/>
  <c r="BF2" i="4"/>
  <c r="AT9" i="4"/>
  <c r="BD7" i="4"/>
  <c r="AS5" i="4"/>
  <c r="HV6" i="4"/>
  <c r="BO2" i="4"/>
  <c r="BB2" i="4"/>
  <c r="BE2" i="4"/>
  <c r="BO5" i="4"/>
  <c r="BJ6" i="4"/>
  <c r="EE2" i="1"/>
  <c r="AY7" i="4"/>
  <c r="IJ6" i="1"/>
  <c r="IJ2" i="1"/>
  <c r="IO2" i="1" s="1"/>
  <c r="BH6" i="4"/>
  <c r="BD2" i="4"/>
  <c r="AT5" i="4"/>
  <c r="BF7" i="1"/>
  <c r="AT2" i="4"/>
  <c r="AU5" i="4" s="1"/>
  <c r="IN2" i="1"/>
  <c r="HY2" i="1"/>
  <c r="BC2" i="4"/>
  <c r="BH7" i="4"/>
  <c r="ED2" i="1"/>
  <c r="CD9" i="1"/>
  <c r="IP5" i="1"/>
  <c r="IP2" i="1"/>
  <c r="IP6" i="1"/>
  <c r="HZ5" i="1"/>
  <c r="HZ7" i="1"/>
  <c r="HZ9" i="1"/>
  <c r="BT5" i="4" l="1"/>
  <c r="CO2" i="4"/>
  <c r="BT2" i="4"/>
  <c r="BM2" i="4"/>
  <c r="BH2" i="4"/>
  <c r="BN2" i="4"/>
  <c r="AX2" i="4"/>
  <c r="BW7" i="4"/>
  <c r="HX7" i="4"/>
  <c r="JE6" i="4"/>
  <c r="EE8" i="4"/>
  <c r="DR2" i="4"/>
  <c r="HY2" i="4"/>
  <c r="EE2" i="4"/>
  <c r="BW2" i="4"/>
  <c r="BR2" i="4"/>
  <c r="BP2" i="4"/>
  <c r="BQ2" i="4"/>
  <c r="BV5" i="4" s="1"/>
  <c r="IL5" i="1"/>
  <c r="IL2" i="1"/>
  <c r="CM7" i="4"/>
  <c r="CU5" i="4"/>
  <c r="EB5" i="4"/>
  <c r="EB2" i="4"/>
  <c r="CU6" i="4"/>
  <c r="IG5" i="4"/>
  <c r="IF6" i="4"/>
  <c r="AV2" i="4"/>
  <c r="IG2" i="4"/>
  <c r="IG8" i="4" s="1"/>
  <c r="EF2" i="1"/>
  <c r="BV2" i="4"/>
  <c r="BU5" i="4"/>
  <c r="BS2" i="4"/>
  <c r="BU2" i="4"/>
  <c r="BX5" i="1"/>
  <c r="BX2" i="1"/>
  <c r="BW2" i="1"/>
  <c r="BW5" i="1"/>
  <c r="BU2" i="1"/>
  <c r="DV2" i="4"/>
  <c r="ID2" i="4"/>
  <c r="EF6" i="1"/>
  <c r="CA6" i="4"/>
  <c r="ED2" i="4"/>
  <c r="II2" i="4"/>
  <c r="HV2" i="4"/>
  <c r="IA4" i="4" s="1"/>
  <c r="HZ2" i="4"/>
  <c r="II5" i="4"/>
  <c r="IA2" i="4"/>
  <c r="IB2" i="4" s="1"/>
  <c r="CP8" i="4"/>
  <c r="EE5" i="4"/>
  <c r="CC6" i="4"/>
  <c r="CC2" i="4"/>
  <c r="BC6" i="4"/>
  <c r="IB6" i="4"/>
  <c r="IN6" i="4"/>
  <c r="CC7" i="4"/>
  <c r="EE7" i="4"/>
  <c r="IB5" i="4"/>
  <c r="ED5" i="4"/>
  <c r="HZ5" i="4"/>
  <c r="IN2" i="4"/>
  <c r="IM2" i="4"/>
  <c r="IO6" i="4"/>
  <c r="IO2" i="4"/>
  <c r="IO5" i="4"/>
  <c r="IK5" i="4" l="1"/>
  <c r="IK2" i="4"/>
  <c r="HH6" i="4"/>
  <c r="HZ2" i="1"/>
  <c r="JG6" i="1"/>
  <c r="JD5" i="1"/>
  <c r="IR2" i="1"/>
  <c r="IR5" i="1"/>
  <c r="IL2" i="4"/>
  <c r="IM2" i="1"/>
  <c r="IM5" i="1"/>
  <c r="EC7" i="4"/>
  <c r="EC6" i="4"/>
  <c r="EC2" i="4"/>
  <c r="HX2" i="4"/>
  <c r="HY5" i="4"/>
  <c r="HY8" i="4"/>
  <c r="HY6" i="4"/>
  <c r="JF2" i="1" l="1"/>
  <c r="IE2" i="1"/>
  <c r="CF7" i="4" l="1"/>
  <c r="EZ6" i="4"/>
  <c r="CF6" i="4"/>
  <c r="HO2" i="4"/>
  <c r="HL7" i="4"/>
  <c r="DG2" i="4"/>
  <c r="DA2" i="4"/>
  <c r="CK2" i="4"/>
  <c r="CM2" i="4" l="1"/>
  <c r="CU2" i="4"/>
  <c r="CT2" i="4"/>
  <c r="CP2" i="4"/>
  <c r="CM5" i="4"/>
  <c r="CM8" i="4"/>
  <c r="HF5" i="4"/>
  <c r="HE5" i="4"/>
  <c r="AY4" i="4"/>
  <c r="DU5" i="4"/>
  <c r="DV6" i="4"/>
  <c r="DU6" i="4"/>
  <c r="DV5" i="4"/>
  <c r="AM2" i="4"/>
  <c r="AO7" i="4"/>
  <c r="CV5" i="4"/>
  <c r="DH2" i="4"/>
  <c r="DI2" i="4"/>
  <c r="EA6" i="4"/>
  <c r="CV8" i="4" l="1"/>
  <c r="CV2" i="4"/>
  <c r="HT7" i="4"/>
  <c r="FW2" i="4"/>
  <c r="FX2" i="4"/>
  <c r="CX2" i="4"/>
  <c r="CU7" i="4"/>
  <c r="BC8" i="4"/>
  <c r="BC7" i="4"/>
  <c r="AL7" i="4"/>
  <c r="BJ5" i="4"/>
  <c r="AL6" i="4"/>
  <c r="DN2" i="4"/>
  <c r="DO2" i="4"/>
  <c r="IT2" i="4"/>
  <c r="DP6" i="4"/>
  <c r="DP5" i="4"/>
  <c r="CW2" i="4"/>
  <c r="HT2" i="4"/>
  <c r="DP7" i="4"/>
  <c r="DP2" i="4"/>
  <c r="HT6" i="4"/>
  <c r="HT5" i="4"/>
  <c r="JC6" i="4" l="1"/>
  <c r="DL2" i="4"/>
  <c r="DL5" i="4"/>
  <c r="CN2" i="4"/>
  <c r="BL2" i="4"/>
  <c r="BK2" i="4"/>
  <c r="BK5" i="4"/>
  <c r="DJ2" i="4"/>
  <c r="FA6" i="1"/>
  <c r="DQ4" i="4"/>
  <c r="DM6" i="4"/>
  <c r="DM5" i="4"/>
  <c r="HG5" i="4"/>
  <c r="HG6" i="4"/>
  <c r="HG2" i="4"/>
  <c r="DQ2" i="4"/>
  <c r="DM2" i="4"/>
  <c r="HD5" i="4"/>
  <c r="HD2" i="4"/>
  <c r="DR5" i="4"/>
  <c r="HD6" i="4"/>
  <c r="CD5" i="4"/>
  <c r="DR8" i="4"/>
  <c r="FV2" i="4"/>
  <c r="HD8" i="4"/>
  <c r="DQ6" i="4"/>
  <c r="FV5" i="4"/>
  <c r="CD2" i="4" l="1"/>
  <c r="DW2" i="4" s="1"/>
  <c r="CD8" i="4"/>
  <c r="BZ2" i="4"/>
  <c r="BY6" i="4"/>
  <c r="BY2" i="4"/>
  <c r="CH2" i="4" s="1"/>
  <c r="BX2" i="4"/>
  <c r="HM2" i="4"/>
  <c r="BY5" i="4"/>
  <c r="HM5" i="4"/>
  <c r="GP2" i="4"/>
  <c r="CR4" i="4"/>
  <c r="CQ5" i="4"/>
  <c r="CR7" i="4"/>
  <c r="DS2" i="4" l="1"/>
  <c r="DS8" i="4"/>
  <c r="DS9" i="4"/>
  <c r="DR6" i="4"/>
  <c r="EF5" i="4"/>
  <c r="EF2" i="4"/>
  <c r="GL2" i="4"/>
  <c r="HE2" i="4"/>
  <c r="IC2" i="4"/>
  <c r="IP2" i="4"/>
  <c r="DG2" i="1"/>
  <c r="GT2" i="4" l="1"/>
  <c r="GX2" i="4" s="1"/>
  <c r="EI2" i="4"/>
  <c r="EH2" i="4"/>
  <c r="DS4" i="4"/>
  <c r="HB2" i="4"/>
  <c r="FX6" i="4"/>
  <c r="HN2" i="4"/>
  <c r="FA2" i="4"/>
  <c r="FL2" i="4"/>
  <c r="EJ2" i="4" l="1"/>
  <c r="EK2" i="4" s="1"/>
  <c r="FB2" i="4"/>
  <c r="HF2" i="4"/>
  <c r="HU2" i="4" s="1"/>
  <c r="EX2" i="4"/>
  <c r="FZ2" i="4"/>
  <c r="FY2" i="4"/>
  <c r="EG2" i="4"/>
  <c r="DT2" i="4"/>
  <c r="ER2" i="4" s="1"/>
  <c r="CV5" i="1"/>
  <c r="CL2" i="1"/>
  <c r="FN2" i="4"/>
  <c r="FM2" i="4"/>
  <c r="FO2" i="4"/>
  <c r="FG2" i="4" l="1"/>
  <c r="FG7" i="4"/>
  <c r="FJ5" i="4"/>
  <c r="FK2" i="4"/>
  <c r="FI5" i="4"/>
  <c r="FH5" i="4"/>
  <c r="FG5" i="4"/>
  <c r="FI2" i="4"/>
  <c r="FK5" i="4"/>
  <c r="FH2" i="4"/>
  <c r="FJ2" i="4"/>
  <c r="ET2" i="4"/>
  <c r="ET6" i="4"/>
  <c r="EL2" i="4"/>
  <c r="EL5" i="4"/>
  <c r="HH2" i="4"/>
  <c r="HI2" i="4" s="1"/>
  <c r="HJ2" i="4" s="1"/>
  <c r="FF5" i="4"/>
  <c r="FF2" i="4"/>
  <c r="GF2" i="4"/>
  <c r="ES2" i="4"/>
  <c r="GA2" i="4"/>
  <c r="AP9" i="1"/>
  <c r="FP2" i="4" l="1"/>
  <c r="DS6" i="4" s="1"/>
  <c r="EU2" i="4"/>
  <c r="EV2" i="4" s="1"/>
  <c r="GE2" i="4"/>
  <c r="GH2" i="4"/>
  <c r="GI2" i="4" s="1"/>
  <c r="GG2" i="4"/>
  <c r="AZ4" i="1"/>
  <c r="AO2" i="1"/>
  <c r="DV5" i="1"/>
  <c r="GC2" i="4"/>
  <c r="GD2" i="4" s="1"/>
  <c r="DU6" i="1"/>
  <c r="DU7" i="1"/>
  <c r="AQ7" i="1"/>
  <c r="DG33" i="2"/>
  <c r="DG32" i="2"/>
  <c r="DF33" i="2"/>
  <c r="DF32" i="2"/>
  <c r="DQ5" i="4"/>
  <c r="EZ8" i="4" l="1"/>
  <c r="AN7" i="1"/>
  <c r="BL5" i="1"/>
  <c r="AN6" i="1"/>
  <c r="BD7" i="1"/>
  <c r="BD8" i="1"/>
  <c r="DH33" i="2"/>
  <c r="DH32" i="2"/>
  <c r="DH36" i="2" l="1"/>
  <c r="BN2" i="1"/>
  <c r="BM5" i="1"/>
  <c r="BM2" i="1"/>
  <c r="CE7" i="1"/>
  <c r="CE6" i="1"/>
  <c r="CB6" i="1"/>
  <c r="CE2" i="1" l="1"/>
  <c r="BZ2" i="1"/>
  <c r="CA2" i="1"/>
  <c r="BY2" i="1"/>
  <c r="BZ5" i="1"/>
  <c r="CE9" i="1"/>
  <c r="BZ8" i="1"/>
  <c r="CE5" i="1"/>
  <c r="DF38" i="2"/>
  <c r="CN2" i="1" l="1"/>
  <c r="CN5" i="1"/>
  <c r="CU2" i="1"/>
  <c r="CT2" i="1"/>
  <c r="CQ2" i="1"/>
  <c r="CQ7" i="1"/>
  <c r="CN6" i="1"/>
  <c r="S97" i="2"/>
  <c r="S99" i="2"/>
  <c r="CX2" i="1" l="1"/>
  <c r="CV7" i="1"/>
  <c r="CV2" i="1"/>
  <c r="FX2" i="1"/>
  <c r="FY2" i="1"/>
  <c r="DI2" i="1"/>
  <c r="T97" i="2"/>
  <c r="CW2" i="1"/>
  <c r="HU5" i="1" s="1"/>
  <c r="DO2" i="1"/>
  <c r="IU2" i="1"/>
  <c r="DN2" i="1"/>
  <c r="T99" i="2"/>
  <c r="HU6" i="1"/>
  <c r="DP7" i="1"/>
  <c r="HU2" i="1"/>
  <c r="DP2" i="1"/>
  <c r="DP5" i="1"/>
  <c r="DL2" i="1" l="1"/>
  <c r="DL5" i="1"/>
  <c r="D6" i="2"/>
  <c r="DQ2" i="1"/>
  <c r="DQ4" i="1"/>
  <c r="E6" i="2"/>
  <c r="DR8" i="1"/>
  <c r="DR10" i="1"/>
  <c r="DR5" i="1"/>
  <c r="HE5" i="1"/>
  <c r="HE2" i="1"/>
  <c r="HE6" i="1"/>
  <c r="D7" i="2" l="1"/>
  <c r="DM6" i="1"/>
  <c r="E7" i="2"/>
  <c r="DM2" i="1"/>
  <c r="D8" i="2" l="1"/>
  <c r="D9" i="2" l="1"/>
  <c r="D10" i="2"/>
  <c r="E9" i="2"/>
  <c r="E10" i="2"/>
  <c r="E8" i="2"/>
  <c r="D11" i="2" l="1"/>
  <c r="E11" i="2"/>
  <c r="D12" i="2" l="1"/>
  <c r="E12" i="2"/>
  <c r="D13" i="2" l="1"/>
  <c r="E13" i="2"/>
  <c r="D14" i="2" l="1"/>
  <c r="E14" i="2"/>
  <c r="D15" i="2" l="1"/>
  <c r="E15" i="2"/>
  <c r="D16" i="2" l="1"/>
  <c r="HP2" i="1"/>
  <c r="DA2" i="1"/>
  <c r="DH2" i="1" s="1"/>
  <c r="CU4" i="2"/>
  <c r="E16" i="2"/>
  <c r="FW2" i="1"/>
  <c r="HH2" i="1"/>
  <c r="HH6" i="1"/>
  <c r="D17" i="2" l="1"/>
  <c r="E17" i="2"/>
  <c r="D18" i="2" l="1"/>
  <c r="E18" i="2"/>
  <c r="D19" i="2" l="1"/>
  <c r="E19" i="2"/>
  <c r="D20" i="2" l="1"/>
  <c r="E20" i="2"/>
  <c r="D21" i="2" l="1"/>
  <c r="E21" i="2"/>
  <c r="D22" i="2" l="1"/>
  <c r="E22" i="2"/>
  <c r="D23" i="2" l="1"/>
  <c r="E23" i="2"/>
  <c r="D24" i="2" l="1"/>
  <c r="E24" i="2"/>
  <c r="D25" i="2" l="1"/>
  <c r="E25" i="2"/>
  <c r="D26" i="2" l="1"/>
  <c r="E26" i="2"/>
  <c r="D27" i="2" l="1"/>
  <c r="E27" i="2"/>
  <c r="D28" i="2" l="1"/>
  <c r="E28" i="2"/>
  <c r="D29" i="2" l="1"/>
  <c r="E29" i="2"/>
  <c r="D30" i="2" l="1"/>
  <c r="E30" i="2"/>
  <c r="D31" i="2" l="1"/>
  <c r="E31" i="2"/>
  <c r="D32" i="2" l="1"/>
  <c r="E32" i="2"/>
  <c r="D33" i="2" l="1"/>
  <c r="E33" i="2"/>
  <c r="D34" i="2" l="1"/>
  <c r="E34" i="2"/>
  <c r="D35" i="2" l="1"/>
  <c r="E35" i="2"/>
  <c r="D36" i="2" l="1"/>
  <c r="E36" i="2"/>
  <c r="D37" i="2" l="1"/>
  <c r="E37" i="2"/>
  <c r="D38" i="2" l="1"/>
  <c r="E38" i="2"/>
  <c r="D39" i="2" l="1"/>
  <c r="E39" i="2"/>
  <c r="D40" i="2" l="1"/>
  <c r="E40" i="2"/>
  <c r="D41" i="2" l="1"/>
  <c r="E41" i="2"/>
  <c r="D42" i="2" l="1"/>
  <c r="E42" i="2"/>
  <c r="D43" i="2" l="1"/>
  <c r="E43" i="2"/>
  <c r="D44" i="2" l="1"/>
  <c r="E44" i="2"/>
  <c r="D45" i="2" l="1"/>
  <c r="E45" i="2"/>
  <c r="D46" i="2" l="1"/>
  <c r="E46" i="2"/>
  <c r="D47" i="2" l="1"/>
  <c r="E47" i="2"/>
  <c r="D48" i="2" l="1"/>
  <c r="E48" i="2"/>
  <c r="D49" i="2" l="1"/>
  <c r="E49" i="2"/>
  <c r="D50" i="2" l="1"/>
  <c r="E50" i="2"/>
  <c r="D51" i="2" l="1"/>
  <c r="E51" i="2"/>
  <c r="D52" i="2" l="1"/>
  <c r="E52" i="2"/>
  <c r="D53" i="2" l="1"/>
  <c r="E53" i="2"/>
  <c r="D54" i="2" l="1"/>
  <c r="E54" i="2"/>
  <c r="D55" i="2" l="1"/>
  <c r="E55" i="2"/>
  <c r="D56" i="2" l="1"/>
  <c r="E56" i="2"/>
  <c r="D57" i="2" l="1"/>
  <c r="E57" i="2"/>
  <c r="D58" i="2" l="1"/>
  <c r="E58" i="2"/>
  <c r="D59" i="2" l="1"/>
  <c r="E59" i="2"/>
  <c r="D60" i="2" l="1"/>
  <c r="E60" i="2"/>
  <c r="D61" i="2" l="1"/>
  <c r="E61" i="2"/>
  <c r="D62" i="2" l="1"/>
  <c r="E62" i="2"/>
  <c r="D63" i="2" l="1"/>
  <c r="E63" i="2"/>
  <c r="D64" i="2" l="1"/>
  <c r="E64" i="2"/>
  <c r="D65" i="2" l="1"/>
  <c r="E65" i="2"/>
  <c r="D66" i="2" l="1"/>
  <c r="E66" i="2"/>
  <c r="D67" i="2" l="1"/>
  <c r="E67" i="2"/>
  <c r="D68" i="2" l="1"/>
  <c r="E68" i="2"/>
  <c r="D69" i="2" l="1"/>
  <c r="E69" i="2"/>
  <c r="D70" i="2" l="1"/>
  <c r="E70" i="2"/>
  <c r="D71" i="2" l="1"/>
  <c r="E71" i="2"/>
  <c r="D72" i="2" l="1"/>
  <c r="E72" i="2"/>
  <c r="D73" i="2" l="1"/>
  <c r="E73" i="2"/>
  <c r="D74" i="2" l="1"/>
  <c r="E74" i="2"/>
  <c r="D75" i="2" l="1"/>
  <c r="E75" i="2"/>
  <c r="D76" i="2" l="1"/>
  <c r="E76" i="2"/>
  <c r="D77" i="2" l="1"/>
  <c r="E77" i="2"/>
  <c r="D78" i="2" l="1"/>
  <c r="E78" i="2"/>
  <c r="D79" i="2" l="1"/>
  <c r="E79" i="2"/>
  <c r="D80" i="2" l="1"/>
  <c r="E80" i="2"/>
  <c r="D81" i="2" l="1"/>
  <c r="E81" i="2"/>
  <c r="D82" i="2" l="1"/>
  <c r="E82" i="2"/>
  <c r="D83" i="2" l="1"/>
  <c r="E83" i="2"/>
  <c r="D84" i="2" l="1"/>
  <c r="E84" i="2"/>
  <c r="D85" i="2" l="1"/>
  <c r="E85" i="2"/>
  <c r="D86" i="2" l="1"/>
  <c r="E86" i="2"/>
  <c r="D87" i="2" l="1"/>
  <c r="E87" i="2"/>
  <c r="D88" i="2" l="1"/>
  <c r="E88" i="2"/>
  <c r="D89" i="2" l="1"/>
  <c r="E89" i="2"/>
  <c r="D90" i="2" l="1"/>
  <c r="E90" i="2"/>
  <c r="D91" i="2" l="1"/>
  <c r="E91" i="2"/>
  <c r="D92" i="2" l="1"/>
  <c r="E92" i="2"/>
  <c r="D93" i="2" l="1"/>
  <c r="E93" i="2"/>
  <c r="D94" i="2" l="1"/>
  <c r="E94" i="2"/>
  <c r="D95" i="2" l="1"/>
  <c r="E95" i="2"/>
  <c r="D96" i="2" l="1"/>
  <c r="E96" i="2"/>
  <c r="D97" i="2" l="1"/>
  <c r="E97" i="2"/>
  <c r="D98" i="2" l="1"/>
  <c r="E98" i="2"/>
  <c r="D99" i="2" l="1"/>
  <c r="E99" i="2"/>
  <c r="D100" i="2" l="1"/>
  <c r="E100" i="2"/>
  <c r="D101" i="2" l="1"/>
  <c r="E101" i="2"/>
  <c r="D102" i="2" l="1"/>
  <c r="E102" i="2"/>
  <c r="D103" i="2" l="1"/>
  <c r="E103" i="2"/>
  <c r="D104" i="2" l="1"/>
  <c r="E104" i="2"/>
  <c r="D105" i="2" l="1"/>
  <c r="E105" i="2"/>
  <c r="D106" i="2" l="1"/>
  <c r="E106" i="2"/>
  <c r="D107" i="2" l="1"/>
  <c r="E107" i="2"/>
  <c r="D108" i="2" l="1"/>
  <c r="E108" i="2"/>
  <c r="D109" i="2" l="1"/>
  <c r="E109" i="2"/>
  <c r="D110" i="2" l="1"/>
  <c r="E110" i="2"/>
  <c r="D111" i="2" l="1"/>
  <c r="E111" i="2"/>
  <c r="D112" i="2" l="1"/>
  <c r="E112" i="2"/>
  <c r="D113" i="2" l="1"/>
  <c r="E113" i="2"/>
  <c r="D114" i="2" l="1"/>
  <c r="E114" i="2"/>
  <c r="D115" i="2" l="1"/>
  <c r="E115" i="2"/>
  <c r="D116" i="2" l="1"/>
  <c r="E116" i="2"/>
  <c r="D117" i="2" l="1"/>
  <c r="E117" i="2"/>
  <c r="D118" i="2" l="1"/>
  <c r="E118" i="2"/>
  <c r="D119" i="2" l="1"/>
  <c r="E119" i="2"/>
  <c r="D120" i="2" l="1"/>
  <c r="E120" i="2"/>
  <c r="D121" i="2" l="1"/>
  <c r="E121" i="2"/>
  <c r="D122" i="2" l="1"/>
  <c r="E122" i="2"/>
  <c r="D123" i="2" l="1"/>
  <c r="E123" i="2"/>
  <c r="D124" i="2" l="1"/>
  <c r="E124" i="2"/>
  <c r="D125" i="2" l="1"/>
  <c r="E125" i="2"/>
  <c r="CI2" i="1" l="1"/>
  <c r="CR7" i="1"/>
  <c r="DX2" i="1" l="1"/>
  <c r="CO2" i="1"/>
  <c r="CI6" i="1"/>
  <c r="DW2" i="1"/>
  <c r="ID2" i="1"/>
  <c r="IQ2" i="1"/>
  <c r="HE8" i="1" l="1"/>
  <c r="CR2" i="1"/>
  <c r="CR5" i="1"/>
  <c r="GQ2" i="1" l="1"/>
  <c r="DJ2" i="1"/>
  <c r="HF5" i="1"/>
  <c r="JG5" i="1"/>
  <c r="DR2" i="1" l="1"/>
  <c r="DR6" i="1"/>
  <c r="HN2" i="1"/>
  <c r="HN5" i="1"/>
  <c r="EG2" i="1" l="1"/>
  <c r="EJ2" i="1" s="1"/>
  <c r="EG5" i="1"/>
  <c r="GM2" i="1"/>
  <c r="DM5" i="1"/>
  <c r="HF2" i="1"/>
  <c r="HG5" i="1"/>
  <c r="GU2" i="1" l="1"/>
  <c r="GY2" i="1" s="1"/>
  <c r="HC2" i="1" s="1"/>
  <c r="EI2" i="1"/>
  <c r="EK2" i="1" s="1"/>
  <c r="EL2" i="1" s="1"/>
  <c r="FB5" i="1"/>
  <c r="FB2" i="1"/>
  <c r="HO2" i="1"/>
  <c r="DS2" i="1"/>
  <c r="FM2" i="1"/>
  <c r="FC2" i="1" l="1"/>
  <c r="FC6" i="1"/>
  <c r="HG2" i="1"/>
  <c r="FZ2" i="1"/>
  <c r="DT2" i="1"/>
  <c r="GA2" i="1"/>
  <c r="EY2" i="1"/>
  <c r="EH2" i="1"/>
  <c r="FP2" i="1"/>
  <c r="FO2" i="1"/>
  <c r="FN2" i="1"/>
  <c r="FL5" i="1" l="1"/>
  <c r="FI5" i="1"/>
  <c r="FH5" i="1"/>
  <c r="FK5" i="1"/>
  <c r="FK2" i="1"/>
  <c r="FI2" i="1"/>
  <c r="FH2" i="1"/>
  <c r="FJ2" i="1"/>
  <c r="FL2" i="1"/>
  <c r="FJ5" i="1"/>
  <c r="HI2" i="1"/>
  <c r="HJ2" i="1" s="1"/>
  <c r="HK2" i="1" s="1"/>
  <c r="HV2" i="1"/>
  <c r="FG5" i="1"/>
  <c r="FG2" i="1"/>
  <c r="GB2" i="1"/>
  <c r="GG2" i="1"/>
  <c r="ES2" i="1"/>
  <c r="IC7" i="1"/>
  <c r="FQ2" i="1" l="1"/>
  <c r="GD2" i="1"/>
  <c r="GE2" i="1" s="1"/>
  <c r="DS6" i="1"/>
  <c r="GF2" i="1"/>
  <c r="GH2" i="1"/>
  <c r="GI2" i="1"/>
  <c r="GJ2" i="1" s="1"/>
  <c r="EU2" i="1"/>
  <c r="ET2" i="1"/>
  <c r="DQ5" i="1"/>
  <c r="FA8" i="1" l="1"/>
  <c r="EV2" i="1"/>
  <c r="EW2" i="1" s="1"/>
  <c r="DD68" i="2"/>
  <c r="DD24" i="2"/>
  <c r="DD32" i="2"/>
  <c r="DD16" i="2"/>
  <c r="DE68" i="2"/>
  <c r="DE69" i="2" s="1"/>
  <c r="DH68" i="2" s="1"/>
  <c r="DD40" i="2"/>
  <c r="DD8" i="2"/>
  <c r="DD17" i="2"/>
  <c r="DD25" i="2"/>
  <c r="DD33" i="2"/>
  <c r="DD67" i="2"/>
  <c r="DD69" i="2" s="1"/>
  <c r="EO2" i="1"/>
  <c r="DD75" i="2"/>
  <c r="DD78" i="2" s="1"/>
  <c r="DD41" i="2"/>
  <c r="DD9" i="2"/>
  <c r="CX1" i="2" l="1"/>
  <c r="CX2" i="2" s="1"/>
  <c r="DD44" i="2"/>
  <c r="EN2" i="4"/>
  <c r="EX2" i="1"/>
  <c r="EP2" i="1"/>
  <c r="EQ2" i="1" s="1"/>
  <c r="EO2" i="4" l="1"/>
  <c r="EW2" i="4"/>
  <c r="GN2" i="4" s="1"/>
  <c r="EM2" i="1"/>
  <c r="HB2" i="1" s="1"/>
  <c r="ER2" i="1"/>
  <c r="GO2" i="1"/>
  <c r="EZ2" i="1"/>
  <c r="GK2" i="1"/>
  <c r="HA2" i="4"/>
  <c r="EP2" i="4" l="1"/>
  <c r="EX6" i="4"/>
  <c r="EY2" i="4"/>
  <c r="GJ2" i="4"/>
  <c r="GK2" i="4" s="1"/>
  <c r="GR2" i="1"/>
  <c r="GP2" i="1"/>
  <c r="GL2" i="1"/>
  <c r="GS2" i="1"/>
  <c r="GN2" i="1"/>
  <c r="GO2" i="4"/>
  <c r="GQ2" i="4"/>
  <c r="EL7" i="4" l="1"/>
  <c r="EQ2" i="4"/>
  <c r="GR2" i="4"/>
  <c r="GV2" i="4" s="1"/>
  <c r="GM2" i="4"/>
  <c r="GW2" i="1"/>
  <c r="HA2" i="1" s="1"/>
  <c r="HD2" i="1" s="1"/>
  <c r="GT2" i="1"/>
  <c r="GV2" i="1"/>
  <c r="GZ2" i="4" l="1"/>
  <c r="HC2" i="4" s="1"/>
  <c r="GU2" i="4"/>
  <c r="HK2" i="4" s="1"/>
  <c r="GS2" i="4"/>
  <c r="DF9" i="2"/>
  <c r="DF8" i="2"/>
  <c r="DF24" i="2" s="1"/>
  <c r="HM2" i="1"/>
  <c r="HL2" i="1"/>
  <c r="GZ2" i="1"/>
  <c r="GX2" i="1"/>
  <c r="GW2" i="4"/>
  <c r="GY2" i="4"/>
  <c r="HD7" i="4"/>
  <c r="HL2" i="4" l="1"/>
  <c r="DF40" i="2"/>
  <c r="DG8" i="2"/>
  <c r="DF25" i="2"/>
  <c r="DF28" i="2" s="1"/>
  <c r="DF41" i="2"/>
  <c r="DG9" i="2"/>
  <c r="DG51" i="2" l="1"/>
  <c r="DI51" i="2" s="1"/>
  <c r="CX3" i="2"/>
  <c r="DH51" i="2"/>
  <c r="DJ51" i="2" s="1"/>
  <c r="DH50" i="2"/>
  <c r="DJ50" i="2" s="1"/>
  <c r="DG40" i="2"/>
  <c r="DG24" i="2"/>
  <c r="DH24" i="2" s="1"/>
  <c r="DG25" i="2"/>
  <c r="DH25" i="2" s="1"/>
  <c r="DG41" i="2"/>
  <c r="DH41" i="2" s="1"/>
  <c r="DH9" i="2"/>
  <c r="DG50" i="2"/>
  <c r="DI50" i="2" s="1"/>
  <c r="DH40" i="2"/>
  <c r="DH8" i="2"/>
  <c r="DE46" i="2" l="1"/>
  <c r="DH44" i="2"/>
  <c r="DH28" i="2"/>
  <c r="DH12" i="2"/>
  <c r="DF46" i="2"/>
  <c r="CX4" i="2"/>
  <c r="CX5" i="2" s="1"/>
  <c r="CX6" i="2"/>
  <c r="CX9" i="2" s="1"/>
  <c r="CX10" i="2" l="1"/>
  <c r="CX11" i="2" s="1"/>
  <c r="DE53" i="2"/>
  <c r="DE48" i="2"/>
  <c r="DE50" i="2" s="1"/>
</calcChain>
</file>

<file path=xl/sharedStrings.xml><?xml version="1.0" encoding="utf-8"?>
<sst xmlns="http://schemas.openxmlformats.org/spreadsheetml/2006/main" count="3007" uniqueCount="755">
  <si>
    <t>FIELDS</t>
  </si>
  <si>
    <t>C1.RETSTAT</t>
  </si>
  <si>
    <t>C1.CUSNUM</t>
  </si>
  <si>
    <t>C1.ID</t>
  </si>
  <si>
    <t>FNAME</t>
  </si>
  <si>
    <t>LNAME</t>
  </si>
  <si>
    <t>DOB</t>
  </si>
  <si>
    <t>SDOB</t>
  </si>
  <si>
    <t>PSEX</t>
  </si>
  <si>
    <t>SSEX</t>
  </si>
  <si>
    <t>FORMULAS</t>
  </si>
  <si>
    <t>DOPT:</t>
  </si>
  <si>
    <t>I/O/B</t>
  </si>
  <si>
    <t>I</t>
  </si>
  <si>
    <t>Field Name</t>
  </si>
  <si>
    <t>Plan Name:</t>
  </si>
  <si>
    <t>Group:</t>
  </si>
  <si>
    <t>1</t>
  </si>
  <si>
    <t>Case #:</t>
  </si>
  <si>
    <t>VAL_SDOB</t>
  </si>
  <si>
    <t>O</t>
  </si>
  <si>
    <t>MSTAT</t>
  </si>
  <si>
    <t>F</t>
  </si>
  <si>
    <t>DOH</t>
  </si>
  <si>
    <t>DOP</t>
  </si>
  <si>
    <t>DOTE</t>
  </si>
  <si>
    <t>FORM_CODE_NSF</t>
  </si>
  <si>
    <t>FORM_CODE_NMF</t>
  </si>
  <si>
    <t>SPCNSF</t>
  </si>
  <si>
    <t>SPCNMF</t>
  </si>
  <si>
    <t>MTHSNSF</t>
  </si>
  <si>
    <t>MTHSNMF</t>
  </si>
  <si>
    <t>2</t>
  </si>
  <si>
    <t>FORM_CODE</t>
  </si>
  <si>
    <t>B</t>
  </si>
  <si>
    <t>SPC_VAL</t>
  </si>
  <si>
    <t>MTHS</t>
  </si>
  <si>
    <t>DOR</t>
  </si>
  <si>
    <t>ANB</t>
  </si>
  <si>
    <t>SANB</t>
  </si>
  <si>
    <t>NRA</t>
  </si>
  <si>
    <t>NRD</t>
  </si>
  <si>
    <t>BDEUAS</t>
  </si>
  <si>
    <t>EDEUAS</t>
  </si>
  <si>
    <t>EURA_XRA</t>
  </si>
  <si>
    <t>BDERDLEV</t>
  </si>
  <si>
    <t>EDERDLEV</t>
  </si>
  <si>
    <t>ERA_XRA</t>
  </si>
  <si>
    <t>XRA</t>
  </si>
  <si>
    <t>XRD</t>
  </si>
  <si>
    <t>SXRA</t>
  </si>
  <si>
    <t>SAGELEV</t>
  </si>
  <si>
    <t>EAGELEV</t>
  </si>
  <si>
    <t>BL</t>
  </si>
  <si>
    <t>ME_XRD</t>
  </si>
  <si>
    <t>ERF_XRD</t>
  </si>
  <si>
    <t>BFCF_XRD</t>
  </si>
  <si>
    <t>ME_ERD</t>
  </si>
  <si>
    <t>ERF_ERD</t>
  </si>
  <si>
    <t>PVF_LEV_ANN</t>
  </si>
  <si>
    <t>LOAD_PCT</t>
  </si>
  <si>
    <t>PVMB_4022C</t>
  </si>
  <si>
    <t>PVMB_TITLE_IV</t>
  </si>
  <si>
    <t>XRD_MB_TERM</t>
  </si>
  <si>
    <t>PVMB_TERM</t>
  </si>
  <si>
    <t>PVPBL_ANN_RATES</t>
  </si>
  <si>
    <t>PVF_LEV_LS</t>
  </si>
  <si>
    <t>LS_TERM</t>
  </si>
  <si>
    <t>LSOPTION</t>
  </si>
  <si>
    <t>ANNUITY_STATUS_VAL</t>
  </si>
  <si>
    <t>ANNUITY_STATUS_PAY</t>
  </si>
  <si>
    <t>TERM_LW_ANB</t>
  </si>
  <si>
    <t>TERM_LW_XRA</t>
  </si>
  <si>
    <t>POPLIM</t>
  </si>
  <si>
    <t>RETRO_EURD_IND</t>
  </si>
  <si>
    <t>ML_XRD</t>
  </si>
  <si>
    <t>LRF_XRD</t>
  </si>
  <si>
    <t>Participant's Last Name</t>
  </si>
  <si>
    <t>Participant's Gender</t>
  </si>
  <si>
    <t>Beneficiary's Gender</t>
  </si>
  <si>
    <t>Marital Status</t>
  </si>
  <si>
    <t>Participant's Date of Birth</t>
  </si>
  <si>
    <t>Beneficiary's Date of Birth</t>
  </si>
  <si>
    <t>Beneficiary's Date of Birth for the Valuation</t>
  </si>
  <si>
    <t>Date of Termination of Employment</t>
  </si>
  <si>
    <t>Age Nearest Birthday at DOPT</t>
  </si>
  <si>
    <t>Beneficiary's Age Nearest Birthday at DOPT</t>
  </si>
  <si>
    <t>Normal Retirement Age</t>
  </si>
  <si>
    <t>Normal Retirement Date</t>
  </si>
  <si>
    <t>TERM_MB_EURD_NSF</t>
  </si>
  <si>
    <t>Earliest Unreduced Retirement Date for Payment Purposes</t>
  </si>
  <si>
    <t>N</t>
  </si>
  <si>
    <t>Earliest_Payment_Date</t>
  </si>
  <si>
    <t>DOPT</t>
  </si>
  <si>
    <t>Interest Rates</t>
  </si>
  <si>
    <t>TERM_MB_ERD_NSF</t>
  </si>
  <si>
    <t>Earliest Retirement Date for Payment Purposes</t>
  </si>
  <si>
    <t>BFCF_ARD</t>
  </si>
  <si>
    <t>ME_ARD</t>
  </si>
  <si>
    <t>ERF_ARD</t>
  </si>
  <si>
    <t>TERM_MB_ARD</t>
  </si>
  <si>
    <t>Date of Retirement</t>
  </si>
  <si>
    <t>End Date for Earliest Unreduced Retirement Benefit</t>
  </si>
  <si>
    <t>Earliest Unreduced Retirement Age as of DOPT for XRA Determination</t>
  </si>
  <si>
    <t>Earliest Retirement Age as of DOPT for XRA Determination</t>
  </si>
  <si>
    <t>End Date for Earliest Retirement Benefit</t>
  </si>
  <si>
    <t>Benefit Level for XRA</t>
  </si>
  <si>
    <t>Participant's Expected Retirement Age</t>
  </si>
  <si>
    <t>Participant's Expected Retirement Date</t>
  </si>
  <si>
    <t>Beneficiary's Expected Retirement Age</t>
  </si>
  <si>
    <t>Normal Single Form of Annuity</t>
  </si>
  <si>
    <t>Normal Married Form of Annuity</t>
  </si>
  <si>
    <t>Survivor Percentage for Normal Single Form of Annuity</t>
  </si>
  <si>
    <t>Survivor Percentage for Normal Married Form of Annuity</t>
  </si>
  <si>
    <t>Months Certain for Normal Single Form of Annuity</t>
  </si>
  <si>
    <t>Months Certain for Normal Married Form of Annuity</t>
  </si>
  <si>
    <t>Form of Annuity for XRD Benefit</t>
  </si>
  <si>
    <t>Surivor Percentage for XRD Form of Annuity</t>
  </si>
  <si>
    <t>Months Certain for XRD Form of Annuity</t>
  </si>
  <si>
    <t>Starting Age for XRD Benefit</t>
  </si>
  <si>
    <t>Ending Age for XRD Benefit</t>
  </si>
  <si>
    <t>Months Early at XRD</t>
  </si>
  <si>
    <t>Early Retirement Factor at XRD</t>
  </si>
  <si>
    <t>Benefit Form Conversion Factor at XRD</t>
  </si>
  <si>
    <t>Benefit Form Conversion Factor at XRD for Lump Sum Calculation</t>
  </si>
  <si>
    <t>Months Late at XRD From NRD</t>
  </si>
  <si>
    <t>Late Retirement Factor at XRD</t>
  </si>
  <si>
    <t>Present Value of Title IV Benefit Without Load</t>
  </si>
  <si>
    <t>Annuity Present Value Factor</t>
  </si>
  <si>
    <t>Load for Title IV Liability</t>
  </si>
  <si>
    <t>Load for Plan Benefit Liability</t>
  </si>
  <si>
    <t>Load for 4022c Benefit Liability</t>
  </si>
  <si>
    <t>Load for Termination Benefit Liability</t>
  </si>
  <si>
    <t>Present Value of Title IV Benefit Including Load</t>
  </si>
  <si>
    <t>Present Value of Plan Benefit Liability Including Load</t>
  </si>
  <si>
    <t>Present Value of Total 4022c Benefit Including Load</t>
  </si>
  <si>
    <t>Present Value of Termination Benefit Including Load</t>
  </si>
  <si>
    <t>XRD Termination Monthly Benefit for Lump Sum Calculation</t>
  </si>
  <si>
    <t>Present Value Factor Using Lump Sum Rates and Mortality Assumptions</t>
  </si>
  <si>
    <t>Lump Sum Amount</t>
  </si>
  <si>
    <t>Lump Sum Option</t>
  </si>
  <si>
    <t>Status For Payment Purposes</t>
  </si>
  <si>
    <t>Liability Weighted Age Nearest Birthday</t>
  </si>
  <si>
    <t>Liability Weighted Expected Retirement Age</t>
  </si>
  <si>
    <t>Present Value of Plan Benefit Liability Without Load</t>
  </si>
  <si>
    <t>Present Value of 4022c Benefit Without Load</t>
  </si>
  <si>
    <t>Present Value of Termination Benefit Without Load</t>
  </si>
  <si>
    <t>Load Percentage</t>
  </si>
  <si>
    <t>XRD Benefit Limit</t>
  </si>
  <si>
    <t>Eligibility for Early Unreduced Benefits Indicator</t>
  </si>
  <si>
    <t>Factor</t>
  </si>
  <si>
    <t>Lump Sum Rates</t>
  </si>
  <si>
    <t>Annuity Rates</t>
  </si>
  <si>
    <t>PBGC Optional Forms Rates</t>
  </si>
  <si>
    <t>Annuity_Criteria</t>
  </si>
  <si>
    <t>Number of Annuity Type Participants:</t>
  </si>
  <si>
    <t>(1)</t>
  </si>
  <si>
    <t>PRESENT VALUE TOTALS</t>
  </si>
  <si>
    <t>Number of Annuity Type Participants x $200:</t>
  </si>
  <si>
    <t>(2)</t>
  </si>
  <si>
    <t>Total PVPBL (no load) for Annuity Type Participants:</t>
  </si>
  <si>
    <t>(3)</t>
  </si>
  <si>
    <t>Lump Sum</t>
  </si>
  <si>
    <t>Present  Value</t>
  </si>
  <si>
    <t>Present Value</t>
  </si>
  <si>
    <t>Flat Rate (5% of the first $200,000 of PVPBL):</t>
  </si>
  <si>
    <t>(4)</t>
  </si>
  <si>
    <t>Count</t>
  </si>
  <si>
    <t>Rates</t>
  </si>
  <si>
    <t>Without Load</t>
  </si>
  <si>
    <t>Load</t>
  </si>
  <si>
    <t>With Load</t>
  </si>
  <si>
    <t>SubTotal ($200 per participant + flat rate):</t>
  </si>
  <si>
    <t>(5)</t>
  </si>
  <si>
    <t>Excess of PVPBL over $200,000:</t>
  </si>
  <si>
    <t>(6)</t>
  </si>
  <si>
    <t>Title IV:</t>
  </si>
  <si>
    <t>NA</t>
  </si>
  <si>
    <t>All_Criteria</t>
  </si>
  <si>
    <t>Initial Annuity Interest Rate:</t>
  </si>
  <si>
    <t>(7)</t>
  </si>
  <si>
    <t>1% + (Initial Annuity Interest Rate - 7.5%)/10:</t>
  </si>
  <si>
    <t>(8)</t>
  </si>
  <si>
    <t>Excess Load (6) x (8):</t>
  </si>
  <si>
    <t>(9)</t>
  </si>
  <si>
    <t>&gt;"0"</t>
  </si>
  <si>
    <t>Total Load (subtotal + excess load):</t>
  </si>
  <si>
    <t>(10)</t>
  </si>
  <si>
    <t>Load Percentage (10) / (3) (Formula):</t>
  </si>
  <si>
    <t>(11)</t>
  </si>
  <si>
    <t>UNGB:</t>
  </si>
  <si>
    <t>Participant_Criteria</t>
  </si>
  <si>
    <t>Load Percentage (Fixed)</t>
  </si>
  <si>
    <t>&lt;===</t>
  </si>
  <si>
    <t>PBL:</t>
  </si>
  <si>
    <t>Beneficiary_Criteria</t>
  </si>
  <si>
    <t>4022c:</t>
  </si>
  <si>
    <t>Term:</t>
  </si>
  <si>
    <t>A</t>
  </si>
  <si>
    <t>Title IV PV:</t>
  </si>
  <si>
    <t>Total</t>
  </si>
  <si>
    <t>Average</t>
  </si>
  <si>
    <t>Final Assets:</t>
  </si>
  <si>
    <t>Term_LW_ANB</t>
  </si>
  <si>
    <t>Term_LW_XRA</t>
  </si>
  <si>
    <t>C</t>
  </si>
  <si>
    <t>UGB (A - B):</t>
  </si>
  <si>
    <t>D</t>
  </si>
  <si>
    <t>E</t>
  </si>
  <si>
    <t>UBL: (C + D)</t>
  </si>
  <si>
    <t>SPARR:</t>
  </si>
  <si>
    <t>G</t>
  </si>
  <si>
    <t>H</t>
  </si>
  <si>
    <t>Term PV (A + G):</t>
  </si>
  <si>
    <t>QPSA_PVF</t>
  </si>
  <si>
    <t>QPSA Present Value Factor</t>
  </si>
  <si>
    <t>Present Value of Title IV Benefit Without QPSA and Load</t>
  </si>
  <si>
    <t>Present Value of Plan Benefit Liability Without QPSA and Load</t>
  </si>
  <si>
    <t>Present Value of 4022c Benefit Without QPSA and Load</t>
  </si>
  <si>
    <t>Present Value of Termination Benefit Without QPSA and Load</t>
  </si>
  <si>
    <t>Present Value of Title IV QPSA Benefit</t>
  </si>
  <si>
    <t>Present Value of Plan QPSA Benefit Liability</t>
  </si>
  <si>
    <t>Present Value of 4022c QPSA Benefit</t>
  </si>
  <si>
    <t>Present Value of Termination QPSA  Benefit</t>
  </si>
  <si>
    <t>RETTYP</t>
  </si>
  <si>
    <t>Type of Retirement</t>
  </si>
  <si>
    <t>U</t>
  </si>
  <si>
    <t>AMB</t>
  </si>
  <si>
    <t>VB</t>
  </si>
  <si>
    <t>4022c: (D x F):</t>
  </si>
  <si>
    <t>ARA</t>
  </si>
  <si>
    <t>SARA</t>
  </si>
  <si>
    <t>ANB_XRD</t>
  </si>
  <si>
    <t>SANB_XRD</t>
  </si>
  <si>
    <t>Participant's First Name</t>
  </si>
  <si>
    <t>Participant's Age Nearest Birthday at XRD</t>
  </si>
  <si>
    <t>Beneficiary's Age Nearest Birthday at XRD</t>
  </si>
  <si>
    <t>VS</t>
  </si>
  <si>
    <t>Vesting Service</t>
  </si>
  <si>
    <t>VP</t>
  </si>
  <si>
    <t>Actives</t>
  </si>
  <si>
    <t>SSSN</t>
  </si>
  <si>
    <t>SFNAME</t>
  </si>
  <si>
    <t>SLNAME</t>
  </si>
  <si>
    <t>M</t>
  </si>
  <si>
    <t>Late Retirement Factor</t>
  </si>
  <si>
    <t>BS_Ind</t>
  </si>
  <si>
    <t>BR_Ind</t>
  </si>
  <si>
    <t>Benefit Statement Indicator</t>
  </si>
  <si>
    <t>Benefit Recalculation Indicator</t>
  </si>
  <si>
    <t>DOD</t>
  </si>
  <si>
    <t>PRSAC</t>
  </si>
  <si>
    <t>SJSWC</t>
  </si>
  <si>
    <t>9</t>
  </si>
  <si>
    <t>Pre-Retirement Annuity Waiver Code</t>
  </si>
  <si>
    <t>Spouse J&amp;S Waiver Code</t>
  </si>
  <si>
    <t>SSN</t>
  </si>
  <si>
    <t>S013</t>
  </si>
  <si>
    <t>CS</t>
  </si>
  <si>
    <t>Year of Birth</t>
  </si>
  <si>
    <t>Year of Termination</t>
  </si>
  <si>
    <t>1991</t>
  </si>
  <si>
    <t xml:space="preserve"> </t>
  </si>
  <si>
    <t>PBGC MAX</t>
  </si>
  <si>
    <t>PBGC Early Retirement Factor</t>
  </si>
  <si>
    <t>PBGC BFCF Rates</t>
  </si>
  <si>
    <t>Age</t>
  </si>
  <si>
    <t>XRD_MB_4022C</t>
  </si>
  <si>
    <t>Participant's Social Security Number</t>
  </si>
  <si>
    <t>Beneficiary's Social Security Number</t>
  </si>
  <si>
    <t>Beneficiary's First Name</t>
  </si>
  <si>
    <t>Beneficiary's Last Name</t>
  </si>
  <si>
    <t>Plan Administrator Date of Participation</t>
  </si>
  <si>
    <t>Date of Hire</t>
  </si>
  <si>
    <t>D002</t>
  </si>
  <si>
    <t>D003</t>
  </si>
  <si>
    <t>Plan Administrator Credited Service</t>
  </si>
  <si>
    <t>Calculated Credited Service at NRD</t>
  </si>
  <si>
    <t>Calculated Credited Service at DOPT</t>
  </si>
  <si>
    <t>Calculated Service at DOPT-3</t>
  </si>
  <si>
    <t>DOPT-3</t>
  </si>
  <si>
    <t>S001</t>
  </si>
  <si>
    <t>S002</t>
  </si>
  <si>
    <t>S003</t>
  </si>
  <si>
    <t>S004</t>
  </si>
  <si>
    <t>S005</t>
  </si>
  <si>
    <t>S006</t>
  </si>
  <si>
    <t>S007</t>
  </si>
  <si>
    <t>S008</t>
  </si>
  <si>
    <t>S009</t>
  </si>
  <si>
    <t>S010</t>
  </si>
  <si>
    <t>S011</t>
  </si>
  <si>
    <t>S012</t>
  </si>
  <si>
    <t>S014</t>
  </si>
  <si>
    <t>Accrued Monthly Benefit at DOPT</t>
  </si>
  <si>
    <t>Accrued Monthly Benefit at DOPT-3</t>
  </si>
  <si>
    <t>Vesting Service at DOPT</t>
  </si>
  <si>
    <t>Vesting Service at DOPT-3</t>
  </si>
  <si>
    <t>Vesting Percentage at DOPT-3</t>
  </si>
  <si>
    <t>Vesting Percentage at DOPT</t>
  </si>
  <si>
    <t>Vesting Table</t>
  </si>
  <si>
    <t>Vesting Percent</t>
  </si>
  <si>
    <t>Vested Monthly Benefit at DOPT</t>
  </si>
  <si>
    <t>Vested Monthly Benefit at DOPT-3</t>
  </si>
  <si>
    <t>Plan Administrator Credited Service at NRD</t>
  </si>
  <si>
    <t>Plan Administrator Accrued Monthly Benefit</t>
  </si>
  <si>
    <t>Plan's Earliest Unreduced Retirement Date at DOPT</t>
  </si>
  <si>
    <t>Plan's Earliest Retirement Date at DOPT</t>
  </si>
  <si>
    <t>Months Early</t>
  </si>
  <si>
    <t>ERF</t>
  </si>
  <si>
    <t>Early Retirement Factor Table</t>
  </si>
  <si>
    <t>Months Late</t>
  </si>
  <si>
    <t>LRF</t>
  </si>
  <si>
    <t>Late Retirement Factor Table</t>
  </si>
  <si>
    <t>Beneficiary Age   -------&gt;</t>
  </si>
  <si>
    <t>IMM</t>
  </si>
  <si>
    <t xml:space="preserve"> Plan Monthly Benefit at XRD</t>
  </si>
  <si>
    <t>Title IV Monthly Benefit at XRD</t>
  </si>
  <si>
    <t>XRD_MB_TITLE_IV</t>
  </si>
  <si>
    <t>4022(c) Benefit at XRD</t>
  </si>
  <si>
    <t>Termination Monthly Benefit Payable at XRD</t>
  </si>
  <si>
    <t>Probability of Death Between DOPT and XRD</t>
  </si>
  <si>
    <t>PC5_4022C_AR</t>
  </si>
  <si>
    <t>Max at 65 as SLA</t>
  </si>
  <si>
    <t>MAXLIM_DOPT</t>
  </si>
  <si>
    <t>Short Service Factor</t>
  </si>
  <si>
    <t>PC5_4022C_AR (Formula)</t>
  </si>
  <si>
    <t>PC5_4022C_AR (Fixed)</t>
  </si>
  <si>
    <t>Termination Monthly Benefit Payable to Surviving Spouse at XRD</t>
  </si>
  <si>
    <t>PV of Termination Benefit in Plan Normal Single Form Using PBGC Optional Forms Assumptions</t>
  </si>
  <si>
    <t>PBGC Optional SLA Benefit Amount</t>
  </si>
  <si>
    <t>PBGC Optional 10C&amp;C Benefit Amount</t>
  </si>
  <si>
    <t>PBGC Optional 15C&amp;C Benefit Amount</t>
  </si>
  <si>
    <t>PV of Termination Benefit in Plan Normal Married Form Using PBGC Optional Forms Assumptions</t>
  </si>
  <si>
    <t>PBGC Optional J&amp;50%S Benefit Amount</t>
  </si>
  <si>
    <t>PBGC Optional J&amp;75%S Benefit Amount</t>
  </si>
  <si>
    <t>PBGC Optional 5C&amp;C Benefit Amount</t>
  </si>
  <si>
    <t>PBGC Optional J&amp;100%S Benefit Amount</t>
  </si>
  <si>
    <t>PBGC Optional J&amp;50%S Popup Benefit Amount</t>
  </si>
  <si>
    <t>P</t>
  </si>
  <si>
    <t>PBGC_OPT_PV_NSF</t>
  </si>
  <si>
    <t>PBGC_OPT_PV_NMF</t>
  </si>
  <si>
    <t>PBGC_OPT_SLA</t>
  </si>
  <si>
    <t>PBGC_OPT_5CC</t>
  </si>
  <si>
    <t>PBGC_OPT_10CC</t>
  </si>
  <si>
    <t>PBGC_OPT_15CC</t>
  </si>
  <si>
    <t>PBGC_OPT_JS50</t>
  </si>
  <si>
    <t>PBGC_OPT_JS75</t>
  </si>
  <si>
    <t>PBGC_OPT_JS100</t>
  </si>
  <si>
    <t>PBGC_OPT_JSPOPUP</t>
  </si>
  <si>
    <t>SERV_PROJ_NRD</t>
  </si>
  <si>
    <t>PC3_CS</t>
  </si>
  <si>
    <t>PC3_ACOMP</t>
  </si>
  <si>
    <t>SS_FACTOR</t>
  </si>
  <si>
    <t>PROJ_NRD_BEN</t>
  </si>
  <si>
    <t>PC3_PROJ_NRD_BEN</t>
  </si>
  <si>
    <t>AC_FACTOR</t>
  </si>
  <si>
    <t>PC3_AMB</t>
  </si>
  <si>
    <t>PA_AMB</t>
  </si>
  <si>
    <t>CSPA</t>
  </si>
  <si>
    <t>PA_ACOMP</t>
  </si>
  <si>
    <t>PC3_VS</t>
  </si>
  <si>
    <t>PC3_VP</t>
  </si>
  <si>
    <t>PC3_VB</t>
  </si>
  <si>
    <t>PL_EURD</t>
  </si>
  <si>
    <t>PL_ERD</t>
  </si>
  <si>
    <t>BFCF_XRD_LS</t>
  </si>
  <si>
    <t>XRD_PMB</t>
  </si>
  <si>
    <t>PVMB_TITLE_IV_NO_Q_NO_L</t>
  </si>
  <si>
    <t>PVPBL_ANN_RATES_NO_Q_NO_L</t>
  </si>
  <si>
    <t>PVMB_4022C_NO_Q_NO_L</t>
  </si>
  <si>
    <t>PVMB_TERM_NO_Q_NO_L</t>
  </si>
  <si>
    <t>PVMB_TITLE_IV_QPSA</t>
  </si>
  <si>
    <t>PVPBL_ANN_RATES_QPSA</t>
  </si>
  <si>
    <t>PVMB_4022C_QPSA</t>
  </si>
  <si>
    <t>PVMB_TERM_QPSA</t>
  </si>
  <si>
    <t>PVMB_TITLE_IV_NO_LOAD</t>
  </si>
  <si>
    <t>PVPBL_ANN_RATES_NO_LOAD</t>
  </si>
  <si>
    <t>PVMB_4022C_NO_LOAD</t>
  </si>
  <si>
    <t>TITLE_IV_LOAD</t>
  </si>
  <si>
    <t>PBL_LOAD</t>
  </si>
  <si>
    <t>TERM_LOAD</t>
  </si>
  <si>
    <t>XRD_MB_LS</t>
  </si>
  <si>
    <t>N001</t>
  </si>
  <si>
    <t>FORM_CODE_ARD</t>
  </si>
  <si>
    <t>SPC_ARD</t>
  </si>
  <si>
    <t>MTHS_ARD</t>
  </si>
  <si>
    <t>LOAD_4022C</t>
  </si>
  <si>
    <t>PVMB_TERM_NO_LOAD</t>
  </si>
  <si>
    <t>BSSN</t>
  </si>
  <si>
    <t>BFNAME</t>
  </si>
  <si>
    <t>BLNAME</t>
  </si>
  <si>
    <t>NON_SPOUSE_BENF</t>
  </si>
  <si>
    <t>Spouse's Social Security Number</t>
  </si>
  <si>
    <t>Spouse's First Name</t>
  </si>
  <si>
    <t>Spouse's Last Name</t>
  </si>
  <si>
    <t>Non-Spouse Beneficiay Indicator</t>
  </si>
  <si>
    <t>BSEX</t>
  </si>
  <si>
    <t>Spouse's Gender</t>
  </si>
  <si>
    <t>BDOB</t>
  </si>
  <si>
    <t>Spouse's Date of Birth</t>
  </si>
  <si>
    <t>N010</t>
  </si>
  <si>
    <t>PBGC Late Retirement Factor</t>
  </si>
  <si>
    <t>ANNUITY_TYPE</t>
  </si>
  <si>
    <t>Type of Annuity</t>
  </si>
  <si>
    <t>Retirees</t>
  </si>
  <si>
    <t>SDOD</t>
  </si>
  <si>
    <t>BDOD</t>
  </si>
  <si>
    <t>Spouse's Date of Death</t>
  </si>
  <si>
    <t>Beneficiary's Date of Death</t>
  </si>
  <si>
    <t>PAY_AMT1</t>
  </si>
  <si>
    <t>PHS</t>
  </si>
  <si>
    <t>Participant's Health Status</t>
  </si>
  <si>
    <t>0</t>
  </si>
  <si>
    <t>Deferred Beneficiaries</t>
  </si>
  <si>
    <t>AEQ</t>
  </si>
  <si>
    <t>CALC_INDICATOR</t>
  </si>
  <si>
    <t>V</t>
  </si>
  <si>
    <t>Lump Sum Present Value Factor for QPSA Benefit</t>
  </si>
  <si>
    <t>Lump Sum Value for QPSA Benefit</t>
  </si>
  <si>
    <t>XRD_SURV_MB_TERM</t>
  </si>
  <si>
    <t>TERM_SURV_MB_ARD</t>
  </si>
  <si>
    <t>PROB_DEATH</t>
  </si>
  <si>
    <t>PVF_QPSA_LS</t>
  </si>
  <si>
    <t>LS_QPSA</t>
  </si>
  <si>
    <t>N392</t>
  </si>
  <si>
    <t>Participant's Date of Death</t>
  </si>
  <si>
    <t>QPSA_INDICATOR</t>
  </si>
  <si>
    <t>QPSA Indicator</t>
  </si>
  <si>
    <t>Separated Vesteds</t>
  </si>
  <si>
    <t>BEN_CHNG_IND</t>
  </si>
  <si>
    <t>Benefit Change Indicator</t>
  </si>
  <si>
    <t>REASON</t>
  </si>
  <si>
    <t>Reason for Benefit Change</t>
  </si>
  <si>
    <t>BS_PARAGRAPH_1</t>
  </si>
  <si>
    <t>BS_PARAGRAPH_2</t>
  </si>
  <si>
    <t>MIL Paragraph for Benefits in Pay</t>
  </si>
  <si>
    <t>4022(c) Paragraphs for Benefits in Pay</t>
  </si>
  <si>
    <t>BFCF_RATIO_LS</t>
  </si>
  <si>
    <t>Ratio of Benefit Form Conversion Factors for Lump Sum Calculation</t>
  </si>
  <si>
    <t>T001</t>
  </si>
  <si>
    <t>Header for Benefit Statement</t>
  </si>
  <si>
    <t>Estimated Benefit in Pay</t>
  </si>
  <si>
    <t>N018</t>
  </si>
  <si>
    <t>Benefit in Elected PBGC Optional Form of Annuity</t>
  </si>
  <si>
    <t>N393</t>
  </si>
  <si>
    <t>N286</t>
  </si>
  <si>
    <t>PAY_AMT2</t>
  </si>
  <si>
    <t>Estimated Benefit in Pay for Beneficiary of Participant who Died after Retiring</t>
  </si>
  <si>
    <t>TERM_MB_NSF</t>
  </si>
  <si>
    <t>Termination Monthly Benefit in the Normal Single Form</t>
  </si>
  <si>
    <t>N230</t>
  </si>
  <si>
    <t>N231</t>
  </si>
  <si>
    <t>N232</t>
  </si>
  <si>
    <t>N233</t>
  </si>
  <si>
    <t>N234</t>
  </si>
  <si>
    <t>N235</t>
  </si>
  <si>
    <t>Beneficiaries</t>
  </si>
  <si>
    <t>Active Vesteds</t>
  </si>
  <si>
    <t>Alternate Payees</t>
  </si>
  <si>
    <t>Total 4022(c) Assets</t>
  </si>
  <si>
    <t>Total PC5 Liability</t>
  </si>
  <si>
    <t>.</t>
  </si>
  <si>
    <t>ENTER CELL CW11</t>
  </si>
  <si>
    <t>ENTER CELL DC57</t>
  </si>
  <si>
    <t>123456789</t>
  </si>
  <si>
    <t>PARTICIPANT</t>
  </si>
  <si>
    <t>D010</t>
  </si>
  <si>
    <t>Benefit Freeze Date</t>
  </si>
  <si>
    <t>D011</t>
  </si>
  <si>
    <t>Calc CS END Date</t>
  </si>
  <si>
    <t>Accrual Fraction</t>
  </si>
  <si>
    <t xml:space="preserve">Age:              </t>
  </si>
  <si>
    <t xml:space="preserve">Retirement      </t>
  </si>
  <si>
    <t>Benefit</t>
  </si>
  <si>
    <t>Benefit Amount</t>
  </si>
  <si>
    <t>D013</t>
  </si>
  <si>
    <t>Modern Industries Inc Collectively Bargained Plan</t>
  </si>
  <si>
    <t>T025</t>
  </si>
  <si>
    <t>Date at EURA_XRA</t>
  </si>
  <si>
    <t xml:space="preserve">BFCF </t>
  </si>
  <si>
    <t>Rates1</t>
  </si>
  <si>
    <t>Late Retirement Factor1</t>
  </si>
  <si>
    <t>was</t>
  </si>
  <si>
    <t>WAS</t>
  </si>
  <si>
    <t xml:space="preserve">PVMB_TITLE_IV_QPSA + PC5_QPSA_PVMB </t>
  </si>
  <si>
    <t>OLD</t>
  </si>
  <si>
    <t>VSPA</t>
  </si>
  <si>
    <t>Plan Administrator's Vesting Service</t>
  </si>
  <si>
    <t>T003</t>
  </si>
  <si>
    <t>Form of Annuity</t>
  </si>
  <si>
    <t>Actual Retirement Form Code</t>
  </si>
  <si>
    <t>Months Certain for Actual Retirement Form</t>
  </si>
  <si>
    <t>Benefit in Pay</t>
  </si>
  <si>
    <t>Spouse Percentage for Actual Retirment Form</t>
  </si>
  <si>
    <t>LEV_MB_ARD</t>
  </si>
  <si>
    <t>Months Late at EURD From NRD</t>
  </si>
  <si>
    <t>I002</t>
  </si>
  <si>
    <t>Late Retirement Factor at EURD</t>
  </si>
  <si>
    <t>Participant's Age at EURD</t>
  </si>
  <si>
    <t>Beneficiary's Age at EURD</t>
  </si>
  <si>
    <t>BFCF AT EURD</t>
  </si>
  <si>
    <t>I005</t>
  </si>
  <si>
    <t>I006</t>
  </si>
  <si>
    <t>N098</t>
  </si>
  <si>
    <t>Termination Monthly Benefit at EURD in the Normal Single Form</t>
  </si>
  <si>
    <t>Termination Benefit at EURD Payable To Beneficiary</t>
  </si>
  <si>
    <t>N099</t>
  </si>
  <si>
    <t>Months Early at ERD</t>
  </si>
  <si>
    <t>Early Retirement Factor at ERD</t>
  </si>
  <si>
    <t>LRF before 4/1/2000</t>
  </si>
  <si>
    <t>Participant's Age at ERD</t>
  </si>
  <si>
    <t>Beneficiary's Age at ERD</t>
  </si>
  <si>
    <t>BFCF AT ERD</t>
  </si>
  <si>
    <t>Termination Monthly Benefit at ERD in the Normal Single Form</t>
  </si>
  <si>
    <t>I007</t>
  </si>
  <si>
    <t>I008</t>
  </si>
  <si>
    <t>N100</t>
  </si>
  <si>
    <t>TERMINATION BENEFIT AT ERD PAYABLE TO BENEFICIARY</t>
  </si>
  <si>
    <t>N101</t>
  </si>
  <si>
    <t>Participant's Age Nearest Birthday at DOR</t>
  </si>
  <si>
    <t>Beneficiary's Age Nearest Birthday at DOR</t>
  </si>
  <si>
    <t>Benefit Form Conversion Factor at DOR</t>
  </si>
  <si>
    <t>Months Early at DOR</t>
  </si>
  <si>
    <t>Early Retirement Factor at DOR</t>
  </si>
  <si>
    <t>Months Late at DOR From NRD</t>
  </si>
  <si>
    <t>Late Retirement Factor at DOR</t>
  </si>
  <si>
    <t>DOR Termination Monthly Benefit Payable to the Participant</t>
  </si>
  <si>
    <t>I004</t>
  </si>
  <si>
    <t>N093</t>
  </si>
  <si>
    <t>Total Plan Benefit Liability Without QPSA and Load</t>
  </si>
  <si>
    <t>Total Plan QPSA without Load</t>
  </si>
  <si>
    <t>Total Plan Benefit Liability with QPSA before Load</t>
  </si>
  <si>
    <t>N105</t>
  </si>
  <si>
    <t>Guaranteed Benefit at XRD</t>
  </si>
  <si>
    <t xml:space="preserve">Total Plan Load </t>
  </si>
  <si>
    <t>Total Plan Liability</t>
  </si>
  <si>
    <t xml:space="preserve">Total Plan Benefit Without Load </t>
  </si>
  <si>
    <t>PC3_Date</t>
  </si>
  <si>
    <t>Eligibility for PC3 at DOPT-3</t>
  </si>
  <si>
    <t>BFCF_PC3</t>
  </si>
  <si>
    <t>ME_PC3</t>
  </si>
  <si>
    <t>ERF_PC3</t>
  </si>
  <si>
    <t>Months Late_PC3</t>
  </si>
  <si>
    <t>LRF_PC3</t>
  </si>
  <si>
    <t>PC3_LEV_MB</t>
  </si>
  <si>
    <t>PC3_BAS_ANNUITY_PVMB</t>
  </si>
  <si>
    <t>PC3_QPSA_PVMB</t>
  </si>
  <si>
    <t>PC3_BAS_LOAD_PVMB</t>
  </si>
  <si>
    <t>PC3_TOTAL_PV</t>
  </si>
  <si>
    <t>Funded PC3 %</t>
  </si>
  <si>
    <t>Funded PC3 Benefit</t>
  </si>
  <si>
    <t>PC3 UNGB Benefit</t>
  </si>
  <si>
    <t>I040</t>
  </si>
  <si>
    <t>I041</t>
  </si>
  <si>
    <t>T060</t>
  </si>
  <si>
    <t>N097</t>
  </si>
  <si>
    <t>N048</t>
  </si>
  <si>
    <t>N102</t>
  </si>
  <si>
    <t>N103</t>
  </si>
  <si>
    <t>PC3_LEVEL_MB</t>
  </si>
  <si>
    <t>N319</t>
  </si>
  <si>
    <t>N115</t>
  </si>
  <si>
    <t>N116</t>
  </si>
  <si>
    <t>N117</t>
  </si>
  <si>
    <t>Participant's Age Nearest Birthday DOPT-3</t>
  </si>
  <si>
    <t>Beneficiary's  Age Nearest Birthday at DOPT-3</t>
  </si>
  <si>
    <t xml:space="preserve"> sdob OR val_Sdob</t>
  </si>
  <si>
    <t xml:space="preserve">        ERF before 4/1/2000</t>
  </si>
  <si>
    <t>fix percent</t>
  </si>
  <si>
    <t>N107</t>
  </si>
  <si>
    <t>N118</t>
  </si>
  <si>
    <t xml:space="preserve">PC3 UNGB Liability Without Load </t>
  </si>
  <si>
    <t>N127</t>
  </si>
  <si>
    <t>PC3 UNGB liability</t>
  </si>
  <si>
    <t>N147</t>
  </si>
  <si>
    <t>Total Present Value for Priority Caregory 3</t>
  </si>
  <si>
    <t>was n095</t>
  </si>
  <si>
    <t>WAS N321</t>
  </si>
  <si>
    <t>WAS N095</t>
  </si>
  <si>
    <t>D012</t>
  </si>
  <si>
    <t>after VB</t>
  </si>
  <si>
    <t>&lt;Good</t>
  </si>
  <si>
    <t>use SDOB or VAL_SDOB</t>
  </si>
  <si>
    <t>Replace W with Y</t>
  </si>
  <si>
    <t>`</t>
  </si>
  <si>
    <t>MED</t>
  </si>
  <si>
    <t>Y</t>
  </si>
  <si>
    <t>Net Level Monthly Benefit for PC4 Payable as of XRD</t>
  </si>
  <si>
    <t xml:space="preserve">Present value of PC4 benefit </t>
  </si>
  <si>
    <t xml:space="preserve">Present value of PC4 QPSA benefit </t>
  </si>
  <si>
    <t>Present value of PC4 expense load</t>
  </si>
  <si>
    <t>Total Present Value for Priority Category 4</t>
  </si>
  <si>
    <t>PC4_Level_MB</t>
  </si>
  <si>
    <t>PC4_ANNUITY_PVMB</t>
  </si>
  <si>
    <t>PC4_QPSA_PVMB</t>
  </si>
  <si>
    <t>PC4_Load_PVMB</t>
  </si>
  <si>
    <t>PC4_TOTAL_PV</t>
  </si>
  <si>
    <t>N600</t>
  </si>
  <si>
    <t>Test XRD_MB_TITLE_IV</t>
  </si>
  <si>
    <t>WAS = CG2</t>
  </si>
  <si>
    <t>T067</t>
  </si>
  <si>
    <t>N119</t>
  </si>
  <si>
    <t>N120</t>
  </si>
  <si>
    <t>N121</t>
  </si>
  <si>
    <t>N122</t>
  </si>
  <si>
    <t>UNGB Benefit</t>
  </si>
  <si>
    <t>UNGB QPSA</t>
  </si>
  <si>
    <t>UNGB LOAD</t>
  </si>
  <si>
    <t>Total UNGB</t>
  </si>
  <si>
    <t>could be n122</t>
  </si>
  <si>
    <t>coulbe be n12</t>
  </si>
  <si>
    <t>N320</t>
  </si>
  <si>
    <t>Projected Benefit at NRD</t>
  </si>
  <si>
    <t>N318</t>
  </si>
  <si>
    <t>D004</t>
  </si>
  <si>
    <t>N317</t>
  </si>
  <si>
    <t>D005</t>
  </si>
  <si>
    <t>Test</t>
  </si>
  <si>
    <t>replace AS with AN</t>
  </si>
  <si>
    <t>N316</t>
  </si>
  <si>
    <t>N315</t>
  </si>
  <si>
    <t>Earliest NRD</t>
  </si>
  <si>
    <t>replace AL with AQ</t>
  </si>
  <si>
    <t>Replace AO2 with AP2</t>
  </si>
  <si>
    <t>NRA at Earliest NRD</t>
  </si>
  <si>
    <t>DOH + 30 YRS</t>
  </si>
  <si>
    <t>DOH to DOP</t>
  </si>
  <si>
    <t xml:space="preserve">Earliest NRA </t>
  </si>
  <si>
    <t>PREV</t>
  </si>
  <si>
    <t>XRA LINE 28</t>
  </si>
  <si>
    <t>N322</t>
  </si>
  <si>
    <t>Asset Allocation  Table</t>
  </si>
  <si>
    <t>Priority Category</t>
  </si>
  <si>
    <t>PC3</t>
  </si>
  <si>
    <t>Retirees and Benef</t>
  </si>
  <si>
    <t>Separated Vested</t>
  </si>
  <si>
    <t>Active Vested</t>
  </si>
  <si>
    <t>Net PC4</t>
  </si>
  <si>
    <t>Net PC5</t>
  </si>
  <si>
    <t>Assets</t>
  </si>
  <si>
    <t>Excess</t>
  </si>
  <si>
    <t>% Funded</t>
  </si>
  <si>
    <t>Funding % for Val</t>
  </si>
  <si>
    <t>CE_TRACK2</t>
  </si>
  <si>
    <t>CE_TRACK3</t>
  </si>
  <si>
    <t>CE_TRACK4</t>
  </si>
  <si>
    <t>CE_TRACK5</t>
  </si>
  <si>
    <t>CE_TRACK6</t>
  </si>
  <si>
    <t>CE_TRACK1</t>
  </si>
  <si>
    <t>D025</t>
  </si>
  <si>
    <t>was BH2 NOW CT2</t>
  </si>
  <si>
    <t>was BG2 NOW CS2</t>
  </si>
  <si>
    <t>n500</t>
  </si>
  <si>
    <t>change av2 to aq2</t>
  </si>
  <si>
    <t>test was t028</t>
  </si>
  <si>
    <t>Bankruptcy Petition Date</t>
  </si>
  <si>
    <t>SDOB_LS</t>
  </si>
  <si>
    <t>Spouse DOB for  Lump Sum</t>
  </si>
  <si>
    <t xml:space="preserve">was PVMB_TITLE_IV_NO_LOAD +bnnfa_PVMB_NO_LOAD </t>
  </si>
  <si>
    <t>DELETE BNNFA_PVMB_NO_LOAD FROM ABOVE FORMULA</t>
  </si>
  <si>
    <t>wAs</t>
  </si>
  <si>
    <t>PVMB_TITLE_IV + BNNFA_PVMB</t>
  </si>
  <si>
    <t>NOW PC3_TOTAL_PV + PC4_TOTAL_PV</t>
  </si>
  <si>
    <t>COULD BE JUST PVMB_TITLE_IV</t>
  </si>
  <si>
    <t>just TITLE_IV_LOAD</t>
  </si>
  <si>
    <t>was TITLE_IV_LOAD + BNNFA_LOAD</t>
  </si>
  <si>
    <t>BMNAME</t>
  </si>
  <si>
    <t>Beneficiary's Middle Name</t>
  </si>
  <si>
    <t>JUST CE2</t>
  </si>
  <si>
    <t>was df16, replace with 0</t>
  </si>
  <si>
    <t>was de16,replace with 0</t>
  </si>
  <si>
    <t>T061</t>
  </si>
  <si>
    <t>T062</t>
  </si>
  <si>
    <t>N327</t>
  </si>
  <si>
    <t>N326</t>
  </si>
  <si>
    <t>N325</t>
  </si>
  <si>
    <t>N324</t>
  </si>
  <si>
    <t>N328</t>
  </si>
  <si>
    <t>D006</t>
  </si>
  <si>
    <t>BPD</t>
  </si>
  <si>
    <t>Check</t>
  </si>
  <si>
    <t xml:space="preserve">Vesting Table 1 </t>
  </si>
  <si>
    <t>Total Present Value for Priority Category 3</t>
  </si>
  <si>
    <t>FOM 65TH Birthday</t>
  </si>
  <si>
    <t>FOM  57th Birthday</t>
  </si>
  <si>
    <t>T090</t>
  </si>
  <si>
    <t>T080</t>
  </si>
  <si>
    <r>
      <t xml:space="preserve">GREATER OF </t>
    </r>
    <r>
      <rPr>
        <b/>
        <sz val="10"/>
        <color rgb="FFFF0000"/>
        <rFont val="Arial"/>
        <family val="2"/>
      </rPr>
      <t xml:space="preserve">AO </t>
    </r>
    <r>
      <rPr>
        <b/>
        <sz val="10"/>
        <rFont val="Arial"/>
        <family val="2"/>
      </rPr>
      <t>AND AN</t>
    </r>
  </si>
  <si>
    <t>LAST</t>
  </si>
  <si>
    <t>FOM 57TH Birthday</t>
  </si>
  <si>
    <t>Projected Benefit at BPD-3</t>
  </si>
  <si>
    <t>Accrued Monthly Benefit at BPD-3</t>
  </si>
  <si>
    <t>T091</t>
  </si>
  <si>
    <t>IF DOTE &lt;D005</t>
  </si>
  <si>
    <t>20th Anniversary of DOP</t>
  </si>
  <si>
    <t>T092</t>
  </si>
  <si>
    <t>IF 57&gt;20TH DOP</t>
  </si>
  <si>
    <t>N400</t>
  </si>
  <si>
    <t>Actual years of Projected Service to NRD</t>
  </si>
  <si>
    <t>WAS DOH</t>
  </si>
  <si>
    <t>N401</t>
  </si>
  <si>
    <t>Matches N320</t>
  </si>
  <si>
    <t>N407</t>
  </si>
  <si>
    <t>Old AMB</t>
  </si>
  <si>
    <t xml:space="preserve">Initial Benefit Amount at Projected DOH  </t>
  </si>
  <si>
    <t>Upper Range of Benefit Amount</t>
  </si>
  <si>
    <t>Prorated Portion of Benefit</t>
  </si>
  <si>
    <t>Number of Years for Prorated Portion</t>
  </si>
  <si>
    <t>Prorated  Amount</t>
  </si>
  <si>
    <t xml:space="preserve"> Years from DOH Projected to NRD</t>
  </si>
  <si>
    <t>N340</t>
  </si>
  <si>
    <t>N341</t>
  </si>
  <si>
    <t>N342</t>
  </si>
  <si>
    <t>N343</t>
  </si>
  <si>
    <t>N344</t>
  </si>
  <si>
    <t>N345</t>
  </si>
  <si>
    <t>N346</t>
  </si>
  <si>
    <t>N347</t>
  </si>
  <si>
    <t>was doh</t>
  </si>
  <si>
    <t>Attained Age at DOH + 20</t>
  </si>
  <si>
    <t>Calculated Credited Service at  NRD</t>
  </si>
  <si>
    <t>N350</t>
  </si>
  <si>
    <t xml:space="preserve"> N350</t>
  </si>
  <si>
    <t>Test XRA</t>
  </si>
  <si>
    <t xml:space="preserve"> Years of Service from DOH Projected to NRD</t>
  </si>
  <si>
    <t>N549</t>
  </si>
  <si>
    <t>TEST XRA</t>
  </si>
  <si>
    <t>N548</t>
  </si>
  <si>
    <t>AB48-&gt;1</t>
  </si>
  <si>
    <t>N250</t>
  </si>
  <si>
    <t>ML</t>
  </si>
  <si>
    <t xml:space="preserve">  </t>
  </si>
  <si>
    <t>GU94</t>
  </si>
  <si>
    <t>GM83</t>
  </si>
  <si>
    <t>GM71</t>
  </si>
  <si>
    <t>WAS LAST</t>
  </si>
  <si>
    <t xml:space="preserve">WAS LAST </t>
  </si>
  <si>
    <t>N399</t>
  </si>
  <si>
    <t>new was</t>
  </si>
  <si>
    <t>last was</t>
  </si>
  <si>
    <t>was last</t>
  </si>
  <si>
    <t>N398</t>
  </si>
  <si>
    <t>70.5 Day</t>
  </si>
  <si>
    <t>70.5 RBD Date</t>
  </si>
  <si>
    <t>D052</t>
  </si>
  <si>
    <t>D050</t>
  </si>
  <si>
    <t>D051</t>
  </si>
  <si>
    <t>RBD Date</t>
  </si>
  <si>
    <t>AA20</t>
  </si>
  <si>
    <t>CN</t>
  </si>
  <si>
    <t>N495</t>
  </si>
  <si>
    <t>D065</t>
  </si>
  <si>
    <t>N602</t>
  </si>
  <si>
    <t>D053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</si>
</sst>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7" formatCode="&quot;$&quot;#,##0.00_);\(&quot;$&quot;#,##0.00\)"/>
    <numFmt numFmtId="164" formatCode="General_)"/>
    <numFmt numFmtId="165" formatCode="&quot;$&quot;#,##0.00"/>
    <numFmt numFmtId="166" formatCode="0.0000"/>
    <numFmt numFmtId="167" formatCode="&quot;$&quot;#,##0"/>
    <numFmt numFmtId="168" formatCode="&quot;$&quot;#,##0;[Red]&quot;$&quot;#,##0"/>
    <numFmt numFmtId="169" formatCode="&quot;$&quot;#,##0.00;[Red]&quot;$&quot;#,##0.00"/>
    <numFmt numFmtId="170" formatCode="0.0000%"/>
    <numFmt numFmtId="171" formatCode="#,##0.0000"/>
    <numFmt numFmtId="172" formatCode="0.0"/>
    <numFmt numFmtId="173" formatCode="0.0_)"/>
    <numFmt numFmtId="174" formatCode="0.000%"/>
    <numFmt numFmtId="175" formatCode="0.000000"/>
  </numFmts>
  <fonts count="20" x14ac:knownFonts="1">
    <font>
      <sz val="10"/>
      <name val="Arial"/>
    </font>
    <font>
      <sz val="10"/>
      <name val="Arial"/>
      <family val="2"/>
    </font>
    <font>
      <sz val="10"/>
      <color indexed="12"/>
      <name val="Arial"/>
      <family val="2"/>
    </font>
    <font>
      <sz val="10"/>
      <color indexed="10"/>
      <name val="Arial"/>
      <family val="2"/>
    </font>
    <font>
      <b/>
      <sz val="10"/>
      <name val="Arial"/>
      <family val="2"/>
    </font>
    <font>
      <b/>
      <i/>
      <sz val="10"/>
      <name val="Arial"/>
      <family val="2"/>
    </font>
    <font>
      <b/>
      <sz val="10"/>
      <color indexed="12"/>
      <name val="Arial"/>
      <family val="2"/>
    </font>
    <font>
      <b/>
      <sz val="10"/>
      <color indexed="14"/>
      <name val="Arial"/>
      <family val="2"/>
    </font>
    <font>
      <sz val="10"/>
      <color indexed="13"/>
      <name val="Arial"/>
      <family val="2"/>
    </font>
    <font>
      <b/>
      <sz val="8"/>
      <name val="Arial"/>
      <family val="2"/>
    </font>
    <font>
      <sz val="12"/>
      <name val="Tms Rmn"/>
    </font>
    <font>
      <sz val="12"/>
      <name val="Times New Roman"/>
      <family val="1"/>
    </font>
    <font>
      <b/>
      <sz val="12"/>
      <name val="Arial"/>
      <family val="2"/>
    </font>
    <font>
      <sz val="12"/>
      <name val="Arial"/>
      <family val="2"/>
    </font>
    <font>
      <sz val="10"/>
      <color indexed="48"/>
      <name val="Arial"/>
      <family val="2"/>
    </font>
    <font>
      <sz val="10"/>
      <color indexed="13"/>
      <name val="Arial"/>
      <family val="2"/>
    </font>
    <font>
      <sz val="10"/>
      <color theme="9"/>
      <name val="Arial"/>
      <family val="2"/>
    </font>
    <font>
      <b/>
      <sz val="12"/>
      <name val="Times New Roman"/>
      <family val="1"/>
    </font>
    <font>
      <b/>
      <sz val="10"/>
      <color rgb="FFFF0000"/>
      <name val="Arial"/>
      <family val="2"/>
    </font>
    <font>
      <sz val="11"/>
      <color rgb="FF1F497D"/>
      <name val="Calibri"/>
      <family val="2"/>
    </font>
  </fonts>
  <fills count="11">
    <fill>
      <patternFill patternType="none"/>
    </fill>
    <fill>
      <patternFill patternType="gray125"/>
    </fill>
    <fill>
      <patternFill patternType="solid">
        <fgColor indexed="22"/>
        <bgColor indexed="64"/>
      </patternFill>
    </fill>
    <fill>
      <patternFill patternType="solid">
        <fgColor indexed="11"/>
        <bgColor indexed="64"/>
      </patternFill>
    </fill>
    <fill>
      <patternFill patternType="solid">
        <fgColor indexed="17"/>
        <bgColor indexed="64"/>
      </patternFill>
    </fill>
    <fill>
      <patternFill patternType="solid">
        <fgColor rgb="FFFFFF00"/>
        <bgColor indexed="64"/>
      </patternFill>
    </fill>
    <fill>
      <patternFill patternType="solid">
        <fgColor rgb="FF00B050"/>
        <bgColor indexed="64"/>
      </patternFill>
    </fill>
    <fill>
      <patternFill patternType="solid">
        <fgColor theme="9"/>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s>
  <borders count="77">
    <border>
      <left/>
      <right/>
      <top/>
      <bottom/>
      <diagonal/>
    </border>
    <border>
      <left/>
      <right/>
      <top/>
      <bottom style="thick">
        <color indexed="10"/>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right/>
      <top style="double">
        <color indexed="64"/>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diagonal/>
    </border>
    <border>
      <left style="thin">
        <color indexed="64"/>
      </left>
      <right/>
      <top style="double">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double">
        <color indexed="64"/>
      </left>
      <right style="thin">
        <color indexed="64"/>
      </right>
      <top/>
      <bottom style="thin">
        <color indexed="64"/>
      </bottom>
      <diagonal/>
    </border>
    <border>
      <left style="thin">
        <color indexed="64"/>
      </left>
      <right style="medium">
        <color indexed="64"/>
      </right>
      <top style="thick">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double">
        <color indexed="64"/>
      </left>
      <right style="thin">
        <color indexed="64"/>
      </right>
      <top style="double">
        <color indexed="64"/>
      </top>
      <bottom/>
      <diagonal/>
    </border>
    <border>
      <left style="double">
        <color indexed="64"/>
      </left>
      <right style="thin">
        <color indexed="64"/>
      </right>
      <top/>
      <bottom style="double">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top style="thick">
        <color rgb="FFFF0000"/>
      </top>
      <bottom style="thick">
        <color rgb="FFFF0000"/>
      </bottom>
      <diagonal/>
    </border>
    <border>
      <left/>
      <right/>
      <top/>
      <bottom style="thick">
        <color rgb="FFFF0000"/>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ck">
        <color auto="1"/>
      </left>
      <right/>
      <top/>
      <bottom style="thick">
        <color auto="1"/>
      </bottom>
      <diagonal/>
    </border>
    <border>
      <left/>
      <right style="thick">
        <color auto="1"/>
      </right>
      <top/>
      <bottom style="thick">
        <color auto="1"/>
      </bottom>
      <diagonal/>
    </border>
    <border>
      <left/>
      <right/>
      <top/>
      <bottom style="thick">
        <color indexed="10"/>
      </bottom>
      <diagonal/>
    </border>
    <border>
      <left/>
      <right/>
      <top style="thick">
        <color rgb="FFFF0000"/>
      </top>
      <bottom/>
      <diagonal/>
    </border>
    <border>
      <left/>
      <right/>
      <top/>
      <bottom style="thick">
        <color auto="1"/>
      </bottom>
      <diagonal/>
    </border>
  </borders>
  <cellStyleXfs count="5">
    <xf numFmtId="0" fontId="0" fillId="0" borderId="0"/>
    <xf numFmtId="0" fontId="10" fillId="0" borderId="0"/>
    <xf numFmtId="173" fontId="10" fillId="0" borderId="0"/>
    <xf numFmtId="0" fontId="10" fillId="0" borderId="0"/>
    <xf numFmtId="0" fontId="1" fillId="0" borderId="0"/>
  </cellStyleXfs>
  <cellXfs count="337">
    <xf numFmtId="0" fontId="0" fillId="0" borderId="0" xfId="0"/>
    <xf numFmtId="0" fontId="5" fillId="2" borderId="0" xfId="0" applyFont="1" applyFill="1" applyAlignment="1" applyProtection="1">
      <alignment horizontal="right"/>
      <protection locked="0"/>
    </xf>
    <xf numFmtId="0" fontId="4" fillId="2" borderId="0" xfId="0" applyFont="1" applyFill="1" applyProtection="1">
      <protection locked="0"/>
    </xf>
    <xf numFmtId="0" fontId="4" fillId="0" borderId="0" xfId="0" applyFont="1" applyProtection="1">
      <protection locked="0"/>
    </xf>
    <xf numFmtId="0" fontId="1" fillId="2" borderId="0" xfId="0" applyFont="1" applyFill="1" applyAlignment="1" applyProtection="1">
      <alignment horizontal="left"/>
      <protection locked="0"/>
    </xf>
    <xf numFmtId="0" fontId="2" fillId="0" borderId="0" xfId="0" applyFont="1" applyProtection="1">
      <protection locked="0"/>
    </xf>
    <xf numFmtId="0" fontId="1" fillId="0" borderId="0" xfId="0" applyFont="1" applyProtection="1">
      <protection locked="0"/>
    </xf>
    <xf numFmtId="0" fontId="2" fillId="0" borderId="0" xfId="0" quotePrefix="1" applyFont="1" applyAlignment="1" applyProtection="1">
      <alignment horizontal="left"/>
      <protection locked="0"/>
    </xf>
    <xf numFmtId="164" fontId="1" fillId="0" borderId="0" xfId="0" applyNumberFormat="1" applyFont="1" applyProtection="1">
      <protection locked="0"/>
    </xf>
    <xf numFmtId="49" fontId="2" fillId="0" borderId="0" xfId="0" applyNumberFormat="1" applyFont="1" applyProtection="1">
      <protection locked="0"/>
    </xf>
    <xf numFmtId="14" fontId="2" fillId="0" borderId="0" xfId="0" applyNumberFormat="1" applyFont="1" applyAlignment="1" applyProtection="1">
      <alignment horizontal="left"/>
      <protection locked="0"/>
    </xf>
    <xf numFmtId="164" fontId="4" fillId="0" borderId="0" xfId="0" applyNumberFormat="1" applyFont="1" applyProtection="1">
      <protection locked="0"/>
    </xf>
    <xf numFmtId="0" fontId="1" fillId="2" borderId="0" xfId="0" applyFont="1" applyFill="1" applyProtection="1">
      <protection locked="0"/>
    </xf>
    <xf numFmtId="0" fontId="4" fillId="2" borderId="1" xfId="0" applyFont="1" applyFill="1" applyBorder="1" applyProtection="1">
      <protection locked="0"/>
    </xf>
    <xf numFmtId="0" fontId="6" fillId="0" borderId="1" xfId="0" quotePrefix="1" applyFont="1" applyBorder="1" applyAlignment="1" applyProtection="1">
      <alignment horizontal="left"/>
      <protection locked="0"/>
    </xf>
    <xf numFmtId="0" fontId="6" fillId="0" borderId="1" xfId="0" applyFont="1" applyBorder="1" applyAlignment="1" applyProtection="1">
      <alignment horizontal="left"/>
      <protection locked="0"/>
    </xf>
    <xf numFmtId="14" fontId="6" fillId="0" borderId="1" xfId="0" applyNumberFormat="1" applyFont="1" applyBorder="1" applyProtection="1">
      <protection locked="0"/>
    </xf>
    <xf numFmtId="0" fontId="6" fillId="0" borderId="1" xfId="0" applyFont="1" applyBorder="1" applyProtection="1">
      <protection locked="0"/>
    </xf>
    <xf numFmtId="14" fontId="6" fillId="0" borderId="1" xfId="0" quotePrefix="1" applyNumberFormat="1" applyFont="1" applyBorder="1" applyAlignment="1" applyProtection="1">
      <alignment horizontal="left"/>
      <protection locked="0"/>
    </xf>
    <xf numFmtId="1" fontId="6" fillId="0" borderId="1" xfId="0" applyNumberFormat="1" applyFont="1" applyBorder="1" applyProtection="1">
      <protection locked="0"/>
    </xf>
    <xf numFmtId="166" fontId="6" fillId="0" borderId="1" xfId="0" applyNumberFormat="1" applyFont="1" applyBorder="1" applyProtection="1">
      <protection locked="0"/>
    </xf>
    <xf numFmtId="0" fontId="6" fillId="0" borderId="1" xfId="0" quotePrefix="1" applyFont="1" applyBorder="1" applyProtection="1">
      <protection locked="0"/>
    </xf>
    <xf numFmtId="9" fontId="6" fillId="0" borderId="1" xfId="0" applyNumberFormat="1" applyFont="1" applyBorder="1" applyProtection="1">
      <protection locked="0"/>
    </xf>
    <xf numFmtId="165" fontId="6" fillId="0" borderId="1" xfId="0" applyNumberFormat="1" applyFont="1" applyBorder="1" applyProtection="1">
      <protection locked="0"/>
    </xf>
    <xf numFmtId="167" fontId="6" fillId="0" borderId="1" xfId="0" applyNumberFormat="1" applyFont="1" applyBorder="1" applyProtection="1">
      <protection locked="0"/>
    </xf>
    <xf numFmtId="0" fontId="4" fillId="0" borderId="1" xfId="0" applyFont="1" applyBorder="1" applyAlignment="1" applyProtection="1">
      <alignment horizontal="center" wrapText="1"/>
      <protection locked="0"/>
    </xf>
    <xf numFmtId="0" fontId="4" fillId="0" borderId="1" xfId="0" applyFont="1" applyBorder="1" applyAlignment="1" applyProtection="1">
      <alignment horizontal="center" wrapText="1"/>
      <protection locked="0" hidden="1"/>
    </xf>
    <xf numFmtId="164" fontId="1" fillId="0" borderId="0" xfId="0" applyNumberFormat="1" applyFont="1" applyAlignment="1" applyProtection="1">
      <alignment horizontal="center"/>
      <protection locked="0"/>
    </xf>
    <xf numFmtId="0" fontId="1" fillId="0" borderId="0" xfId="0" applyFont="1" applyAlignment="1" applyProtection="1">
      <alignment horizontal="center"/>
      <protection locked="0"/>
    </xf>
    <xf numFmtId="14" fontId="6" fillId="0" borderId="1" xfId="0" applyNumberFormat="1" applyFont="1" applyBorder="1" applyAlignment="1" applyProtection="1">
      <alignment horizontal="center"/>
      <protection locked="0"/>
    </xf>
    <xf numFmtId="0" fontId="6" fillId="0" borderId="1" xfId="0" applyFont="1" applyBorder="1" applyAlignment="1" applyProtection="1">
      <alignment horizontal="center"/>
      <protection locked="0"/>
    </xf>
    <xf numFmtId="166" fontId="6" fillId="0" borderId="1" xfId="0" applyNumberFormat="1" applyFont="1" applyBorder="1" applyAlignment="1" applyProtection="1">
      <alignment horizontal="center"/>
      <protection locked="0"/>
    </xf>
    <xf numFmtId="165" fontId="6" fillId="0" borderId="1" xfId="0" applyNumberFormat="1" applyFont="1" applyBorder="1" applyAlignment="1" applyProtection="1">
      <alignment horizontal="center"/>
      <protection locked="0"/>
    </xf>
    <xf numFmtId="165" fontId="1" fillId="0" borderId="0" xfId="0" applyNumberFormat="1" applyFont="1" applyAlignment="1" applyProtection="1">
      <alignment horizontal="center"/>
      <protection locked="0"/>
    </xf>
    <xf numFmtId="165" fontId="4" fillId="0" borderId="1" xfId="0" applyNumberFormat="1" applyFont="1" applyBorder="1" applyAlignment="1" applyProtection="1">
      <alignment horizontal="center" wrapText="1"/>
      <protection locked="0"/>
    </xf>
    <xf numFmtId="0" fontId="4" fillId="0" borderId="0" xfId="0" applyFont="1" applyAlignment="1">
      <alignment horizontal="center"/>
    </xf>
    <xf numFmtId="0" fontId="7" fillId="0" borderId="0" xfId="0" applyFont="1"/>
    <xf numFmtId="0" fontId="4" fillId="0" borderId="0" xfId="0" applyFont="1"/>
    <xf numFmtId="14" fontId="0" fillId="0" borderId="0" xfId="0" applyNumberFormat="1"/>
    <xf numFmtId="14" fontId="1" fillId="0" borderId="0" xfId="0" applyNumberFormat="1" applyFont="1" applyAlignment="1">
      <alignment horizontal="right"/>
    </xf>
    <xf numFmtId="14" fontId="0" fillId="0" borderId="0" xfId="0" applyNumberFormat="1" applyAlignment="1">
      <alignment horizontal="right"/>
    </xf>
    <xf numFmtId="10" fontId="0" fillId="0" borderId="0" xfId="0" applyNumberFormat="1"/>
    <xf numFmtId="0" fontId="0" fillId="0" borderId="0" xfId="0" applyAlignment="1">
      <alignment horizontal="center"/>
    </xf>
    <xf numFmtId="167" fontId="6" fillId="0" borderId="1" xfId="0" quotePrefix="1" applyNumberFormat="1" applyFont="1" applyBorder="1" applyProtection="1">
      <protection locked="0"/>
    </xf>
    <xf numFmtId="168" fontId="6" fillId="0" borderId="1" xfId="0" quotePrefix="1" applyNumberFormat="1" applyFont="1" applyBorder="1" applyProtection="1">
      <protection locked="0"/>
    </xf>
    <xf numFmtId="168" fontId="6" fillId="0" borderId="1" xfId="0" applyNumberFormat="1" applyFont="1" applyBorder="1" applyProtection="1">
      <protection locked="0"/>
    </xf>
    <xf numFmtId="0" fontId="0" fillId="0" borderId="0" xfId="0" applyProtection="1">
      <protection locked="0"/>
    </xf>
    <xf numFmtId="0" fontId="0" fillId="0" borderId="2" xfId="0" applyBorder="1"/>
    <xf numFmtId="0" fontId="0" fillId="0" borderId="3" xfId="0" applyBorder="1"/>
    <xf numFmtId="166" fontId="0" fillId="0" borderId="4" xfId="0" applyNumberFormat="1" applyBorder="1"/>
    <xf numFmtId="0" fontId="0" fillId="0" borderId="5" xfId="0" applyBorder="1"/>
    <xf numFmtId="0" fontId="0" fillId="0" borderId="0" xfId="0" quotePrefix="1"/>
    <xf numFmtId="0" fontId="0" fillId="0" borderId="0" xfId="0" quotePrefix="1" applyAlignment="1">
      <alignment horizontal="center"/>
    </xf>
    <xf numFmtId="169" fontId="0" fillId="0" borderId="0" xfId="0" applyNumberFormat="1"/>
    <xf numFmtId="168" fontId="0" fillId="0" borderId="0" xfId="0" quotePrefix="1" applyNumberFormat="1"/>
    <xf numFmtId="168" fontId="0" fillId="0" borderId="0" xfId="0" applyNumberFormat="1"/>
    <xf numFmtId="0" fontId="8" fillId="0" borderId="0" xfId="0" applyFont="1"/>
    <xf numFmtId="167" fontId="0" fillId="0" borderId="0" xfId="0" applyNumberFormat="1"/>
    <xf numFmtId="170" fontId="0" fillId="0" borderId="0" xfId="0" applyNumberFormat="1"/>
    <xf numFmtId="0" fontId="8" fillId="4" borderId="0" xfId="0" applyFont="1" applyFill="1"/>
    <xf numFmtId="0" fontId="8" fillId="4" borderId="0" xfId="0" applyFont="1" applyFill="1" applyAlignment="1">
      <alignment horizontal="center"/>
    </xf>
    <xf numFmtId="166" fontId="6" fillId="0" borderId="1" xfId="0" quotePrefix="1" applyNumberFormat="1" applyFont="1" applyBorder="1" applyProtection="1">
      <protection locked="0"/>
    </xf>
    <xf numFmtId="3" fontId="0" fillId="0" borderId="0" xfId="0" applyNumberFormat="1"/>
    <xf numFmtId="172" fontId="0" fillId="0" borderId="0" xfId="0" applyNumberFormat="1"/>
    <xf numFmtId="0" fontId="0" fillId="0" borderId="1" xfId="0" applyBorder="1" applyProtection="1">
      <protection locked="0"/>
    </xf>
    <xf numFmtId="14" fontId="6" fillId="0" borderId="0" xfId="0" applyNumberFormat="1" applyFont="1" applyProtection="1">
      <protection locked="0"/>
    </xf>
    <xf numFmtId="173" fontId="1" fillId="0" borderId="0" xfId="2" applyFont="1" applyAlignment="1">
      <alignment vertical="center"/>
    </xf>
    <xf numFmtId="173" fontId="1" fillId="0" borderId="0" xfId="2" applyFont="1" applyAlignment="1">
      <alignment horizontal="center" vertical="center"/>
    </xf>
    <xf numFmtId="173" fontId="9" fillId="0" borderId="0" xfId="2" applyFont="1" applyAlignment="1">
      <alignment vertical="center"/>
    </xf>
    <xf numFmtId="173" fontId="9" fillId="0" borderId="0" xfId="2" applyFont="1" applyAlignment="1">
      <alignment horizontal="center" vertical="center"/>
    </xf>
    <xf numFmtId="0" fontId="1" fillId="0" borderId="0" xfId="3" applyFont="1" applyAlignment="1">
      <alignment horizontal="center" vertical="center"/>
    </xf>
    <xf numFmtId="0" fontId="1" fillId="0" borderId="0" xfId="1" applyFont="1" applyAlignment="1">
      <alignment horizontal="right" vertical="center"/>
    </xf>
    <xf numFmtId="171" fontId="0" fillId="0" borderId="0" xfId="0" applyNumberFormat="1"/>
    <xf numFmtId="166" fontId="0" fillId="0" borderId="0" xfId="0" applyNumberFormat="1"/>
    <xf numFmtId="14" fontId="1" fillId="0" borderId="0" xfId="0" applyNumberFormat="1" applyFont="1" applyProtection="1">
      <protection locked="0"/>
    </xf>
    <xf numFmtId="0" fontId="11" fillId="0" borderId="11" xfId="0" applyFont="1" applyBorder="1" applyAlignment="1">
      <alignment horizontal="center"/>
    </xf>
    <xf numFmtId="0" fontId="11" fillId="0" borderId="12" xfId="0" applyFont="1" applyBorder="1" applyAlignment="1">
      <alignment horizontal="center"/>
    </xf>
    <xf numFmtId="0" fontId="11" fillId="0" borderId="13" xfId="0" applyFont="1" applyBorder="1" applyAlignment="1">
      <alignment horizontal="center" wrapText="1"/>
    </xf>
    <xf numFmtId="3" fontId="11" fillId="0" borderId="14" xfId="0" applyNumberFormat="1" applyFont="1" applyBorder="1"/>
    <xf numFmtId="3" fontId="11" fillId="0" borderId="15" xfId="0" applyNumberFormat="1" applyFont="1" applyBorder="1"/>
    <xf numFmtId="0" fontId="11" fillId="0" borderId="16" xfId="0" applyFont="1" applyBorder="1" applyAlignment="1">
      <alignment horizontal="center"/>
    </xf>
    <xf numFmtId="3" fontId="11" fillId="0" borderId="17" xfId="0" applyNumberFormat="1" applyFont="1" applyBorder="1"/>
    <xf numFmtId="3" fontId="11" fillId="0" borderId="18" xfId="0" applyNumberFormat="1" applyFont="1" applyBorder="1"/>
    <xf numFmtId="0" fontId="11" fillId="0" borderId="19" xfId="0" applyFont="1" applyBorder="1" applyAlignment="1">
      <alignment horizontal="center" wrapText="1"/>
    </xf>
    <xf numFmtId="3" fontId="11" fillId="0" borderId="20" xfId="0" applyNumberFormat="1" applyFont="1" applyBorder="1"/>
    <xf numFmtId="0" fontId="11" fillId="0" borderId="19" xfId="0" applyFont="1" applyBorder="1" applyAlignment="1">
      <alignment horizontal="center"/>
    </xf>
    <xf numFmtId="3" fontId="11" fillId="0" borderId="21" xfId="0" applyNumberFormat="1" applyFont="1" applyBorder="1"/>
    <xf numFmtId="0" fontId="11" fillId="0" borderId="22" xfId="0" applyFont="1" applyBorder="1" applyAlignment="1">
      <alignment horizontal="center"/>
    </xf>
    <xf numFmtId="0" fontId="11" fillId="0" borderId="23" xfId="0" applyFont="1" applyBorder="1" applyAlignment="1">
      <alignment horizontal="center"/>
    </xf>
    <xf numFmtId="0" fontId="11" fillId="0" borderId="24" xfId="0" applyFont="1" applyBorder="1" applyAlignment="1">
      <alignment horizontal="center"/>
    </xf>
    <xf numFmtId="3" fontId="11" fillId="0" borderId="25" xfId="0" applyNumberFormat="1" applyFont="1" applyBorder="1"/>
    <xf numFmtId="3" fontId="11" fillId="0" borderId="11" xfId="0" applyNumberFormat="1" applyFont="1" applyBorder="1"/>
    <xf numFmtId="3" fontId="11" fillId="0" borderId="12" xfId="0" applyNumberFormat="1" applyFont="1" applyBorder="1"/>
    <xf numFmtId="0" fontId="13" fillId="0" borderId="0" xfId="0" applyFont="1"/>
    <xf numFmtId="0" fontId="12" fillId="0" borderId="0" xfId="0" applyFont="1"/>
    <xf numFmtId="0" fontId="11" fillId="0" borderId="0" xfId="0" applyFont="1" applyAlignment="1">
      <alignment horizontal="center"/>
    </xf>
    <xf numFmtId="3" fontId="11" fillId="0" borderId="0" xfId="0" applyNumberFormat="1" applyFont="1"/>
    <xf numFmtId="0" fontId="11" fillId="0" borderId="26" xfId="0" applyFont="1" applyBorder="1" applyAlignment="1">
      <alignment horizontal="center" wrapText="1"/>
    </xf>
    <xf numFmtId="0" fontId="11" fillId="0" borderId="27" xfId="0" applyFont="1" applyBorder="1" applyAlignment="1">
      <alignment horizontal="center"/>
    </xf>
    <xf numFmtId="0" fontId="11" fillId="0" borderId="28" xfId="0" applyFont="1" applyBorder="1" applyAlignment="1">
      <alignment horizontal="center" wrapText="1"/>
    </xf>
    <xf numFmtId="0" fontId="11" fillId="0" borderId="28" xfId="0" applyFont="1" applyBorder="1" applyAlignment="1">
      <alignment horizontal="center"/>
    </xf>
    <xf numFmtId="0" fontId="11" fillId="0" borderId="29" xfId="0" applyFont="1" applyBorder="1" applyAlignment="1">
      <alignment horizontal="center" wrapText="1"/>
    </xf>
    <xf numFmtId="0" fontId="11" fillId="0" borderId="14" xfId="0" applyFont="1" applyBorder="1" applyAlignment="1">
      <alignment horizontal="center" wrapText="1"/>
    </xf>
    <xf numFmtId="0" fontId="11" fillId="0" borderId="17" xfId="0" applyFont="1" applyBorder="1" applyAlignment="1">
      <alignment horizontal="center"/>
    </xf>
    <xf numFmtId="0" fontId="11" fillId="0" borderId="30" xfId="0" applyFont="1" applyBorder="1" applyAlignment="1">
      <alignment horizontal="center" wrapText="1"/>
    </xf>
    <xf numFmtId="0" fontId="11" fillId="0" borderId="30" xfId="0" applyFont="1" applyBorder="1" applyAlignment="1">
      <alignment horizontal="center"/>
    </xf>
    <xf numFmtId="0" fontId="11" fillId="0" borderId="31" xfId="0" applyFont="1" applyBorder="1" applyAlignment="1">
      <alignment horizontal="center"/>
    </xf>
    <xf numFmtId="3" fontId="11" fillId="0" borderId="32" xfId="0" applyNumberFormat="1" applyFont="1" applyBorder="1"/>
    <xf numFmtId="3" fontId="11" fillId="0" borderId="33" xfId="0" applyNumberFormat="1" applyFont="1" applyBorder="1"/>
    <xf numFmtId="3" fontId="11" fillId="0" borderId="31" xfId="0" applyNumberFormat="1" applyFont="1" applyBorder="1"/>
    <xf numFmtId="0" fontId="11" fillId="0" borderId="32" xfId="0" applyFont="1" applyBorder="1" applyAlignment="1">
      <alignment horizontal="center" wrapText="1"/>
    </xf>
    <xf numFmtId="0" fontId="11" fillId="0" borderId="33" xfId="0" applyFont="1" applyBorder="1" applyAlignment="1">
      <alignment horizontal="center"/>
    </xf>
    <xf numFmtId="0" fontId="11" fillId="0" borderId="34" xfId="0" applyFont="1" applyBorder="1" applyAlignment="1">
      <alignment horizontal="center" wrapText="1"/>
    </xf>
    <xf numFmtId="0" fontId="11" fillId="0" borderId="34" xfId="0" applyFont="1" applyBorder="1" applyAlignment="1">
      <alignment horizontal="center"/>
    </xf>
    <xf numFmtId="0" fontId="11" fillId="0" borderId="35" xfId="0" applyFont="1" applyBorder="1" applyAlignment="1">
      <alignment horizontal="center" wrapText="1"/>
    </xf>
    <xf numFmtId="0" fontId="11" fillId="0" borderId="36" xfId="0" applyFont="1" applyBorder="1" applyAlignment="1">
      <alignment horizontal="center" wrapText="1"/>
    </xf>
    <xf numFmtId="0" fontId="11" fillId="0" borderId="36" xfId="0" applyFont="1" applyBorder="1" applyAlignment="1">
      <alignment horizontal="center"/>
    </xf>
    <xf numFmtId="0" fontId="11" fillId="0" borderId="37" xfId="0" applyFont="1" applyBorder="1" applyAlignment="1">
      <alignment horizontal="center"/>
    </xf>
    <xf numFmtId="0" fontId="11" fillId="0" borderId="38" xfId="0" applyFont="1" applyBorder="1" applyAlignment="1">
      <alignment horizontal="center" wrapText="1"/>
    </xf>
    <xf numFmtId="0" fontId="11" fillId="0" borderId="31" xfId="0" applyFont="1" applyBorder="1" applyAlignment="1">
      <alignment horizontal="center" wrapText="1"/>
    </xf>
    <xf numFmtId="0" fontId="11" fillId="0" borderId="39" xfId="0" applyFont="1" applyBorder="1" applyAlignment="1">
      <alignment horizontal="center" wrapText="1"/>
    </xf>
    <xf numFmtId="0" fontId="11" fillId="0" borderId="11" xfId="0" applyFont="1" applyBorder="1" applyAlignment="1">
      <alignment horizontal="center" wrapText="1"/>
    </xf>
    <xf numFmtId="0" fontId="11" fillId="0" borderId="40" xfId="0" applyFont="1" applyBorder="1" applyAlignment="1">
      <alignment horizontal="center"/>
    </xf>
    <xf numFmtId="0" fontId="11" fillId="0" borderId="40" xfId="0" applyFont="1" applyBorder="1" applyAlignment="1">
      <alignment horizontal="center" wrapText="1"/>
    </xf>
    <xf numFmtId="0" fontId="11" fillId="0" borderId="41" xfId="0" applyFont="1" applyBorder="1" applyAlignment="1">
      <alignment horizontal="center" wrapText="1"/>
    </xf>
    <xf numFmtId="0" fontId="11" fillId="0" borderId="20" xfId="0" applyFont="1" applyBorder="1" applyAlignment="1">
      <alignment horizontal="center"/>
    </xf>
    <xf numFmtId="0" fontId="11" fillId="0" borderId="42" xfId="0" applyFont="1" applyBorder="1" applyAlignment="1">
      <alignment horizontal="center" wrapText="1"/>
    </xf>
    <xf numFmtId="0" fontId="11" fillId="0" borderId="42" xfId="0" applyFont="1" applyBorder="1" applyAlignment="1">
      <alignment horizontal="center"/>
    </xf>
    <xf numFmtId="0" fontId="11" fillId="0" borderId="25" xfId="0" applyFont="1" applyBorder="1" applyAlignment="1">
      <alignment horizontal="center"/>
    </xf>
    <xf numFmtId="166" fontId="0" fillId="0" borderId="43" xfId="0" applyNumberFormat="1" applyBorder="1"/>
    <xf numFmtId="4" fontId="0" fillId="0" borderId="0" xfId="0" applyNumberFormat="1"/>
    <xf numFmtId="166" fontId="0" fillId="0" borderId="44" xfId="0" applyNumberFormat="1" applyBorder="1"/>
    <xf numFmtId="0" fontId="0" fillId="0" borderId="45" xfId="0" applyBorder="1"/>
    <xf numFmtId="0" fontId="0" fillId="0" borderId="46" xfId="0" applyBorder="1"/>
    <xf numFmtId="166" fontId="0" fillId="0" borderId="47" xfId="0" applyNumberFormat="1" applyBorder="1"/>
    <xf numFmtId="166" fontId="0" fillId="0" borderId="48" xfId="0" applyNumberFormat="1" applyBorder="1"/>
    <xf numFmtId="2" fontId="0" fillId="0" borderId="2" xfId="0" applyNumberFormat="1" applyBorder="1"/>
    <xf numFmtId="2" fontId="0" fillId="0" borderId="3" xfId="0" applyNumberFormat="1" applyBorder="1"/>
    <xf numFmtId="2" fontId="0" fillId="0" borderId="45" xfId="0" applyNumberFormat="1" applyBorder="1"/>
    <xf numFmtId="2" fontId="0" fillId="0" borderId="49" xfId="0" applyNumberFormat="1" applyBorder="1"/>
    <xf numFmtId="0" fontId="4" fillId="2" borderId="1" xfId="0" applyFont="1" applyFill="1" applyBorder="1" applyAlignment="1" applyProtection="1">
      <alignment horizontal="center" wrapText="1"/>
      <protection locked="0"/>
    </xf>
    <xf numFmtId="0" fontId="6" fillId="0" borderId="1" xfId="0" applyFont="1" applyBorder="1" applyAlignment="1" applyProtection="1">
      <alignment horizontal="center" wrapText="1"/>
      <protection locked="0"/>
    </xf>
    <xf numFmtId="0" fontId="4" fillId="0" borderId="0" xfId="0" applyFont="1" applyAlignment="1" applyProtection="1">
      <alignment horizontal="center" wrapText="1"/>
      <protection locked="0"/>
    </xf>
    <xf numFmtId="0" fontId="14" fillId="0" borderId="0" xfId="0" applyFont="1" applyProtection="1">
      <protection locked="0"/>
    </xf>
    <xf numFmtId="0" fontId="1" fillId="0" borderId="45" xfId="0" applyFont="1" applyBorder="1" applyAlignment="1">
      <alignment horizontal="center"/>
    </xf>
    <xf numFmtId="9" fontId="1" fillId="0" borderId="47" xfId="0" applyNumberFormat="1" applyFont="1" applyBorder="1" applyAlignment="1">
      <alignment horizontal="center"/>
    </xf>
    <xf numFmtId="0" fontId="4" fillId="0" borderId="50" xfId="0" applyFont="1" applyBorder="1" applyAlignment="1">
      <alignment horizontal="center"/>
    </xf>
    <xf numFmtId="0" fontId="0" fillId="0" borderId="3" xfId="0" applyBorder="1" applyAlignment="1">
      <alignment horizontal="center"/>
    </xf>
    <xf numFmtId="9" fontId="0" fillId="0" borderId="4" xfId="0" applyNumberFormat="1" applyBorder="1" applyAlignment="1">
      <alignment horizontal="center"/>
    </xf>
    <xf numFmtId="0" fontId="0" fillId="0" borderId="5" xfId="0" applyBorder="1" applyAlignment="1">
      <alignment horizontal="center"/>
    </xf>
    <xf numFmtId="9" fontId="0" fillId="0" borderId="44" xfId="0" applyNumberFormat="1" applyBorder="1" applyAlignment="1">
      <alignment horizontal="center"/>
    </xf>
    <xf numFmtId="0" fontId="4" fillId="0" borderId="51" xfId="0" applyFont="1" applyBorder="1" applyAlignment="1">
      <alignment horizontal="center"/>
    </xf>
    <xf numFmtId="9" fontId="1" fillId="0" borderId="0" xfId="0" applyNumberFormat="1" applyFont="1" applyAlignment="1">
      <alignment horizontal="center"/>
    </xf>
    <xf numFmtId="9" fontId="0" fillId="0" borderId="0" xfId="0" applyNumberFormat="1" applyAlignment="1">
      <alignment horizontal="center"/>
    </xf>
    <xf numFmtId="14" fontId="1" fillId="0" borderId="0" xfId="1" applyNumberFormat="1" applyFont="1" applyAlignment="1">
      <alignment horizontal="center" vertical="center"/>
    </xf>
    <xf numFmtId="166" fontId="0" fillId="0" borderId="3" xfId="0" applyNumberFormat="1" applyBorder="1"/>
    <xf numFmtId="166" fontId="0" fillId="0" borderId="5" xfId="0" applyNumberFormat="1" applyBorder="1"/>
    <xf numFmtId="166" fontId="0" fillId="0" borderId="45" xfId="0" applyNumberFormat="1" applyBorder="1"/>
    <xf numFmtId="0" fontId="4" fillId="0" borderId="0" xfId="0" applyFont="1" applyAlignment="1">
      <alignment horizontal="left"/>
    </xf>
    <xf numFmtId="166" fontId="0" fillId="0" borderId="17" xfId="0" applyNumberFormat="1" applyBorder="1"/>
    <xf numFmtId="166" fontId="0" fillId="0" borderId="52" xfId="0" applyNumberFormat="1" applyBorder="1"/>
    <xf numFmtId="166" fontId="0" fillId="0" borderId="33" xfId="0" applyNumberFormat="1" applyBorder="1"/>
    <xf numFmtId="166" fontId="0" fillId="0" borderId="53" xfId="0" applyNumberFormat="1" applyBorder="1"/>
    <xf numFmtId="166" fontId="0" fillId="0" borderId="34" xfId="0" applyNumberFormat="1" applyBorder="1"/>
    <xf numFmtId="166" fontId="0" fillId="0" borderId="30" xfId="0" applyNumberFormat="1" applyBorder="1"/>
    <xf numFmtId="0" fontId="4" fillId="0" borderId="50" xfId="0" applyFont="1" applyBorder="1"/>
    <xf numFmtId="0" fontId="4" fillId="0" borderId="54" xfId="0" applyFont="1" applyBorder="1"/>
    <xf numFmtId="0" fontId="4" fillId="0" borderId="51" xfId="0" applyFont="1" applyBorder="1"/>
    <xf numFmtId="0" fontId="6" fillId="0" borderId="0" xfId="0" quotePrefix="1" applyFont="1" applyAlignment="1" applyProtection="1">
      <alignment horizontal="left"/>
      <protection locked="0"/>
    </xf>
    <xf numFmtId="0" fontId="6" fillId="0" borderId="0" xfId="0" applyFont="1" applyAlignment="1" applyProtection="1">
      <alignment horizontal="left"/>
      <protection locked="0"/>
    </xf>
    <xf numFmtId="14" fontId="6" fillId="0" borderId="0" xfId="0" quotePrefix="1" applyNumberFormat="1" applyFont="1" applyAlignment="1" applyProtection="1">
      <alignment horizontal="left"/>
      <protection locked="0"/>
    </xf>
    <xf numFmtId="0" fontId="6" fillId="0" borderId="0" xfId="0" applyFont="1" applyProtection="1">
      <protection locked="0"/>
    </xf>
    <xf numFmtId="165" fontId="6" fillId="0" borderId="0" xfId="0" quotePrefix="1" applyNumberFormat="1" applyFont="1" applyAlignment="1" applyProtection="1">
      <alignment horizontal="left"/>
      <protection locked="0"/>
    </xf>
    <xf numFmtId="171" fontId="6" fillId="0" borderId="0" xfId="0" quotePrefix="1" applyNumberFormat="1" applyFont="1" applyAlignment="1" applyProtection="1">
      <alignment horizontal="left"/>
      <protection locked="0"/>
    </xf>
    <xf numFmtId="2" fontId="6" fillId="0" borderId="0" xfId="0" quotePrefix="1" applyNumberFormat="1" applyFont="1" applyAlignment="1" applyProtection="1">
      <alignment horizontal="left"/>
      <protection locked="0"/>
    </xf>
    <xf numFmtId="2" fontId="6" fillId="0" borderId="0" xfId="0" applyNumberFormat="1" applyFont="1" applyProtection="1">
      <protection locked="0"/>
    </xf>
    <xf numFmtId="9" fontId="6" fillId="0" borderId="0" xfId="0" applyNumberFormat="1" applyFont="1" applyProtection="1">
      <protection locked="0"/>
    </xf>
    <xf numFmtId="165" fontId="6" fillId="0" borderId="0" xfId="0" applyNumberFormat="1" applyFont="1" applyProtection="1">
      <protection locked="0"/>
    </xf>
    <xf numFmtId="14" fontId="6" fillId="0" borderId="0" xfId="0" applyNumberFormat="1" applyFont="1" applyAlignment="1" applyProtection="1">
      <alignment horizontal="center"/>
      <protection locked="0"/>
    </xf>
    <xf numFmtId="0" fontId="6" fillId="0" borderId="0" xfId="0" applyFont="1" applyAlignment="1" applyProtection="1">
      <alignment horizontal="center"/>
      <protection locked="0"/>
    </xf>
    <xf numFmtId="166" fontId="6" fillId="0" borderId="0" xfId="0" applyNumberFormat="1" applyFont="1" applyProtection="1">
      <protection locked="0"/>
    </xf>
    <xf numFmtId="165" fontId="6" fillId="0" borderId="0" xfId="0" applyNumberFormat="1" applyFont="1" applyAlignment="1" applyProtection="1">
      <alignment horizontal="center"/>
      <protection locked="0"/>
    </xf>
    <xf numFmtId="4" fontId="6" fillId="0" borderId="0" xfId="0" applyNumberFormat="1" applyFont="1" applyAlignment="1" applyProtection="1">
      <alignment horizontal="right"/>
      <protection locked="0"/>
    </xf>
    <xf numFmtId="166" fontId="6" fillId="0" borderId="0" xfId="0" applyNumberFormat="1" applyFont="1" applyAlignment="1" applyProtection="1">
      <alignment horizontal="center"/>
      <protection locked="0"/>
    </xf>
    <xf numFmtId="49" fontId="6" fillId="0" borderId="0" xfId="0" applyNumberFormat="1" applyFont="1" applyProtection="1">
      <protection locked="0"/>
    </xf>
    <xf numFmtId="1" fontId="6" fillId="0" borderId="0" xfId="0" applyNumberFormat="1" applyFont="1" applyProtection="1">
      <protection locked="0"/>
    </xf>
    <xf numFmtId="166" fontId="6" fillId="0" borderId="0" xfId="0" quotePrefix="1" applyNumberFormat="1" applyFont="1" applyProtection="1">
      <protection locked="0"/>
    </xf>
    <xf numFmtId="167" fontId="6" fillId="0" borderId="0" xfId="0" quotePrefix="1" applyNumberFormat="1" applyFont="1" applyProtection="1">
      <protection locked="0"/>
    </xf>
    <xf numFmtId="168" fontId="6" fillId="0" borderId="0" xfId="0" quotePrefix="1" applyNumberFormat="1" applyFont="1" applyProtection="1">
      <protection locked="0"/>
    </xf>
    <xf numFmtId="168" fontId="6" fillId="0" borderId="0" xfId="0" applyNumberFormat="1" applyFont="1" applyProtection="1">
      <protection locked="0"/>
    </xf>
    <xf numFmtId="167" fontId="6" fillId="0" borderId="0" xfId="0" applyNumberFormat="1" applyFont="1" applyProtection="1">
      <protection locked="0"/>
    </xf>
    <xf numFmtId="0" fontId="6" fillId="0" borderId="0" xfId="0" quotePrefix="1" applyFont="1" applyProtection="1">
      <protection locked="0"/>
    </xf>
    <xf numFmtId="165" fontId="6" fillId="0" borderId="0" xfId="0" applyNumberFormat="1" applyFont="1" applyAlignment="1" applyProtection="1">
      <alignment horizontal="center" vertical="center"/>
      <protection locked="0"/>
    </xf>
    <xf numFmtId="0" fontId="15" fillId="4" borderId="0" xfId="0" applyFont="1" applyFill="1"/>
    <xf numFmtId="0" fontId="6" fillId="0" borderId="0" xfId="0" applyFont="1" applyAlignment="1" applyProtection="1">
      <alignment horizontal="right" vertical="center"/>
      <protection locked="0"/>
    </xf>
    <xf numFmtId="0" fontId="3" fillId="0" borderId="59" xfId="0" applyFont="1" applyBorder="1" applyProtection="1">
      <protection locked="0"/>
    </xf>
    <xf numFmtId="165" fontId="3" fillId="0" borderId="59" xfId="0" applyNumberFormat="1" applyFont="1" applyBorder="1" applyProtection="1">
      <protection locked="0"/>
    </xf>
    <xf numFmtId="164" fontId="4" fillId="3" borderId="60" xfId="0" quotePrefix="1" applyNumberFormat="1" applyFont="1" applyFill="1" applyBorder="1" applyAlignment="1" applyProtection="1">
      <alignment horizontal="left"/>
      <protection locked="0"/>
    </xf>
    <xf numFmtId="164" fontId="4" fillId="3" borderId="60" xfId="0" applyNumberFormat="1" applyFont="1" applyFill="1" applyBorder="1" applyAlignment="1" applyProtection="1">
      <alignment horizontal="left"/>
      <protection locked="0"/>
    </xf>
    <xf numFmtId="0" fontId="4" fillId="3" borderId="60" xfId="0" applyFont="1" applyFill="1" applyBorder="1" applyAlignment="1" applyProtection="1">
      <alignment horizontal="left"/>
      <protection locked="0"/>
    </xf>
    <xf numFmtId="0" fontId="4" fillId="3" borderId="60" xfId="0" applyFont="1" applyFill="1" applyBorder="1" applyProtection="1">
      <protection locked="0"/>
    </xf>
    <xf numFmtId="165" fontId="4" fillId="3" borderId="60" xfId="0" applyNumberFormat="1" applyFont="1" applyFill="1" applyBorder="1" applyProtection="1">
      <protection locked="0"/>
    </xf>
    <xf numFmtId="0" fontId="4" fillId="3" borderId="60" xfId="0" applyFont="1" applyFill="1" applyBorder="1" applyAlignment="1" applyProtection="1">
      <alignment horizontal="center"/>
      <protection locked="0"/>
    </xf>
    <xf numFmtId="0" fontId="1" fillId="5" borderId="0" xfId="0" applyFont="1" applyFill="1" applyProtection="1">
      <protection locked="0"/>
    </xf>
    <xf numFmtId="0" fontId="4" fillId="5" borderId="1" xfId="0" applyFont="1" applyFill="1" applyBorder="1" applyAlignment="1" applyProtection="1">
      <alignment horizontal="center" wrapText="1"/>
      <protection locked="0"/>
    </xf>
    <xf numFmtId="0" fontId="4" fillId="6" borderId="60" xfId="0" applyFont="1" applyFill="1" applyBorder="1" applyProtection="1">
      <protection locked="0"/>
    </xf>
    <xf numFmtId="165" fontId="6" fillId="5" borderId="0" xfId="0" quotePrefix="1" applyNumberFormat="1" applyFont="1" applyFill="1" applyProtection="1">
      <protection locked="0"/>
    </xf>
    <xf numFmtId="165" fontId="6" fillId="5" borderId="0" xfId="0" applyNumberFormat="1" applyFont="1" applyFill="1" applyProtection="1">
      <protection locked="0"/>
    </xf>
    <xf numFmtId="165" fontId="6" fillId="5" borderId="1" xfId="0" applyNumberFormat="1" applyFont="1" applyFill="1" applyBorder="1" applyProtection="1">
      <protection locked="0"/>
    </xf>
    <xf numFmtId="164" fontId="1" fillId="5" borderId="0" xfId="0" applyNumberFormat="1" applyFont="1" applyFill="1" applyAlignment="1" applyProtection="1">
      <alignment horizontal="center"/>
      <protection locked="0"/>
    </xf>
    <xf numFmtId="0" fontId="1" fillId="5" borderId="0" xfId="0" applyFont="1" applyFill="1" applyAlignment="1" applyProtection="1">
      <alignment horizontal="center"/>
      <protection locked="0"/>
    </xf>
    <xf numFmtId="0" fontId="3" fillId="5" borderId="59" xfId="0" applyFont="1" applyFill="1" applyBorder="1" applyProtection="1">
      <protection locked="0"/>
    </xf>
    <xf numFmtId="0" fontId="4" fillId="0" borderId="0" xfId="0" applyFont="1" applyAlignment="1">
      <alignment horizontal="center" wrapText="1"/>
    </xf>
    <xf numFmtId="0" fontId="0" fillId="0" borderId="61" xfId="0" applyBorder="1"/>
    <xf numFmtId="166" fontId="0" fillId="0" borderId="62" xfId="0" applyNumberFormat="1" applyBorder="1"/>
    <xf numFmtId="0" fontId="0" fillId="0" borderId="63" xfId="0" applyBorder="1"/>
    <xf numFmtId="166" fontId="0" fillId="0" borderId="64" xfId="0" applyNumberFormat="1" applyBorder="1"/>
    <xf numFmtId="0" fontId="0" fillId="0" borderId="65" xfId="0" applyBorder="1"/>
    <xf numFmtId="166" fontId="0" fillId="0" borderId="66" xfId="0" applyNumberFormat="1" applyBorder="1"/>
    <xf numFmtId="0" fontId="4" fillId="0" borderId="67" xfId="0" applyFont="1" applyBorder="1"/>
    <xf numFmtId="0" fontId="4" fillId="0" borderId="68" xfId="0" applyFont="1" applyBorder="1"/>
    <xf numFmtId="0" fontId="4" fillId="0" borderId="69" xfId="0" applyFont="1" applyBorder="1"/>
    <xf numFmtId="166" fontId="0" fillId="0" borderId="2" xfId="0" applyNumberFormat="1" applyBorder="1"/>
    <xf numFmtId="166" fontId="0" fillId="0" borderId="70" xfId="0" applyNumberFormat="1" applyBorder="1"/>
    <xf numFmtId="166" fontId="0" fillId="0" borderId="71" xfId="0" applyNumberFormat="1" applyBorder="1"/>
    <xf numFmtId="167" fontId="6" fillId="0" borderId="0" xfId="0" applyNumberFormat="1" applyFont="1" applyAlignment="1" applyProtection="1">
      <alignment horizontal="center" vertical="center"/>
      <protection locked="0"/>
    </xf>
    <xf numFmtId="165" fontId="0" fillId="0" borderId="0" xfId="0" applyNumberFormat="1"/>
    <xf numFmtId="0" fontId="1" fillId="0" borderId="0" xfId="0" applyFont="1"/>
    <xf numFmtId="167" fontId="1" fillId="0" borderId="0" xfId="0" applyNumberFormat="1" applyFont="1"/>
    <xf numFmtId="174" fontId="0" fillId="0" borderId="0" xfId="0" applyNumberFormat="1"/>
    <xf numFmtId="174" fontId="15" fillId="4" borderId="0" xfId="0" applyNumberFormat="1" applyFont="1" applyFill="1"/>
    <xf numFmtId="0" fontId="11" fillId="0" borderId="0" xfId="0" applyFont="1"/>
    <xf numFmtId="14" fontId="1" fillId="0" borderId="0" xfId="0" applyNumberFormat="1" applyFont="1" applyAlignment="1" applyProtection="1">
      <alignment horizontal="center"/>
      <protection locked="0"/>
    </xf>
    <xf numFmtId="0" fontId="16" fillId="7" borderId="0" xfId="0" applyFont="1" applyFill="1" applyProtection="1">
      <protection locked="0"/>
    </xf>
    <xf numFmtId="166" fontId="4" fillId="0" borderId="0" xfId="0" applyNumberFormat="1" applyFont="1" applyProtection="1">
      <protection locked="0"/>
    </xf>
    <xf numFmtId="0" fontId="11" fillId="0" borderId="0" xfId="0" applyFont="1" applyAlignment="1">
      <alignment wrapText="1"/>
    </xf>
    <xf numFmtId="0" fontId="1" fillId="0" borderId="0" xfId="0" applyFont="1" applyAlignment="1" applyProtection="1">
      <alignment wrapText="1"/>
      <protection locked="0"/>
    </xf>
    <xf numFmtId="166" fontId="1" fillId="0" borderId="0" xfId="0" applyNumberFormat="1" applyFont="1" applyProtection="1">
      <protection locked="0"/>
    </xf>
    <xf numFmtId="0" fontId="4" fillId="0" borderId="1" xfId="0" applyFont="1" applyBorder="1" applyAlignment="1" applyProtection="1">
      <alignment wrapText="1"/>
      <protection locked="0"/>
    </xf>
    <xf numFmtId="14" fontId="6" fillId="0" borderId="0" xfId="0" quotePrefix="1" applyNumberFormat="1" applyFont="1" applyAlignment="1" applyProtection="1">
      <alignment horizontal="center"/>
      <protection locked="0"/>
    </xf>
    <xf numFmtId="9" fontId="6" fillId="0" borderId="0" xfId="0" applyNumberFormat="1" applyFont="1" applyAlignment="1" applyProtection="1">
      <alignment horizontal="center"/>
      <protection locked="0"/>
    </xf>
    <xf numFmtId="14" fontId="0" fillId="0" borderId="0" xfId="0" applyNumberFormat="1" applyProtection="1">
      <protection locked="0"/>
    </xf>
    <xf numFmtId="166" fontId="0" fillId="0" borderId="0" xfId="0" applyNumberFormat="1" applyProtection="1">
      <protection locked="0"/>
    </xf>
    <xf numFmtId="10" fontId="4" fillId="0" borderId="0" xfId="0" applyNumberFormat="1" applyFont="1" applyAlignment="1">
      <alignment horizontal="left"/>
    </xf>
    <xf numFmtId="4" fontId="0" fillId="0" borderId="0" xfId="0" applyNumberFormat="1" applyProtection="1">
      <protection locked="0"/>
    </xf>
    <xf numFmtId="166" fontId="4" fillId="3" borderId="60" xfId="0" applyNumberFormat="1" applyFont="1" applyFill="1" applyBorder="1" applyProtection="1">
      <protection locked="0"/>
    </xf>
    <xf numFmtId="165" fontId="4" fillId="3" borderId="60" xfId="0" applyNumberFormat="1" applyFont="1" applyFill="1" applyBorder="1" applyAlignment="1" applyProtection="1">
      <alignment horizontal="center"/>
      <protection locked="0"/>
    </xf>
    <xf numFmtId="0" fontId="4" fillId="8" borderId="0" xfId="0" applyFont="1" applyFill="1" applyProtection="1">
      <protection locked="0"/>
    </xf>
    <xf numFmtId="165" fontId="4" fillId="8" borderId="0" xfId="0" applyNumberFormat="1" applyFont="1" applyFill="1" applyProtection="1">
      <protection locked="0"/>
    </xf>
    <xf numFmtId="0" fontId="4" fillId="8" borderId="0" xfId="0" applyFont="1" applyFill="1" applyAlignment="1" applyProtection="1">
      <alignment horizontal="left"/>
      <protection locked="0"/>
    </xf>
    <xf numFmtId="166" fontId="4" fillId="8" borderId="0" xfId="0" applyNumberFormat="1" applyFont="1" applyFill="1" applyProtection="1">
      <protection locked="0"/>
    </xf>
    <xf numFmtId="0" fontId="0" fillId="8" borderId="0" xfId="0" applyFill="1" applyProtection="1">
      <protection locked="0"/>
    </xf>
    <xf numFmtId="0" fontId="17" fillId="0" borderId="0" xfId="0" applyFont="1"/>
    <xf numFmtId="3" fontId="17" fillId="0" borderId="0" xfId="0" applyNumberFormat="1" applyFont="1"/>
    <xf numFmtId="3" fontId="11" fillId="0" borderId="6" xfId="0" applyNumberFormat="1" applyFont="1" applyBorder="1"/>
    <xf numFmtId="167" fontId="11" fillId="0" borderId="8" xfId="0" applyNumberFormat="1" applyFont="1" applyBorder="1"/>
    <xf numFmtId="3" fontId="11" fillId="0" borderId="9" xfId="0" applyNumberFormat="1" applyFont="1" applyBorder="1"/>
    <xf numFmtId="167" fontId="11" fillId="0" borderId="10" xfId="0" applyNumberFormat="1" applyFont="1" applyBorder="1"/>
    <xf numFmtId="3" fontId="11" fillId="0" borderId="72" xfId="0" applyNumberFormat="1" applyFont="1" applyBorder="1"/>
    <xf numFmtId="167" fontId="11" fillId="0" borderId="73" xfId="0" applyNumberFormat="1" applyFont="1" applyBorder="1"/>
    <xf numFmtId="166" fontId="6" fillId="0" borderId="74" xfId="0" quotePrefix="1" applyNumberFormat="1" applyFont="1" applyBorder="1" applyProtection="1">
      <protection locked="0"/>
    </xf>
    <xf numFmtId="0" fontId="4" fillId="0" borderId="74" xfId="0" applyFont="1" applyBorder="1" applyAlignment="1" applyProtection="1">
      <alignment horizontal="center" wrapText="1"/>
      <protection locked="0"/>
    </xf>
    <xf numFmtId="0" fontId="4" fillId="0" borderId="74" xfId="0" applyFont="1" applyBorder="1" applyAlignment="1" applyProtection="1">
      <alignment wrapText="1"/>
      <protection locked="0"/>
    </xf>
    <xf numFmtId="0" fontId="4" fillId="3" borderId="74" xfId="0" applyFont="1" applyFill="1" applyBorder="1" applyProtection="1">
      <protection locked="0"/>
    </xf>
    <xf numFmtId="165" fontId="6" fillId="0" borderId="74" xfId="0" applyNumberFormat="1" applyFont="1" applyBorder="1" applyProtection="1">
      <protection locked="0"/>
    </xf>
    <xf numFmtId="165" fontId="4" fillId="0" borderId="74" xfId="0" applyNumberFormat="1" applyFont="1" applyBorder="1" applyAlignment="1" applyProtection="1">
      <alignment horizontal="center" wrapText="1"/>
      <protection locked="0"/>
    </xf>
    <xf numFmtId="0" fontId="4" fillId="3" borderId="59" xfId="0" applyFont="1" applyFill="1" applyBorder="1" applyProtection="1">
      <protection locked="0"/>
    </xf>
    <xf numFmtId="14" fontId="4" fillId="0" borderId="0" xfId="0" applyNumberFormat="1" applyFont="1"/>
    <xf numFmtId="166" fontId="6" fillId="0" borderId="74" xfId="0" applyNumberFormat="1" applyFont="1" applyBorder="1" applyProtection="1">
      <protection locked="0"/>
    </xf>
    <xf numFmtId="166" fontId="4" fillId="0" borderId="74" xfId="0" applyNumberFormat="1" applyFont="1" applyBorder="1" applyAlignment="1" applyProtection="1">
      <alignment horizontal="center" wrapText="1"/>
      <protection locked="0"/>
    </xf>
    <xf numFmtId="165" fontId="4" fillId="0" borderId="74" xfId="0" applyNumberFormat="1" applyFont="1" applyBorder="1" applyAlignment="1" applyProtection="1">
      <alignment horizontal="left"/>
      <protection locked="0"/>
    </xf>
    <xf numFmtId="167" fontId="4" fillId="0" borderId="74" xfId="0" applyNumberFormat="1" applyFont="1" applyBorder="1" applyAlignment="1" applyProtection="1">
      <alignment horizontal="left"/>
      <protection locked="0"/>
    </xf>
    <xf numFmtId="3" fontId="4" fillId="0" borderId="74" xfId="0" applyNumberFormat="1" applyFont="1" applyBorder="1" applyAlignment="1" applyProtection="1">
      <alignment horizontal="left"/>
      <protection locked="0"/>
    </xf>
    <xf numFmtId="0" fontId="4" fillId="0" borderId="74" xfId="0" applyFont="1" applyBorder="1" applyAlignment="1" applyProtection="1">
      <alignment horizontal="left"/>
      <protection locked="0"/>
    </xf>
    <xf numFmtId="10" fontId="4" fillId="0" borderId="74" xfId="0" applyNumberFormat="1" applyFont="1" applyBorder="1" applyAlignment="1" applyProtection="1">
      <alignment horizontal="right" wrapText="1"/>
      <protection locked="0"/>
    </xf>
    <xf numFmtId="10" fontId="4" fillId="0" borderId="0" xfId="0" applyNumberFormat="1" applyFont="1" applyAlignment="1">
      <alignment horizontal="right"/>
    </xf>
    <xf numFmtId="14" fontId="4" fillId="0" borderId="0" xfId="0" applyNumberFormat="1" applyFont="1" applyProtection="1">
      <protection locked="0"/>
    </xf>
    <xf numFmtId="7" fontId="6" fillId="0" borderId="0" xfId="0" applyNumberFormat="1" applyFont="1" applyProtection="1">
      <protection locked="0"/>
    </xf>
    <xf numFmtId="167" fontId="6" fillId="0" borderId="0" xfId="0" applyNumberFormat="1" applyFont="1" applyAlignment="1" applyProtection="1">
      <alignment horizontal="right"/>
      <protection locked="0"/>
    </xf>
    <xf numFmtId="170" fontId="6" fillId="0" borderId="0" xfId="0" applyNumberFormat="1" applyFont="1" applyProtection="1">
      <protection locked="0"/>
    </xf>
    <xf numFmtId="165" fontId="6" fillId="0" borderId="0" xfId="0" quotePrefix="1" applyNumberFormat="1" applyFont="1" applyProtection="1">
      <protection locked="0"/>
    </xf>
    <xf numFmtId="7" fontId="1" fillId="0" borderId="0" xfId="0" applyNumberFormat="1" applyFont="1" applyProtection="1">
      <protection locked="0"/>
    </xf>
    <xf numFmtId="165" fontId="1" fillId="0" borderId="0" xfId="0" applyNumberFormat="1" applyFont="1" applyProtection="1">
      <protection locked="0"/>
    </xf>
    <xf numFmtId="167" fontId="1" fillId="0" borderId="0" xfId="0" applyNumberFormat="1" applyFont="1" applyProtection="1">
      <protection locked="0"/>
    </xf>
    <xf numFmtId="170" fontId="1" fillId="0" borderId="0" xfId="0" applyNumberFormat="1" applyFont="1" applyProtection="1">
      <protection locked="0"/>
    </xf>
    <xf numFmtId="0" fontId="4" fillId="0" borderId="74" xfId="0" applyFont="1" applyBorder="1" applyAlignment="1" applyProtection="1">
      <alignment horizontal="left" wrapText="1"/>
      <protection locked="0"/>
    </xf>
    <xf numFmtId="2" fontId="4" fillId="0" borderId="0" xfId="0" applyNumberFormat="1" applyFont="1" applyProtection="1">
      <protection locked="0"/>
    </xf>
    <xf numFmtId="164" fontId="1" fillId="0" borderId="0" xfId="0" applyNumberFormat="1" applyFont="1" applyAlignment="1" applyProtection="1">
      <alignment wrapText="1"/>
      <protection locked="0"/>
    </xf>
    <xf numFmtId="164" fontId="4" fillId="8" borderId="0" xfId="0" quotePrefix="1" applyNumberFormat="1" applyFont="1" applyFill="1" applyAlignment="1" applyProtection="1">
      <alignment horizontal="left"/>
      <protection locked="0"/>
    </xf>
    <xf numFmtId="164" fontId="4" fillId="8" borderId="0" xfId="0" applyNumberFormat="1" applyFont="1" applyFill="1" applyAlignment="1" applyProtection="1">
      <alignment horizontal="left"/>
      <protection locked="0"/>
    </xf>
    <xf numFmtId="0" fontId="4" fillId="8" borderId="75" xfId="0" applyFont="1" applyFill="1" applyBorder="1" applyProtection="1">
      <protection locked="0"/>
    </xf>
    <xf numFmtId="0" fontId="4" fillId="8" borderId="0" xfId="0" applyFont="1" applyFill="1" applyAlignment="1" applyProtection="1">
      <alignment horizontal="center"/>
      <protection locked="0"/>
    </xf>
    <xf numFmtId="165" fontId="4" fillId="8" borderId="0" xfId="0" applyNumberFormat="1" applyFont="1" applyFill="1" applyAlignment="1" applyProtection="1">
      <alignment horizontal="center"/>
      <protection locked="0"/>
    </xf>
    <xf numFmtId="0" fontId="3" fillId="0" borderId="59" xfId="4" applyFont="1" applyBorder="1" applyProtection="1">
      <protection locked="0"/>
    </xf>
    <xf numFmtId="165" fontId="3" fillId="0" borderId="59" xfId="4" applyNumberFormat="1" applyFont="1" applyBorder="1" applyProtection="1">
      <protection locked="0"/>
    </xf>
    <xf numFmtId="0" fontId="3" fillId="5" borderId="59" xfId="4" applyFont="1" applyFill="1" applyBorder="1" applyProtection="1">
      <protection locked="0"/>
    </xf>
    <xf numFmtId="175" fontId="6" fillId="0" borderId="0" xfId="0" applyNumberFormat="1" applyFont="1" applyAlignment="1" applyProtection="1">
      <alignment horizontal="left"/>
      <protection locked="0"/>
    </xf>
    <xf numFmtId="167" fontId="0" fillId="5" borderId="0" xfId="0" applyNumberFormat="1" applyFill="1"/>
    <xf numFmtId="0" fontId="4" fillId="3" borderId="74" xfId="0" applyFont="1" applyFill="1" applyBorder="1" applyAlignment="1" applyProtection="1">
      <alignment horizontal="center"/>
      <protection locked="0"/>
    </xf>
    <xf numFmtId="170" fontId="8" fillId="4" borderId="0" xfId="0" applyNumberFormat="1" applyFont="1" applyFill="1"/>
    <xf numFmtId="165" fontId="6" fillId="0" borderId="74" xfId="0" applyNumberFormat="1" applyFont="1" applyBorder="1" applyAlignment="1" applyProtection="1">
      <alignment horizontal="center"/>
      <protection locked="0"/>
    </xf>
    <xf numFmtId="0" fontId="4" fillId="3" borderId="59" xfId="0" applyFont="1" applyFill="1" applyBorder="1" applyAlignment="1" applyProtection="1">
      <alignment horizontal="center"/>
      <protection locked="0"/>
    </xf>
    <xf numFmtId="167" fontId="1" fillId="0" borderId="0" xfId="0" applyNumberFormat="1" applyFont="1" applyAlignment="1" applyProtection="1">
      <alignment horizontal="center"/>
      <protection locked="0"/>
    </xf>
    <xf numFmtId="165" fontId="6" fillId="0" borderId="0" xfId="0" applyNumberFormat="1" applyFont="1" applyAlignment="1" applyProtection="1">
      <alignment horizontal="right"/>
      <protection locked="0"/>
    </xf>
    <xf numFmtId="14" fontId="6" fillId="0" borderId="74" xfId="0" quotePrefix="1" applyNumberFormat="1" applyFont="1" applyBorder="1" applyAlignment="1" applyProtection="1">
      <alignment horizontal="left"/>
      <protection locked="0"/>
    </xf>
    <xf numFmtId="0" fontId="4" fillId="5" borderId="74" xfId="0" applyFont="1" applyFill="1" applyBorder="1" applyAlignment="1" applyProtection="1">
      <alignment horizontal="center" wrapText="1"/>
      <protection locked="0"/>
    </xf>
    <xf numFmtId="14" fontId="1" fillId="5" borderId="0" xfId="0" applyNumberFormat="1" applyFont="1" applyFill="1" applyAlignment="1" applyProtection="1">
      <alignment horizontal="center"/>
      <protection locked="0"/>
    </xf>
    <xf numFmtId="0" fontId="0" fillId="0" borderId="74" xfId="0" applyBorder="1" applyProtection="1">
      <protection locked="0"/>
    </xf>
    <xf numFmtId="10" fontId="6" fillId="0" borderId="0" xfId="0" applyNumberFormat="1" applyFont="1" applyProtection="1">
      <protection locked="0"/>
    </xf>
    <xf numFmtId="14" fontId="6" fillId="0" borderId="74" xfId="0" applyNumberFormat="1" applyFont="1" applyBorder="1" applyProtection="1">
      <protection locked="0"/>
    </xf>
    <xf numFmtId="0" fontId="6" fillId="0" borderId="74" xfId="0" applyFont="1" applyBorder="1" applyAlignment="1" applyProtection="1">
      <alignment horizontal="left"/>
      <protection locked="0"/>
    </xf>
    <xf numFmtId="0" fontId="1" fillId="8" borderId="0" xfId="0" applyFont="1" applyFill="1" applyProtection="1">
      <protection locked="0"/>
    </xf>
    <xf numFmtId="167" fontId="11" fillId="0" borderId="7" xfId="0" applyNumberFormat="1" applyFont="1" applyBorder="1"/>
    <xf numFmtId="167" fontId="11" fillId="0" borderId="0" xfId="0" applyNumberFormat="1" applyFont="1"/>
    <xf numFmtId="167" fontId="11" fillId="0" borderId="76" xfId="0" applyNumberFormat="1" applyFont="1" applyBorder="1"/>
    <xf numFmtId="0" fontId="4" fillId="9" borderId="74" xfId="0" applyFont="1" applyFill="1" applyBorder="1" applyAlignment="1" applyProtection="1">
      <alignment horizontal="center" wrapText="1"/>
      <protection locked="0"/>
    </xf>
    <xf numFmtId="0" fontId="1" fillId="10" borderId="0" xfId="0" applyFont="1" applyFill="1" applyProtection="1">
      <protection locked="0"/>
    </xf>
    <xf numFmtId="166" fontId="6" fillId="0" borderId="0" xfId="0" quotePrefix="1" applyNumberFormat="1" applyFont="1" applyAlignment="1" applyProtection="1">
      <alignment horizontal="left"/>
      <protection locked="0"/>
    </xf>
    <xf numFmtId="173" fontId="1" fillId="0" borderId="0" xfId="2" applyFont="1" applyAlignment="1">
      <alignment horizontal="left" vertical="center"/>
    </xf>
    <xf numFmtId="0" fontId="0" fillId="5" borderId="0" xfId="0" applyFill="1"/>
    <xf numFmtId="166" fontId="0" fillId="5" borderId="0" xfId="0" applyNumberFormat="1" applyFill="1"/>
    <xf numFmtId="166" fontId="1" fillId="0" borderId="0" xfId="0" applyNumberFormat="1" applyFont="1"/>
    <xf numFmtId="166" fontId="0" fillId="8" borderId="0" xfId="0" applyNumberFormat="1" applyFill="1"/>
    <xf numFmtId="0" fontId="0" fillId="8" borderId="0" xfId="0" applyFill="1"/>
    <xf numFmtId="0" fontId="4" fillId="8" borderId="60" xfId="0" applyFont="1" applyFill="1" applyBorder="1" applyAlignment="1" applyProtection="1">
      <alignment horizontal="left"/>
      <protection locked="0"/>
    </xf>
    <xf numFmtId="0" fontId="19" fillId="0" borderId="0" xfId="0" applyFont="1" applyAlignment="1">
      <alignment vertical="center"/>
    </xf>
    <xf numFmtId="0" fontId="6" fillId="0" borderId="74" xfId="0" applyFont="1" applyBorder="1" applyAlignment="1" applyProtection="1">
      <alignment horizontal="center"/>
      <protection locked="0"/>
    </xf>
    <xf numFmtId="0" fontId="4" fillId="0" borderId="0" xfId="0" applyFont="1"/>
    <xf numFmtId="0" fontId="11" fillId="0" borderId="55" xfId="0" applyFont="1" applyBorder="1" applyAlignment="1">
      <alignment horizontal="center" wrapText="1"/>
    </xf>
    <xf numFmtId="0" fontId="0" fillId="0" borderId="56" xfId="0" applyBorder="1" applyAlignment="1">
      <alignment horizontal="center" wrapText="1"/>
    </xf>
    <xf numFmtId="0" fontId="11" fillId="0" borderId="57" xfId="0" applyFont="1" applyBorder="1" applyAlignment="1">
      <alignment horizontal="center"/>
    </xf>
    <xf numFmtId="0" fontId="0" fillId="0" borderId="57" xfId="0" applyBorder="1" applyAlignment="1">
      <alignment horizontal="center"/>
    </xf>
    <xf numFmtId="0" fontId="0" fillId="0" borderId="15" xfId="0" applyBorder="1" applyAlignment="1">
      <alignment horizontal="center"/>
    </xf>
    <xf numFmtId="0" fontId="0" fillId="0" borderId="0" xfId="0" applyAlignment="1">
      <alignment horizontal="center"/>
    </xf>
    <xf numFmtId="0" fontId="11" fillId="0" borderId="58" xfId="0" applyFont="1" applyBorder="1" applyAlignment="1">
      <alignment horizontal="center"/>
    </xf>
    <xf numFmtId="0" fontId="4" fillId="0" borderId="0" xfId="0" applyFont="1" applyAlignment="1">
      <alignment horizontal="center"/>
    </xf>
    <xf numFmtId="10" fontId="4" fillId="0" borderId="0" xfId="0" applyNumberFormat="1" applyFont="1" applyAlignment="1">
      <alignment horizontal="center"/>
    </xf>
  </cellXfs>
  <cellStyles count="5">
    <cellStyle name="Normal" xfId="0" builtinId="0"/>
    <cellStyle name="Normal 2" xfId="4" xr:uid="{00000000-0005-0000-0000-000001000000}"/>
    <cellStyle name="Normal_AAA Temp" xfId="1" xr:uid="{00000000-0005-0000-0000-000002000000}"/>
    <cellStyle name="Normal_Camillus Hourly 2000-2001 Valuation" xfId="2" xr:uid="{00000000-0005-0000-0000-000003000000}"/>
    <cellStyle name="Normal_Camillus Hourly Retiree Benefits" xfId="3" xr:uid="{00000000-0005-0000-0000-000004000000}"/>
  </cellStyles>
  <dxfs count="0"/>
  <tableStyles count="1" defaultTableStyle="TableStyleMedium9" defaultPivotStyle="PivotStyleLight16">
    <tableStyle name="Invisible" pivot="0" table="0" count="0" xr9:uid="{B76BE873-D503-4BD2-A5F0-24B456E99676}"/>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ekog82\AppData\Roaming\Microsoft\AddIns\atpbgc2007.xlam" TargetMode="External"/><Relationship Id="rId1" Type="http://schemas.openxmlformats.org/officeDocument/2006/relationships/externalLinkPath" Target="file:///C:\Users\bekog82\AppData\Roaming\Microsoft\AddIns\atpbgc2007.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definedNames>
      <definedName name="anb"/>
      <definedName name="ATT"/>
      <definedName name="BL"/>
      <definedName name="COMPAM"/>
      <definedName name="COMPAYM"/>
      <definedName name="COMPM"/>
      <definedName name="lx"/>
      <definedName name="NPVF"/>
      <definedName name="NPVF2"/>
      <definedName name="NRD"/>
      <definedName name="Nx"/>
      <definedName name="PBGCLRF"/>
      <definedName name="SERVYPA"/>
      <definedName name="sxra"/>
      <definedName name="XRA"/>
      <definedName name="XRD"/>
      <definedName name="XRD2"/>
    </definedNames>
    <sheetDataSet>
      <sheetData sheetId="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XET17"/>
  <sheetViews>
    <sheetView workbookViewId="0">
      <selection activeCell="E22" sqref="E22"/>
    </sheetView>
  </sheetViews>
  <sheetFormatPr defaultColWidth="16.140625" defaultRowHeight="12.75" x14ac:dyDescent="0.2"/>
  <cols>
    <col min="1" max="1" width="19.85546875" customWidth="1"/>
    <col min="2" max="2" width="19.42578125" customWidth="1"/>
    <col min="3" max="3" width="14" customWidth="1"/>
    <col min="4" max="4" width="8.85546875" customWidth="1"/>
    <col min="5" max="5" width="15.85546875" customWidth="1"/>
    <col min="6" max="14" width="14.42578125" customWidth="1"/>
    <col min="15" max="17" width="20.28515625" customWidth="1"/>
    <col min="18" max="18" width="12.5703125" customWidth="1"/>
    <col min="19" max="20" width="14.7109375" customWidth="1"/>
    <col min="21" max="21" width="10.85546875" customWidth="1"/>
    <col min="22" max="22" width="12" customWidth="1"/>
    <col min="23" max="25" width="13.85546875" customWidth="1"/>
    <col min="26" max="26" width="15.85546875" customWidth="1"/>
    <col min="27" max="27" width="12.7109375" customWidth="1"/>
    <col min="28" max="29" width="14.28515625" customWidth="1"/>
    <col min="30" max="35" width="12.5703125" customWidth="1"/>
    <col min="36" max="37" width="13" customWidth="1"/>
    <col min="38" max="38" width="15.7109375" customWidth="1"/>
    <col min="39" max="54" width="13.5703125" customWidth="1"/>
    <col min="55" max="61" width="17.140625" customWidth="1"/>
    <col min="62" max="63" width="15.5703125" customWidth="1"/>
    <col min="64" max="76" width="13.5703125" customWidth="1"/>
    <col min="77" max="78" width="14.28515625" customWidth="1"/>
    <col min="79" max="81" width="16.5703125" customWidth="1"/>
    <col min="82" max="83" width="14.28515625" customWidth="1"/>
    <col min="84" max="84" width="17" customWidth="1"/>
    <col min="85" max="85" width="19.140625" customWidth="1"/>
    <col min="86" max="86" width="17.42578125" customWidth="1"/>
    <col min="87" max="87" width="14.28515625" customWidth="1"/>
    <col min="88" max="88" width="13.7109375" customWidth="1"/>
    <col min="89" max="89" width="16.85546875" customWidth="1"/>
    <col min="90" max="90" width="15.5703125" customWidth="1"/>
    <col min="91" max="92" width="19.5703125" customWidth="1"/>
    <col min="93" max="93" width="14.42578125" customWidth="1"/>
    <col min="94" max="94" width="17.85546875" customWidth="1"/>
    <col min="95" max="95" width="12.7109375" customWidth="1"/>
    <col min="96" max="98" width="11.42578125" customWidth="1"/>
    <col min="99" max="99" width="13.85546875" customWidth="1"/>
    <col min="100" max="100" width="13.28515625" customWidth="1"/>
    <col min="101" max="102" width="14.42578125" customWidth="1"/>
    <col min="103" max="103" width="17.7109375" bestFit="1" customWidth="1"/>
    <col min="104" max="104" width="18" bestFit="1" customWidth="1"/>
    <col min="105" max="105" width="16" customWidth="1"/>
    <col min="106" max="106" width="15.7109375" customWidth="1"/>
    <col min="107" max="107" width="15" customWidth="1"/>
    <col min="108" max="108" width="16.5703125" customWidth="1"/>
    <col min="109" max="109" width="18" customWidth="1"/>
    <col min="110" max="110" width="21.5703125" customWidth="1"/>
    <col min="111" max="111" width="18" customWidth="1"/>
    <col min="112" max="112" width="14.7109375" customWidth="1"/>
    <col min="113" max="113" width="12.140625" customWidth="1"/>
    <col min="114" max="114" width="12.28515625" customWidth="1"/>
    <col min="115" max="115" width="11.7109375" customWidth="1"/>
    <col min="116" max="116" width="10.140625" customWidth="1"/>
    <col min="117" max="119" width="14.140625" customWidth="1"/>
    <col min="120" max="122" width="13.7109375" customWidth="1"/>
    <col min="123" max="124" width="19.140625" customWidth="1"/>
    <col min="125" max="128" width="13.7109375" customWidth="1"/>
    <col min="129" max="129" width="17" customWidth="1"/>
    <col min="130" max="135" width="13.7109375" customWidth="1"/>
    <col min="136" max="136" width="18" customWidth="1"/>
    <col min="137" max="137" width="13.7109375" customWidth="1"/>
    <col min="138" max="138" width="34.140625" customWidth="1"/>
    <col min="139" max="139" width="19" customWidth="1"/>
    <col min="140" max="141" width="22.5703125" customWidth="1"/>
    <col min="142" max="142" width="19.140625" customWidth="1"/>
    <col min="143" max="147" width="13.7109375" customWidth="1"/>
    <col min="148" max="148" width="18.42578125" customWidth="1"/>
    <col min="149" max="149" width="20.7109375" customWidth="1"/>
    <col min="150" max="150" width="18.7109375" customWidth="1"/>
    <col min="151" max="151" width="17.140625" customWidth="1"/>
    <col min="152" max="152" width="18.28515625" customWidth="1"/>
    <col min="153" max="156" width="25.140625" customWidth="1"/>
    <col min="157" max="159" width="21.5703125" customWidth="1"/>
    <col min="160" max="161" width="20.140625" customWidth="1"/>
    <col min="162" max="163" width="25.5703125" customWidth="1"/>
    <col min="164" max="167" width="21.5703125" customWidth="1"/>
    <col min="168" max="168" width="25.140625" customWidth="1"/>
    <col min="169" max="173" width="21.5703125" customWidth="1"/>
    <col min="174" max="174" width="24.140625" customWidth="1"/>
    <col min="175" max="175" width="20.140625" customWidth="1"/>
    <col min="176" max="178" width="16.140625" customWidth="1"/>
    <col min="179" max="191" width="17.140625" customWidth="1"/>
    <col min="192" max="192" width="30.28515625" customWidth="1"/>
    <col min="193" max="193" width="32.42578125" customWidth="1"/>
    <col min="194" max="194" width="26.140625" customWidth="1"/>
    <col min="195" max="195" width="25.140625" customWidth="1"/>
    <col min="196" max="196" width="24.28515625" customWidth="1"/>
    <col min="197" max="197" width="26.28515625" customWidth="1"/>
    <col min="198" max="198" width="20.5703125" customWidth="1"/>
    <col min="199" max="199" width="20" customWidth="1"/>
    <col min="200" max="200" width="25.140625" customWidth="1"/>
    <col min="201" max="201" width="29.7109375" customWidth="1"/>
    <col min="202" max="202" width="24" customWidth="1"/>
    <col min="203" max="203" width="23.85546875" customWidth="1"/>
    <col min="204" max="204" width="15.7109375" customWidth="1"/>
    <col min="205" max="205" width="14.7109375" customWidth="1"/>
    <col min="206" max="206" width="12.85546875" customWidth="1"/>
    <col min="207" max="207" width="14.28515625" customWidth="1"/>
    <col min="208" max="208" width="21.28515625" customWidth="1"/>
    <col min="209" max="209" width="21.42578125" customWidth="1"/>
    <col min="210" max="210" width="16.7109375" customWidth="1"/>
    <col min="211" max="211" width="14.7109375" customWidth="1"/>
    <col min="212" max="213" width="19.85546875" customWidth="1"/>
    <col min="214" max="214" width="17.28515625" customWidth="1"/>
    <col min="215" max="215" width="21.7109375" customWidth="1"/>
    <col min="216" max="216" width="12.85546875" customWidth="1"/>
    <col min="217" max="217" width="11.5703125" customWidth="1"/>
    <col min="218" max="218" width="22.140625" customWidth="1"/>
    <col min="219" max="219" width="15.42578125" customWidth="1"/>
    <col min="220" max="221" width="15" customWidth="1"/>
    <col min="222" max="224" width="16.140625" customWidth="1"/>
    <col min="225" max="225" width="17.85546875" customWidth="1"/>
    <col min="226" max="227" width="16.140625" customWidth="1"/>
    <col min="237" max="237" width="22.85546875" customWidth="1"/>
    <col min="250" max="250" width="24.85546875" customWidth="1"/>
    <col min="251" max="251" width="20.42578125" customWidth="1"/>
    <col min="255" max="255" width="20" customWidth="1"/>
    <col min="16374" max="16384" width="16.85546875" customWidth="1"/>
  </cols>
  <sheetData>
    <row r="1" spans="1:16374" s="46" customFormat="1" ht="14.25" thickTop="1" thickBot="1" x14ac:dyDescent="0.25">
      <c r="A1" s="2" t="s">
        <v>0</v>
      </c>
      <c r="B1" s="197" t="s">
        <v>1</v>
      </c>
      <c r="C1" s="197" t="s">
        <v>2</v>
      </c>
      <c r="D1" s="198" t="s">
        <v>3</v>
      </c>
      <c r="E1" s="198" t="s">
        <v>256</v>
      </c>
      <c r="F1" s="199" t="s">
        <v>4</v>
      </c>
      <c r="G1" s="199" t="s">
        <v>5</v>
      </c>
      <c r="H1" s="199" t="s">
        <v>241</v>
      </c>
      <c r="I1" s="199" t="s">
        <v>242</v>
      </c>
      <c r="J1" s="199" t="s">
        <v>243</v>
      </c>
      <c r="K1" s="199" t="s">
        <v>389</v>
      </c>
      <c r="L1" s="199" t="s">
        <v>390</v>
      </c>
      <c r="M1" s="199" t="s">
        <v>667</v>
      </c>
      <c r="N1" s="199" t="s">
        <v>391</v>
      </c>
      <c r="O1" s="199" t="s">
        <v>392</v>
      </c>
      <c r="P1" s="199" t="s">
        <v>416</v>
      </c>
      <c r="Q1" s="199" t="s">
        <v>411</v>
      </c>
      <c r="R1" s="199" t="s">
        <v>8</v>
      </c>
      <c r="S1" s="199" t="s">
        <v>9</v>
      </c>
      <c r="T1" s="199" t="s">
        <v>397</v>
      </c>
      <c r="U1" s="199" t="s">
        <v>21</v>
      </c>
      <c r="V1" s="199" t="s">
        <v>6</v>
      </c>
      <c r="W1" s="199" t="s">
        <v>7</v>
      </c>
      <c r="X1" s="199" t="s">
        <v>657</v>
      </c>
      <c r="Y1" s="199" t="s">
        <v>399</v>
      </c>
      <c r="Z1" s="199" t="s">
        <v>19</v>
      </c>
      <c r="AA1" s="199" t="s">
        <v>23</v>
      </c>
      <c r="AB1" s="199" t="s">
        <v>24</v>
      </c>
      <c r="AC1" s="199" t="s">
        <v>687</v>
      </c>
      <c r="AD1" s="199" t="s">
        <v>25</v>
      </c>
      <c r="AE1" s="199" t="s">
        <v>467</v>
      </c>
      <c r="AF1" s="199" t="s">
        <v>469</v>
      </c>
      <c r="AG1" s="199" t="s">
        <v>250</v>
      </c>
      <c r="AH1" s="199" t="s">
        <v>406</v>
      </c>
      <c r="AI1" s="199" t="s">
        <v>407</v>
      </c>
      <c r="AJ1" s="199" t="s">
        <v>258</v>
      </c>
      <c r="AK1" s="199" t="s">
        <v>677</v>
      </c>
      <c r="AL1" s="199" t="s">
        <v>359</v>
      </c>
      <c r="AM1" s="199" t="s">
        <v>351</v>
      </c>
      <c r="AN1" s="199" t="s">
        <v>274</v>
      </c>
      <c r="AO1" s="199" t="s">
        <v>275</v>
      </c>
      <c r="AP1" s="199" t="s">
        <v>686</v>
      </c>
      <c r="AQ1" s="199" t="s">
        <v>615</v>
      </c>
      <c r="AR1" s="199" t="s">
        <v>621</v>
      </c>
      <c r="AS1" s="199" t="s">
        <v>620</v>
      </c>
      <c r="AT1" s="199" t="s">
        <v>616</v>
      </c>
      <c r="AU1" s="199" t="s">
        <v>617</v>
      </c>
      <c r="AV1" s="199" t="s">
        <v>693</v>
      </c>
      <c r="AW1" s="199" t="s">
        <v>696</v>
      </c>
      <c r="AX1" s="199" t="s">
        <v>679</v>
      </c>
      <c r="AY1" s="199" t="s">
        <v>41</v>
      </c>
      <c r="AZ1" s="199" t="s">
        <v>614</v>
      </c>
      <c r="BA1" s="199" t="s">
        <v>40</v>
      </c>
      <c r="BB1" s="199" t="s">
        <v>730</v>
      </c>
      <c r="BC1" s="199" t="s">
        <v>350</v>
      </c>
      <c r="BD1" s="199" t="s">
        <v>676</v>
      </c>
      <c r="BE1" s="199" t="s">
        <v>675</v>
      </c>
      <c r="BF1" s="199" t="s">
        <v>678</v>
      </c>
      <c r="BG1" s="199" t="s">
        <v>674</v>
      </c>
      <c r="BH1" s="199" t="s">
        <v>672</v>
      </c>
      <c r="BI1" s="199" t="s">
        <v>673</v>
      </c>
      <c r="BJ1" s="199" t="s">
        <v>383</v>
      </c>
      <c r="BK1" s="199" t="s">
        <v>356</v>
      </c>
      <c r="BL1" s="199" t="s">
        <v>353</v>
      </c>
      <c r="BM1" s="199" t="s">
        <v>742</v>
      </c>
      <c r="BN1" s="199" t="s">
        <v>738</v>
      </c>
      <c r="BO1" s="199" t="s">
        <v>698</v>
      </c>
      <c r="BP1" s="199" t="s">
        <v>701</v>
      </c>
      <c r="BQ1" s="199" t="s">
        <v>711</v>
      </c>
      <c r="BR1" s="199" t="s">
        <v>712</v>
      </c>
      <c r="BS1" s="199" t="s">
        <v>713</v>
      </c>
      <c r="BT1" s="199" t="s">
        <v>714</v>
      </c>
      <c r="BU1" s="199" t="s">
        <v>715</v>
      </c>
      <c r="BV1" s="199" t="s">
        <v>716</v>
      </c>
      <c r="BW1" s="199" t="s">
        <v>612</v>
      </c>
      <c r="BX1" s="199" t="s">
        <v>703</v>
      </c>
      <c r="BY1" s="199" t="s">
        <v>227</v>
      </c>
      <c r="BZ1" s="199" t="s">
        <v>718</v>
      </c>
      <c r="CA1" s="199" t="s">
        <v>358</v>
      </c>
      <c r="CB1" s="199" t="s">
        <v>722</v>
      </c>
      <c r="CC1" s="199" t="s">
        <v>717</v>
      </c>
      <c r="CD1" s="199" t="s">
        <v>357</v>
      </c>
      <c r="CE1" s="199" t="s">
        <v>487</v>
      </c>
      <c r="CF1" s="200" t="s">
        <v>237</v>
      </c>
      <c r="CG1" s="200" t="s">
        <v>239</v>
      </c>
      <c r="CH1" s="200" t="s">
        <v>228</v>
      </c>
      <c r="CI1" s="199" t="s">
        <v>38</v>
      </c>
      <c r="CJ1" s="199" t="s">
        <v>39</v>
      </c>
      <c r="CK1" s="200" t="s">
        <v>324</v>
      </c>
      <c r="CL1" s="200" t="s">
        <v>364</v>
      </c>
      <c r="CM1" s="200" t="s">
        <v>44</v>
      </c>
      <c r="CN1" s="200" t="s">
        <v>580</v>
      </c>
      <c r="CO1" s="200" t="s">
        <v>365</v>
      </c>
      <c r="CP1" s="200" t="s">
        <v>47</v>
      </c>
      <c r="CQ1" s="200" t="s">
        <v>478</v>
      </c>
      <c r="CR1" s="200" t="s">
        <v>53</v>
      </c>
      <c r="CS1" s="200" t="s">
        <v>728</v>
      </c>
      <c r="CT1" s="200" t="s">
        <v>726</v>
      </c>
      <c r="CU1" s="200" t="s">
        <v>48</v>
      </c>
      <c r="CV1" s="200" t="s">
        <v>49</v>
      </c>
      <c r="CW1" s="200" t="s">
        <v>50</v>
      </c>
      <c r="CX1" s="200" t="s">
        <v>753</v>
      </c>
      <c r="CY1" s="200" t="s">
        <v>26</v>
      </c>
      <c r="CZ1" s="200" t="s">
        <v>27</v>
      </c>
      <c r="DA1" s="200" t="s">
        <v>28</v>
      </c>
      <c r="DB1" s="200" t="s">
        <v>29</v>
      </c>
      <c r="DC1" s="200" t="s">
        <v>30</v>
      </c>
      <c r="DD1" s="200" t="s">
        <v>31</v>
      </c>
      <c r="DE1" s="200" t="s">
        <v>427</v>
      </c>
      <c r="DF1" s="200" t="s">
        <v>403</v>
      </c>
      <c r="DG1" s="200" t="s">
        <v>33</v>
      </c>
      <c r="DH1" s="200" t="s">
        <v>35</v>
      </c>
      <c r="DI1" s="200" t="s">
        <v>36</v>
      </c>
      <c r="DJ1" s="200" t="s">
        <v>51</v>
      </c>
      <c r="DK1" s="200" t="s">
        <v>52</v>
      </c>
      <c r="DL1" s="200" t="s">
        <v>54</v>
      </c>
      <c r="DM1" s="200" t="s">
        <v>55</v>
      </c>
      <c r="DN1" s="200" t="s">
        <v>232</v>
      </c>
      <c r="DO1" s="200" t="s">
        <v>233</v>
      </c>
      <c r="DP1" s="200" t="s">
        <v>56</v>
      </c>
      <c r="DQ1" s="200" t="s">
        <v>75</v>
      </c>
      <c r="DR1" s="200" t="s">
        <v>76</v>
      </c>
      <c r="DS1" s="200" t="s">
        <v>367</v>
      </c>
      <c r="DT1" s="200" t="s">
        <v>533</v>
      </c>
      <c r="DU1" s="200" t="s">
        <v>361</v>
      </c>
      <c r="DV1" s="200" t="s">
        <v>362</v>
      </c>
      <c r="DW1" s="200" t="s">
        <v>363</v>
      </c>
      <c r="DX1" s="266" t="s">
        <v>553</v>
      </c>
      <c r="DY1" s="266" t="s">
        <v>554</v>
      </c>
      <c r="DZ1" s="266" t="s">
        <v>555</v>
      </c>
      <c r="EA1" s="266" t="s">
        <v>556</v>
      </c>
      <c r="EB1" s="266" t="s">
        <v>446</v>
      </c>
      <c r="EC1" s="266" t="s">
        <v>557</v>
      </c>
      <c r="ED1" s="266" t="s">
        <v>558</v>
      </c>
      <c r="EE1" s="266" t="s">
        <v>559</v>
      </c>
      <c r="EF1" s="266" t="s">
        <v>560</v>
      </c>
      <c r="EG1" s="266" t="s">
        <v>561</v>
      </c>
      <c r="EH1" s="266" t="s">
        <v>546</v>
      </c>
      <c r="EI1" s="266" t="s">
        <v>547</v>
      </c>
      <c r="EJ1" s="266" t="s">
        <v>548</v>
      </c>
      <c r="EK1" s="266" t="s">
        <v>575</v>
      </c>
      <c r="EL1" s="266" t="s">
        <v>549</v>
      </c>
      <c r="EM1" s="266" t="s">
        <v>562</v>
      </c>
      <c r="EN1" s="266" t="s">
        <v>563</v>
      </c>
      <c r="EO1" s="266" t="s">
        <v>564</v>
      </c>
      <c r="EP1" s="266" t="s">
        <v>571</v>
      </c>
      <c r="EQ1" s="266" t="s">
        <v>573</v>
      </c>
      <c r="ER1" s="263" t="s">
        <v>593</v>
      </c>
      <c r="ES1" s="298" t="s">
        <v>594</v>
      </c>
      <c r="ET1" s="298" t="s">
        <v>595</v>
      </c>
      <c r="EU1" s="298" t="s">
        <v>596</v>
      </c>
      <c r="EV1" s="298" t="s">
        <v>597</v>
      </c>
      <c r="EW1" s="201" t="s">
        <v>318</v>
      </c>
      <c r="EX1" s="201" t="s">
        <v>598</v>
      </c>
      <c r="EY1" s="201" t="s">
        <v>601</v>
      </c>
      <c r="EZ1" s="201" t="s">
        <v>267</v>
      </c>
      <c r="FA1" s="200" t="s">
        <v>63</v>
      </c>
      <c r="FB1" s="200" t="s">
        <v>420</v>
      </c>
      <c r="FC1" s="200" t="s">
        <v>440</v>
      </c>
      <c r="FD1" s="200" t="s">
        <v>434</v>
      </c>
      <c r="FE1" s="200" t="s">
        <v>435</v>
      </c>
      <c r="FF1" s="205" t="s">
        <v>449</v>
      </c>
      <c r="FG1" s="205" t="s">
        <v>340</v>
      </c>
      <c r="FH1" s="205" t="s">
        <v>342</v>
      </c>
      <c r="FI1" s="205" t="s">
        <v>343</v>
      </c>
      <c r="FJ1" s="205" t="s">
        <v>344</v>
      </c>
      <c r="FK1" s="205" t="s">
        <v>345</v>
      </c>
      <c r="FL1" s="205" t="s">
        <v>341</v>
      </c>
      <c r="FM1" s="205" t="s">
        <v>346</v>
      </c>
      <c r="FN1" s="205" t="s">
        <v>347</v>
      </c>
      <c r="FO1" s="205" t="s">
        <v>348</v>
      </c>
      <c r="FP1" s="205" t="s">
        <v>349</v>
      </c>
      <c r="FQ1" s="200" t="s">
        <v>410</v>
      </c>
      <c r="FR1" s="200" t="s">
        <v>447</v>
      </c>
      <c r="FS1" s="200" t="s">
        <v>443</v>
      </c>
      <c r="FT1" s="200" t="s">
        <v>430</v>
      </c>
      <c r="FU1" s="200" t="s">
        <v>432</v>
      </c>
      <c r="FV1" s="200" t="s">
        <v>59</v>
      </c>
      <c r="FW1" s="202" t="s">
        <v>214</v>
      </c>
      <c r="FX1" s="202" t="s">
        <v>422</v>
      </c>
      <c r="FY1" s="202" t="s">
        <v>451</v>
      </c>
      <c r="FZ1" s="202" t="s">
        <v>452</v>
      </c>
      <c r="GA1" s="202" t="s">
        <v>453</v>
      </c>
      <c r="GB1" s="200" t="s">
        <v>60</v>
      </c>
      <c r="GC1" s="202" t="s">
        <v>454</v>
      </c>
      <c r="GD1" s="202" t="s">
        <v>455</v>
      </c>
      <c r="GE1" s="202" t="s">
        <v>456</v>
      </c>
      <c r="GF1" s="301" t="s">
        <v>602</v>
      </c>
      <c r="GG1" s="301" t="s">
        <v>603</v>
      </c>
      <c r="GH1" s="301" t="s">
        <v>604</v>
      </c>
      <c r="GI1" s="301" t="s">
        <v>605</v>
      </c>
      <c r="GJ1" s="202" t="s">
        <v>368</v>
      </c>
      <c r="GK1" s="202" t="s">
        <v>369</v>
      </c>
      <c r="GL1" s="202" t="s">
        <v>370</v>
      </c>
      <c r="GM1" s="202" t="s">
        <v>371</v>
      </c>
      <c r="GN1" s="202" t="s">
        <v>372</v>
      </c>
      <c r="GO1" s="202" t="s">
        <v>373</v>
      </c>
      <c r="GP1" s="202" t="s">
        <v>374</v>
      </c>
      <c r="GQ1" s="202" t="s">
        <v>375</v>
      </c>
      <c r="GR1" s="202" t="s">
        <v>376</v>
      </c>
      <c r="GS1" s="202" t="s">
        <v>377</v>
      </c>
      <c r="GT1" s="202" t="s">
        <v>378</v>
      </c>
      <c r="GU1" s="202" t="s">
        <v>388</v>
      </c>
      <c r="GV1" s="202" t="s">
        <v>379</v>
      </c>
      <c r="GW1" s="202" t="s">
        <v>380</v>
      </c>
      <c r="GX1" s="202" t="s">
        <v>387</v>
      </c>
      <c r="GY1" s="202" t="s">
        <v>381</v>
      </c>
      <c r="GZ1" s="202" t="s">
        <v>62</v>
      </c>
      <c r="HA1" s="202" t="s">
        <v>65</v>
      </c>
      <c r="HB1" s="202" t="s">
        <v>61</v>
      </c>
      <c r="HC1" s="202" t="s">
        <v>64</v>
      </c>
      <c r="HD1" s="200" t="s">
        <v>366</v>
      </c>
      <c r="HE1" s="200" t="s">
        <v>438</v>
      </c>
      <c r="HF1" s="202" t="s">
        <v>382</v>
      </c>
      <c r="HG1" s="200" t="s">
        <v>66</v>
      </c>
      <c r="HH1" s="200" t="s">
        <v>67</v>
      </c>
      <c r="HI1" s="200" t="s">
        <v>68</v>
      </c>
      <c r="HJ1" s="200" t="s">
        <v>70</v>
      </c>
      <c r="HK1" s="200" t="s">
        <v>71</v>
      </c>
      <c r="HL1" s="200" t="s">
        <v>72</v>
      </c>
      <c r="HM1" s="200" t="s">
        <v>224</v>
      </c>
      <c r="HN1" s="200" t="s">
        <v>73</v>
      </c>
      <c r="HO1" s="200" t="s">
        <v>246</v>
      </c>
      <c r="HP1" s="200" t="s">
        <v>247</v>
      </c>
      <c r="HQ1" s="200" t="s">
        <v>74</v>
      </c>
      <c r="HR1" s="200" t="s">
        <v>251</v>
      </c>
      <c r="HS1" s="200" t="s">
        <v>252</v>
      </c>
      <c r="HT1" s="200" t="s">
        <v>423</v>
      </c>
      <c r="HU1" s="200" t="s">
        <v>424</v>
      </c>
      <c r="HV1" s="200" t="s">
        <v>42</v>
      </c>
      <c r="HW1" s="199" t="s">
        <v>43</v>
      </c>
      <c r="HX1" s="202" t="s">
        <v>497</v>
      </c>
      <c r="HY1" s="202" t="s">
        <v>401</v>
      </c>
      <c r="HZ1" s="202" t="s">
        <v>502</v>
      </c>
      <c r="IA1" s="202" t="s">
        <v>503</v>
      </c>
      <c r="IB1" s="202" t="s">
        <v>504</v>
      </c>
      <c r="IC1" s="246" t="s">
        <v>89</v>
      </c>
      <c r="ID1" s="246" t="s">
        <v>507</v>
      </c>
      <c r="IE1" s="202" t="s">
        <v>746</v>
      </c>
      <c r="IF1" s="202" t="s">
        <v>747</v>
      </c>
      <c r="IG1" s="202" t="s">
        <v>745</v>
      </c>
      <c r="IH1" s="202" t="s">
        <v>754</v>
      </c>
      <c r="II1" s="202" t="s">
        <v>45</v>
      </c>
      <c r="IJ1" s="202" t="s">
        <v>46</v>
      </c>
      <c r="IK1" s="202" t="s">
        <v>57</v>
      </c>
      <c r="IL1" s="200" t="s">
        <v>58</v>
      </c>
      <c r="IM1" s="200" t="s">
        <v>515</v>
      </c>
      <c r="IN1" s="202" t="s">
        <v>516</v>
      </c>
      <c r="IO1" s="200" t="s">
        <v>517</v>
      </c>
      <c r="IP1" s="201" t="s">
        <v>95</v>
      </c>
      <c r="IQ1" s="201" t="s">
        <v>519</v>
      </c>
      <c r="IR1" s="200" t="s">
        <v>37</v>
      </c>
      <c r="IS1" s="200" t="s">
        <v>489</v>
      </c>
      <c r="IT1" s="200" t="s">
        <v>631</v>
      </c>
      <c r="IU1" s="200" t="s">
        <v>384</v>
      </c>
      <c r="IV1" s="200" t="s">
        <v>385</v>
      </c>
      <c r="IW1" s="200" t="s">
        <v>386</v>
      </c>
      <c r="IX1" s="201" t="s">
        <v>495</v>
      </c>
      <c r="IY1" s="201" t="s">
        <v>230</v>
      </c>
      <c r="IZ1" s="201" t="s">
        <v>231</v>
      </c>
      <c r="JA1" s="245" t="s">
        <v>97</v>
      </c>
      <c r="JB1" s="200" t="s">
        <v>98</v>
      </c>
      <c r="JC1" s="200" t="s">
        <v>99</v>
      </c>
      <c r="JD1" s="200" t="s">
        <v>528</v>
      </c>
      <c r="JE1" s="200" t="s">
        <v>529</v>
      </c>
      <c r="JF1" s="199" t="s">
        <v>100</v>
      </c>
      <c r="JG1" s="200" t="s">
        <v>649</v>
      </c>
      <c r="JH1" s="200" t="s">
        <v>644</v>
      </c>
      <c r="JI1" s="200" t="s">
        <v>645</v>
      </c>
      <c r="JJ1" s="200" t="s">
        <v>646</v>
      </c>
      <c r="JK1" s="200" t="s">
        <v>647</v>
      </c>
      <c r="JL1" s="200" t="s">
        <v>648</v>
      </c>
    </row>
    <row r="2" spans="1:16374" s="46" customFormat="1" ht="13.5" thickTop="1" x14ac:dyDescent="0.2">
      <c r="A2" s="2" t="s">
        <v>10</v>
      </c>
      <c r="B2" s="168">
        <v>3</v>
      </c>
      <c r="C2" s="168" t="s">
        <v>465</v>
      </c>
      <c r="D2" s="168" t="s">
        <v>17</v>
      </c>
      <c r="E2" s="168"/>
      <c r="F2" s="169"/>
      <c r="G2" s="169"/>
      <c r="H2" s="168"/>
      <c r="I2" s="169"/>
      <c r="J2" s="169" t="s">
        <v>466</v>
      </c>
      <c r="K2" s="169"/>
      <c r="L2" s="169"/>
      <c r="M2" s="169"/>
      <c r="N2" s="169"/>
      <c r="O2" s="169" t="s">
        <v>91</v>
      </c>
      <c r="P2" s="169" t="s">
        <v>417</v>
      </c>
      <c r="Q2" s="168" t="s">
        <v>413</v>
      </c>
      <c r="R2" s="169" t="s">
        <v>244</v>
      </c>
      <c r="S2" s="171" t="s">
        <v>22</v>
      </c>
      <c r="T2" s="171"/>
      <c r="U2" s="171" t="s">
        <v>226</v>
      </c>
      <c r="V2" s="65">
        <v>16510</v>
      </c>
      <c r="W2" s="65">
        <v>17078</v>
      </c>
      <c r="X2" s="65">
        <f>IF(W2&gt;0,W2,V2)</f>
        <v>17078</v>
      </c>
      <c r="Y2" s="65"/>
      <c r="Z2" s="65">
        <f>IF(AND(O2="Y",P2="R",NOT(ISBLANK(Y2))),Y2,IF(OR(U2="D",U2="W",U2="S"),"NULL",IF(W2&gt;0,W2,DATE(YEAR(V2)+IF(R2="M",4,-4),MONTH(V2),DAY(V2)))))</f>
        <v>17078</v>
      </c>
      <c r="AA2" s="65">
        <v>25430</v>
      </c>
      <c r="AB2" s="170">
        <f>IF(AA2&lt;DATE(1986,1,1),DATE(1985,4,1),AA2)</f>
        <v>31138</v>
      </c>
      <c r="AC2" s="170" t="str">
        <f>IF(AA2=AB2,"Y","N")</f>
        <v>N</v>
      </c>
      <c r="AD2" s="170">
        <v>38275</v>
      </c>
      <c r="AE2" s="170">
        <v>36617</v>
      </c>
      <c r="AF2" s="170">
        <f>MIN(AD2,AE2)</f>
        <v>36617</v>
      </c>
      <c r="AG2" s="170"/>
      <c r="AH2" s="170"/>
      <c r="AI2" s="170"/>
      <c r="AJ2" s="169">
        <f>[1]!SERVYPA(AB2,AF2,AB2,1000)</f>
        <v>15</v>
      </c>
      <c r="AK2" s="169">
        <f>[1]!SERVYPA(AB2,AF2,Plan_Date,1000)</f>
        <v>15</v>
      </c>
      <c r="AL2" s="168">
        <v>33</v>
      </c>
      <c r="AM2" s="168">
        <f>AJ2-3</f>
        <v>12</v>
      </c>
      <c r="AN2" s="170">
        <f>[1]!NRD(DATE(YEAR(AB2)+20,MONTH(AB2),DAY(AB2)),0)</f>
        <v>38443</v>
      </c>
      <c r="AO2" s="170">
        <f>[1]!NRD(DATE(YEAR(V2)+57,MONTH(V2),DAY(V2)),0)</f>
        <v>37347</v>
      </c>
      <c r="AP2" s="170" t="str">
        <f>IF(AO2&gt;AN2,"Y","N")</f>
        <v>N</v>
      </c>
      <c r="AQ2" s="170">
        <f>[1]!NRD(DATE(YEAR(V2)+65,MONTH(V2),DAY(V2)),0)</f>
        <v>40269</v>
      </c>
      <c r="AR2" s="168">
        <f>[1]!ATT(V2,AN2)</f>
        <v>60</v>
      </c>
      <c r="AS2" s="170">
        <f>[1]!NRD(DATE(YEAR(V2)+65,MONTH(V2),DAY(V2)),0)</f>
        <v>40269</v>
      </c>
      <c r="AT2" s="168">
        <f>[1]!anb(V2,IF(AO2&gt;=AN2,AO2,AN2))</f>
        <v>60</v>
      </c>
      <c r="AU2" s="170">
        <f>MIN(IF(AO2&gt;=AN2,AO2,AN2),AQ2)</f>
        <v>38443</v>
      </c>
      <c r="AV2" s="170" t="str">
        <f>IF(AD2&lt;=AU2,"Y","N")</f>
        <v>Y</v>
      </c>
      <c r="AW2" s="170" t="str">
        <f>IF(AO2&gt;AN2,"Y","N")</f>
        <v>N</v>
      </c>
      <c r="AX2" s="170" t="str">
        <f>IF(AT2=58,[1]!NRD(DATE(YEAR(V2)+58,MONTH(V2),DAY(V2)),0),"")</f>
        <v/>
      </c>
      <c r="AY2" s="65">
        <f>MIN(IF(AO2&gt;=AN2,AO2,AN2),AQ2)</f>
        <v>38443</v>
      </c>
      <c r="AZ2" s="168">
        <f>[1]!anb(V2,AY2)</f>
        <v>60</v>
      </c>
      <c r="BA2" s="168">
        <f>[1]!anb(V2,IF(AO2&gt;=AN2,AO2,AN2))</f>
        <v>60</v>
      </c>
      <c r="BB2" s="317">
        <f>ROUND([1]!COMPAYM(V2,IF(AO2&gt;=AN2,AO2,AN2)),4)</f>
        <v>60</v>
      </c>
      <c r="BC2" s="169">
        <f>[1]!SERVYPA(AB2,AY2,AB2,1000)</f>
        <v>20</v>
      </c>
      <c r="BD2" s="169">
        <f>[1]!SERVYPA(AB2,AU2,Plan_Date,1000)</f>
        <v>20</v>
      </c>
      <c r="BE2" s="169">
        <f>[1]!COMPAM(AB2,AU2)/12-ROUNDDOWN(([1]!COMPAM(AB2,AU2)/12),0)</f>
        <v>0</v>
      </c>
      <c r="BF2" s="169">
        <f>[1]!COMPAM(AB2,AU2)/12</f>
        <v>20</v>
      </c>
      <c r="BG2" s="169">
        <f>[1]!SERVYPA(AA2,AU2,AA2,1000)</f>
        <v>36</v>
      </c>
      <c r="BH2" s="169">
        <f>IF(BG2&lt;=25,1,IF(BG2&lt;30,2,IF(BG2&gt;=30,3)))</f>
        <v>3</v>
      </c>
      <c r="BI2" s="169">
        <f>[1]!anb(AB2,AU2)</f>
        <v>20</v>
      </c>
      <c r="BJ2" s="169">
        <v>38.333300000000001</v>
      </c>
      <c r="BK2" s="296">
        <f>ROUND(MIN(AJ2/BC2,1),6)</f>
        <v>0.75</v>
      </c>
      <c r="BL2" s="173">
        <f>ROUND(MIN(BC2/20,1), 4)</f>
        <v>1</v>
      </c>
      <c r="BM2" s="168">
        <f>IF(AND(BG2&gt;20,BG2&lt;25),25,IF(AND(BG2&gt;25,BG2&lt;30),30,IF(BG2=20,0,IF(BG2=25,0,IF(BG2&gt;=30,0)))))</f>
        <v>0</v>
      </c>
      <c r="BN2" s="168">
        <f>IF(AND(BG2&gt;20,BG2&lt;25),20,IF(AND(BG2&gt;25,BG2&lt;30),25,IF(BG2=20,0,IF(BG2=25,0,IF(BG2&gt;=30,0)))))</f>
        <v>0</v>
      </c>
      <c r="BO2" s="168">
        <f>[1]!SERVYPA(AA2,AY2,AA2,1000)</f>
        <v>36</v>
      </c>
      <c r="BP2" s="172">
        <f>ROUND(VLOOKUP(BA2,Bene_Amt,IF(BG2&lt;=25,2,IF(BG2&lt;30,3,IF(BG2&gt;=30,4))),FALSE),2)</f>
        <v>2100</v>
      </c>
      <c r="BQ2" s="172">
        <f>ROUND(VLOOKUP(BA2,Bene_Amt,IF(BG2&lt;=25,2,IF(BG2&lt;30,3,IF(BG2&gt;=30,4))),FALSE),2)</f>
        <v>2100</v>
      </c>
      <c r="BR2" s="172">
        <f>VLOOKUP(BA2,Bene_Amt,IF(AND(BG2&gt;20,BG2&lt;25),3,IF(AND(BG2&gt;25,BG2&lt;30),4,IF(BG2=20,2,IF(BG2=25,3,IF(BG2&gt;=30,4))))),FALSE)</f>
        <v>2100</v>
      </c>
      <c r="BS2" s="172">
        <f>(BR2-BQ2)/5</f>
        <v>0</v>
      </c>
      <c r="BT2" s="168">
        <f>IF(BG2&gt;=30,0,IF(BG2&gt;=30,BG2-30,IF(BG2&gt;=25,BG2-25,IF(BG2&gt;=20,BG2-20))))</f>
        <v>0</v>
      </c>
      <c r="BU2" s="172">
        <f>ROUND((((BR2-BQ2)/5)*BT2),2)</f>
        <v>0</v>
      </c>
      <c r="BV2" s="172">
        <f>ROUND(VLOOKUP(BA2,Bene_Amt,IF(BG2&lt;=25,2,IF(BG2&lt;30,3,IF(BG2&gt;=30,4))),FALSE)+((BR2-BQ2)/5)*IF(BG2&gt;=30,BG2-30,IF(BG2&gt;=25,BG2-25,IF(BG2&gt;=20,BG2-20))),2)</f>
        <v>2100</v>
      </c>
      <c r="BW2" s="172">
        <f>ROUND(VLOOKUP(BA2,Bene_Amt,IF(BG2&lt;=25,2,IF(BG2&lt;30,3,IF(BG2&gt;=30,4))),FALSE),2)</f>
        <v>2100</v>
      </c>
      <c r="BX2" s="172">
        <f>ROUND((VLOOKUP(BA2,Bene_Amt,IF(BG2&lt;=25,2,IF(BG2&lt;30,3,IF(BG2&gt;=30,4))),FALSE)*BK2),2)</f>
        <v>1575</v>
      </c>
      <c r="BY2" s="172">
        <f>ROUND((VLOOKUP(BA2,Bene_Amt,IF(BG2&lt;=25,2,IF(BG2&lt;30,3,IF(BG2&gt;=30,4))),FALSE)+((BR2-BQ2)/5)*IF(BG2&gt;=30,BG2-30,IF(BG2&gt;=25,BG2-25,IF(BG2&gt;=20,BG2-20))))*BK2,2)</f>
        <v>1575</v>
      </c>
      <c r="BZ2" s="172">
        <f>ROUND((BK2*BV2),2)</f>
        <v>1575</v>
      </c>
      <c r="CA2" s="172">
        <v>3596.18</v>
      </c>
      <c r="CB2" s="168">
        <f>[1]!ATT(V2,PC3_Date)</f>
        <v>61</v>
      </c>
      <c r="CC2" s="172">
        <f>IF([1]!ATT(V2,PC3_Date)&gt;=57,ROUND(VLOOKUP(IF([1]!ATT(V2,PC3_Date)&gt;BA2,BA2,IF([1]!ATT(V2,PC3_Date)&lt;57,57,[1]!ATT(V2,PC3_Date))),Bene_Amt,IF(BG2&lt;=25,2,IF(BG2&lt;30,3,IF(BG2&gt;=30,4))),FALSE)+((BR2-BQ2)/5)*IF(BG2&gt;=30,BG2-30,IF(BG2&gt;=25,BG2-25,IF(BG2&gt;=20,BG2-20))),2),0)</f>
        <v>2100</v>
      </c>
      <c r="CD2" s="174">
        <f>ROUND((BK2*CC2),2)</f>
        <v>1575</v>
      </c>
      <c r="CE2" s="174"/>
      <c r="CF2" s="175">
        <f>[1]!SERVYPA(AA2,AD2,Plan_Date,1000)</f>
        <v>36</v>
      </c>
      <c r="CG2" s="176">
        <v>1</v>
      </c>
      <c r="CH2" s="177">
        <f>ROUND(BY2*CG2,2)</f>
        <v>1575</v>
      </c>
      <c r="CI2" s="171">
        <f>[1]!anb(V2,DOPT)</f>
        <v>64</v>
      </c>
      <c r="CJ2" s="171">
        <f>IF(Z2="NULL","NULL",IF(Z2&gt;DOPT,0,[1]!anb(Z2,DOPT)))</f>
        <v>63</v>
      </c>
      <c r="CK2" s="303">
        <f>PBGC_MAX</f>
        <v>4500</v>
      </c>
      <c r="CL2" s="178">
        <f>MAX(AY2,[1]!NRD(DOPT,0))</f>
        <v>40026</v>
      </c>
      <c r="CM2" s="179">
        <f>IF(AY2&lt;DOPT,CI2,BA2)</f>
        <v>64</v>
      </c>
      <c r="CN2" s="178">
        <f>DATE(YEAR(V2)+CM2,MONTH(V2),DAY(V2))</f>
        <v>39886</v>
      </c>
      <c r="CO2" s="178">
        <f>CL2</f>
        <v>40026</v>
      </c>
      <c r="CP2" s="179">
        <f>MAX(BA2,CI2)</f>
        <v>64</v>
      </c>
      <c r="CQ2" s="178" t="s">
        <v>586</v>
      </c>
      <c r="CR2" s="177" t="str">
        <f>IF(D2="2","IMM","HIGH")</f>
        <v>HIGH</v>
      </c>
      <c r="CS2" s="171">
        <f>[1]!anb(V2,DOPT)</f>
        <v>64</v>
      </c>
      <c r="CT2" s="171">
        <f>MAX(BA2,CI2)</f>
        <v>64</v>
      </c>
      <c r="CU2" s="171">
        <f>MAX(BA2,CI2)</f>
        <v>64</v>
      </c>
      <c r="CV2" s="178">
        <f>IF(CU2=CI2,CO2,[1]!XRD2(B2,DOPT,CO2,CU2,V2,1))</f>
        <v>40026</v>
      </c>
      <c r="CW2" s="179">
        <f>IF(Z2="NULL","NULL",[1]!sxra(CV2,Z2))</f>
        <v>63</v>
      </c>
      <c r="CX2" s="179">
        <f>CU2-CI2</f>
        <v>0</v>
      </c>
      <c r="CY2" s="184" t="s">
        <v>32</v>
      </c>
      <c r="CZ2" s="184" t="s">
        <v>253</v>
      </c>
      <c r="DA2" s="171">
        <f>0</f>
        <v>0</v>
      </c>
      <c r="DB2" s="176">
        <v>0.5</v>
      </c>
      <c r="DC2" s="171">
        <v>0</v>
      </c>
      <c r="DD2" s="171">
        <v>0</v>
      </c>
      <c r="DE2" s="171" t="s">
        <v>587</v>
      </c>
      <c r="DF2" s="171"/>
      <c r="DG2" s="171" t="str">
        <f>IF(OR(U2="S",U2="W",U2="D",D2="2"),"2","9")</f>
        <v>9</v>
      </c>
      <c r="DH2" s="176">
        <f>IF(DG2=CZ2,DB2,DA2)</f>
        <v>0.5</v>
      </c>
      <c r="DI2" s="171">
        <f>IF(DG2=CZ2,DD2,DC2)</f>
        <v>0</v>
      </c>
      <c r="DJ2" s="171">
        <f>+CU2</f>
        <v>64</v>
      </c>
      <c r="DK2" s="171">
        <v>999</v>
      </c>
      <c r="DL2" s="171">
        <f>IF(CV2&lt;AY2,[1]!COMPM(CV2,AY2),0)</f>
        <v>0</v>
      </c>
      <c r="DM2" s="183">
        <f>IF(AD2&lt;=DATE(2000,1,1),ROUND([1]!NPVF("MX","SLA","N",ERFB,"M",65-DL2/12,65,0,0,0,0,"GM71","GM71","P","","")/[1]!NPVF("MX","SLA","N",ERFB,"M",65-DL2/12,65-DL2/12,0,0,0,0,"GM71","GM71","P","",""),4),IF(AD2&lt;DATE(2003,4,1),ROUND([1]!NPVF("MX","SLA","N",ERF,"M",65-DL2/12,65,0,0,0,0,"AA20","AA20","P","","")/[1]!NPVF("MX","SLA","N",ERF,"M",65-DL2/12,65-DL2/12,0,0,0,0,"AA20","AA20","P","",""),4),IF(AD2&gt;=DATE(2003,4,1),ROUND([1]!NPVF("MX","SLA","N",ERF,"M",65-DO2/12,65,0,0,0,0,"GU94","GU94","P","","")/[1]!NPVF("MX","SLA","N",ERF,"M",65-DL2/12,65-DL2/12,0,0,0,0,"GU94","GU94","P","",""),4))))</f>
        <v>0.67259999999999998</v>
      </c>
      <c r="DN2" s="179">
        <f>[1]!anb(V2,CV2)</f>
        <v>64</v>
      </c>
      <c r="DO2" s="179">
        <f>IF(OR(Z2="NULL",ISBLANK(Z2)),"NULL",[1]!anb(Z2,CV2))</f>
        <v>63</v>
      </c>
      <c r="DP2" s="180">
        <f>IF(AND(DG2="2",D2="1"),1,IF(AD2&lt;DATE(2000,1,1),ROUND([1]!NPVF("MP","SLA","N",BFCF_Rates,"M",DN2,DN2,DO2,0,0,0,"GM71","GM71","P","","")/[1]!NPVF("MP","JSC","N",BFCF_Rates,"M",DN2,DN2,DO2,0.5,0,0,"GM71","GM71","P","",""),4),IF(AD2&lt;DATE(2003,4,1),ROUND([1]!NPVF("MP","SLA","N",BFCF_Rates1,"M",DN2,DN2,DO2,0,0,0,"AA20","AA20","P","","")/[1]!NPVF("MP","JSC","N",BFCF_Rates1,"M",DN2,DN2,DO2,0.5,0,0,"AA20","AA20","P","",""),4),IF(AD2&gt;=DATE(2003,4,1),ROUND([1]!NPVF("MP","SLA","N",BFCF_Rates1,"M",DN2,DN2,DO2,0,0,0,"GU94","GU94","P","","")/[1]!NPVF("MP","JSC","N",BFCF_Rates1,"M",DN2,DN2,DO2,0.5,0,0,"GU94","GU94","P","",""),4)))))</f>
        <v>0.92620000000000002</v>
      </c>
      <c r="DQ2" s="185">
        <f>MIN(180,[1]!COMPM(AY2,MAX(AY2,CV2)))</f>
        <v>52</v>
      </c>
      <c r="DR2" s="180">
        <f>IF(AND(AD2&lt;DATE(2000,1,1),BB2=57),VLOOKUP(DQ2,LRFTABLE2,2,FALSE),IF(AND(AD2&lt;DATE(2003,4,1),BB2=57),VLOOKUP(DQ2,LRFTABLE3,2,FALSE),IF(AND(AD2&lt;DATE(2003,4,1),BB2=62.75),VLOOKUP(DQ2,LRFTABLE4,2,FALSE),IF(AND(AD2&lt;DATE(2000,1,1),BB2=57.3333),VLOOKUP(DQ2,LRFTABLE5,2,FALSE),1))))</f>
        <v>1</v>
      </c>
      <c r="DS2" s="177">
        <f>ROUND(ROUND((ROUND(CH2,2)*ROUND(DM2,4)*ROUND(DP2,4)*ROUND(DR2,4)),2)*IF(D2="2",0.5,1),2)</f>
        <v>981.17</v>
      </c>
      <c r="DT2" s="177">
        <f>DS2</f>
        <v>981.17</v>
      </c>
      <c r="DU2" s="175">
        <f>[1]!SERVYPA(AA2,MIN(AD2,PC3_Date),Plan_Date,1000)</f>
        <v>36</v>
      </c>
      <c r="DV2" s="176">
        <f>VLOOKUP(DU2,Vesting_Table,2)</f>
        <v>1</v>
      </c>
      <c r="DW2" s="177">
        <f>ROUND(CD2*DV2,2)</f>
        <v>1575</v>
      </c>
      <c r="DX2" s="171">
        <f>[1]!anb(V2,PC3_Date)</f>
        <v>61</v>
      </c>
      <c r="DY2" s="171">
        <f>IF(Z2="NULL","NULL",[1]!anb(IF(NOT(ISBLANK(W2)),W2,Z2),PC3_Date))</f>
        <v>59</v>
      </c>
      <c r="DZ2" s="180" t="str">
        <f>IF([1]!ATT(V2,PC3_Date)&gt;=57,"Y","N")</f>
        <v>Y</v>
      </c>
      <c r="EA2" s="180">
        <f>IF(DZ2="N","NULL",IF(OR(U2="S",U2="W"),1,IF(AD2&lt;DATE(2000,1,1),ROUND([1]!NPVF("MP","SLA","N",BFCF_Rates,"M",DX2,DX2,DY2,0,0,0,"GM71","GM71","P","","")/[1]!NPVF("MP","JSC","N",BFCF_Rates,"M",DX2,DX2,DY2,0.5,0,0,"GM71","GM71","P","",""),4),IF(AD2&lt;DATE(2003,4,1),ROUND([1]!NPVF("MP","SLA","N",BFCF_Rates1,"M",DX2,DX2,DY2,0,0,0,"AA20","AA20","P","","")/[1]!NPVF("MP","JSC","N",BFCF_Rates1,"M",DX2,DX2,DY2,0.5,0,0,"AA20","AA20","P","",""),4),IF(AD2&gt;=DATE(2003,4,1),ROUND([1]!NPVF("MP","SLA","N",BFCF_Rates1,"M",DX2,DX2,DY2,0,0,0,"GU94","GU94","P","","")/[1]!NPVF("MP","JSC","N",BFCF_Rates1,"M",DX2,DX2,DY2,0.5,0,0,"GU94","GU94","P","",""),4))))))</f>
        <v>0.93230000000000002</v>
      </c>
      <c r="EB2" s="171">
        <f>IF(DZ2="N","NULL",IF(PC3_Date&lt;=AY2,[1]!COMPM(PC3_Date,AY2),0))</f>
        <v>0</v>
      </c>
      <c r="EC2" s="180">
        <f>IF(DZ2="N","NULL",IF(AD2&lt;DATE(2000,1,1),ROUND([1]!NPVF("MX","SLA","N",ERFB,"M",65,65+EB2/12,0,0,0,0,"GM71","GM71","P","","")/[1]!NPVF("MX","SLA","N",ERFB,"M",65,65,0,0,0,0,"GM71","GM71","P","",""),4),IF(AD2&lt;DATE(2003,4,1),ROUND([1]!NPVF("MX","SLA","N",ERF,"M",65,65+EB2/12,0,0,0,0,"AA20","AA20","P","","")/[1]!NPVF("MX","SLA","N",ERF,"M",65,65,DO2,0,0,0,"AA20","AA20","P","",""),4),IF(AD2&gt;=DATE(2003,4,1),ROUND([1]!NPVF("MX","SLA","N",ERF,"M",65,65+EB2/12,0,0,0,0,"GU94","GU94","P","","")/[1]!NPVF("MX","SLA","N",ERF,"M",65,65,0,0,0,0,"GU94","GU94","P","",""),4)))))</f>
        <v>1</v>
      </c>
      <c r="ED2" s="171">
        <f>IF(DZ2="N",0,IF(PC3_Date&gt;AY2,[1]!COMPM(AY2,PC3_Date),0))</f>
        <v>11</v>
      </c>
      <c r="EE2" s="180">
        <f>IF(AND(AD2&lt;DATE(2000,1,1),BB2=57),VLOOKUP(ED2,LRFTABLE2,2,FALSE),IF(AND(AD2&lt;DATE(2003,4,1),BB2=57),VLOOKUP(ED2,LRFTABLE3,2,FALSE),IF(AND(AD2&lt;DATE(2003,4,1),BB2=62.75),VLOOKUP(ED2,LRFTABLE4,2,FALSE),IF(AND(AD2&lt;DATE(2000,1,1),BB2=57.3333),VLOOKUP(ED2,LRFTABLE5,2,FALSE),1))))</f>
        <v>1</v>
      </c>
      <c r="EF2" s="277">
        <f>IF(DZ2="N",0,ROUND((ROUND(DW2,2)*ROUND(EA2,4)*ROUND(EC2,4)*ROUND(EE2,4)*IF(D2="2",0.5,1)),2))</f>
        <v>1468.37</v>
      </c>
      <c r="EG2" s="177">
        <f>DS2</f>
        <v>981.17</v>
      </c>
      <c r="EH2" s="190">
        <f>IF(DZ2="N","NULL",ROUNDUP(EF2*FV2*12,0))</f>
        <v>230143</v>
      </c>
      <c r="EI2" s="190">
        <f>IF(DZ2="N","NULL",IF(DATE(YEAR(V2)+50,MONTH(V2),DAY(V2))&lt;PC3_Date,ROUND(EF2*0.5*FW2*12,0),0))</f>
        <v>0</v>
      </c>
      <c r="EJ2" s="278">
        <f>IF(DZ2="N","NULL",ROUND((EH2+EI2)*GB2,0))</f>
        <v>4373</v>
      </c>
      <c r="EK2" s="278">
        <f>IF(DZ2="N","NULL",ROUND(EH2+EI2+EJ2,0))</f>
        <v>234516</v>
      </c>
      <c r="EL2" s="278">
        <f>IF(DZ2="N","NULL",ROUND(EH2+EI2+EJ2,0))</f>
        <v>234516</v>
      </c>
      <c r="EM2" s="279">
        <v>1</v>
      </c>
      <c r="EN2" s="280">
        <f>ROUND(IF(DZ2="Y",EF2,0)*EM2,2)</f>
        <v>1468.37</v>
      </c>
      <c r="EO2" s="280">
        <f>MIN(IF(EF2&gt;DS2,(EF2-DS2),0),MAX(EF2,DS2)-EN2)</f>
        <v>0</v>
      </c>
      <c r="EP2" s="280">
        <f>ROUND((EO2*FV2*12),0)</f>
        <v>0</v>
      </c>
      <c r="EQ2" s="280">
        <f>ROUND(((1 + GB2)*EP2),0)</f>
        <v>0</v>
      </c>
      <c r="ER2" s="177">
        <f>ROUND(MAX(ROUND((DT2),2)-IF(DZ2="Y",EF2,0),0),2)</f>
        <v>0</v>
      </c>
      <c r="ES2" s="190">
        <f>ROUND((ROUND(ER2,2)*ROUND(FV2,4)*12),0)</f>
        <v>0</v>
      </c>
      <c r="ET2" s="190">
        <f>ROUND((ROUND(ER2,2)*0.5*ROUND(FW2,4)*12),0)</f>
        <v>0</v>
      </c>
      <c r="EU2" s="190">
        <f>ROUND((ES2+ET2)*ROUND(GB2,4),0)</f>
        <v>0</v>
      </c>
      <c r="EV2" s="190">
        <f xml:space="preserve"> ROUND((ES2 + ET2 + EU2),0)</f>
        <v>0</v>
      </c>
      <c r="EW2" s="181">
        <f>IF(EN2&gt;DT2,MAX(MIN(ROUND(DT2,2),ROUND(EF2,2)),EN2),MIN(ROUND(DT2,2),ROUND(EF2,2)))+ IF(EF2&lt;ROUND(DT2,2),ROUND(ER2,6),0)</f>
        <v>1468.37</v>
      </c>
      <c r="EX2" s="181">
        <f>DS2</f>
        <v>981.17</v>
      </c>
      <c r="EY2" s="181" t="str">
        <f>IF(EW2=EX2,"Y","N")</f>
        <v>N</v>
      </c>
      <c r="EZ2" s="181">
        <v>0</v>
      </c>
      <c r="FA2" s="177">
        <f>ROUND(ROUND((ROUND(CH2,2)*ROUND(DM2,4)*ROUND(DP2,4)*ROUND(DR2,4)),2)*IF(D2="2",0.5,1),2)</f>
        <v>981.17</v>
      </c>
      <c r="FB2" s="177">
        <f>IF(OR(AND(U2="M",,FQ2&gt;5000,NOT(ISBLANK(AG2)),OR(ISBLANK(AH2),AH2&gt;AG2)),AND(DE2="Y")),ROUND(FA2*0.5,2),IF(OR(ISBLANK(AG2),AND(DG2&lt;&gt;"9",DG2&lt;&gt;"0"),AND(NOT(ISBLANK(AG2)),NOT(ISBLANK(AH2)),O2&lt;&gt;"Y",AH2&lt;=AG2),AND(NOT(ISBLANK(AG2)),NOT(ISBLANK(AI2)),O2="Y",AI2&lt;=AG2)),"NULL",IF(AND(AG2&gt;CV2,DF2="3"),IF(AND(DG2="9",DH2=0.5),ROUND(FM2*0.5,2),IF(DH2=0.75,ROUND(FN2*0.75,2),IF(DH2=1,FO2,ROUND(FP2*0.5,2)))),ROUND(FA2*DH2,2))))</f>
        <v>490.59</v>
      </c>
      <c r="FC2" s="177"/>
      <c r="FD2" s="177"/>
      <c r="FE2" s="177" t="str">
        <f>IF(EZ2=0,"NULL","Under Section 4022(c) of ERISA, PBGC has allocated additional funds to non-guaranteed benefits based on PBGC's experience in recovering on claims against plan sponsors. PBGC has, therefore, increased your monthly benefit, as shown below.")</f>
        <v>NULL</v>
      </c>
      <c r="FF2" s="206" t="str">
        <f>IF(OR(DF2="0",DF2="1",DF2="2",AND(NOT(ISBLANK(AG2)),AG2&lt;CV2,D2="1",FB2="NULL"),AND(U2="S",O2="N"),D2&lt;&gt;"1"),"NULL",IF(OR(DG2="2",DG2="5"),FA2,"NULL"))</f>
        <v>NULL</v>
      </c>
      <c r="FG2" s="206" t="str">
        <f>IF(OR(DF2="0",DF2="1",DF2="2",AND(NOT(ISBLANK(AG2)),AG2&lt;CV2,D2="1",FB2="NULL")),"NULL",IF(OR(D2="4",AND(NOT(ISBLANK(AG2)),AG2&lt;CV2)),IF(D2="1",FB2,FA2)*[1]!NPVF2("MP","SLA","N",PBGC_Option_Rates,"M",DO2,DO2,0,0,0,0,"AA20","AA20","P","","")*12,IF(OR(DG2="2",DG2="5"),FA2*[1]!NPVF2("MP","SLA","N",PBGC_Option_Rates,"M",DN2,DN2,0,0,DI2,0,"AA20","AA20","P","","")*12,"NULL")))</f>
        <v>NULL</v>
      </c>
      <c r="FH2" s="207" t="str">
        <f>IF(OR(DF2="0",DF2="1",DF2="2",AND(NOT(ISBLANK(AG2)),AG2&lt;CV2,D2="1",FB2="NULL")),"NULL",IF(OR(D2="4",AND(NOT(ISBLANK(AG2)),AG2&lt;CV2)),ROUND(FG2/[1]!NPVF2("MP","SLA","N",PBGC_Option_Rates,"M",DO2,DO2,0,0,0,0,"AA20","AA20","P","","")/12,2),IF(OR(DG2="2",DG2="5"),ROUND(FG2/[1]!NPVF2("MP","SLA","N",PBGC_Option_Rates,"M",DN2,DN2,0,0,0,0,"AA20","AA20","P","","")/12,2),"NULL")))</f>
        <v>NULL</v>
      </c>
      <c r="FI2" s="207" t="str">
        <f>IF(OR(DF2="0",DF2="1",DF2="2",AND(NOT(ISBLANK(AG2)),AG2&lt;CV2,D2="1",FB2="NULL")),"NULL",IF(OR(D2="4",AND(NOT(ISBLANK(AG2)),AG2&lt;CV2)),ROUND(FG2/[1]!NPVF2("MP","SLA","N",PBGC_Option_Rates,"M",DO2,DO2,0,0,60,0,"AA20","AA20","P","","")/12,2),IF(OR(DG2="2",DG2="5"),ROUND(FG2/[1]!NPVF2("MP","SLA","N",PBGC_Option_Rates,"M",DN2,DN2,0,0,60,0,"AA20","AA20","P","","")/12,2),"NULL")))</f>
        <v>NULL</v>
      </c>
      <c r="FJ2" s="207" t="str">
        <f>IF(OR(DF2="0",DF2="1",DF2="2",AND(NOT(ISBLANK(AG2)),AG2&lt;CV2,D2="1",FB2="NULL")),"NULL",IF(OR(D2="4",AND(NOT(ISBLANK(AG2)),AG2&lt;CV2)),ROUND(FG2/[1]!NPVF2("MP","SLA","N",PBGC_Option_Rates,"M",DO2,DO2,0,0,120,0,"AA20","AA20","P","","")/12,2),IF(OR(DG2="2",DG2="5"),ROUND(FG2/[1]!NPVF2("MP","SLA","N",PBGC_Option_Rates,"M",DN2,DN2,0,0,120,0,"AA20","AA20","P","","")/12,2),"NULL")))</f>
        <v>NULL</v>
      </c>
      <c r="FK2" s="207" t="str">
        <f>IF(OR(DF2="0",DF2="1",DF2="2",AND(NOT(ISBLANK(AG2)),AG2&lt;CV2,D2="1",FB2="NULL")),"NULL",IF(OR(D2="4",AND(NOT(ISBLANK(AG2)),AG2&lt;CV2)),ROUND(FG2/[1]!NPVF2("MP","SLA","N",PBGC_Option_Rates,"M",DO2,DO2,0,0,180,0,"AA20","AA20","P","","")/12,2),IF(OR(DG2="2",DG2="5"),ROUND(FG2/[1]!NPVF2("MP","SLA","N",PBGC_Option_Rates,"M",DN2,DN2,0,0,180,0,"AA20","AA20","P","","")/12,2),"NULL")))</f>
        <v>NULL</v>
      </c>
      <c r="FL2" s="207">
        <f>IF(OR(DF2="0",DF2="1",DF2="2"),"NULL",IF(AND(OR(DG2="9",DG2="0"),D2="1",OR(ISBLANK(AG2),AG2&gt;CV2)),FA2*[1]!NPVF2("MP","JSC","N",PBGC_Option_Rates,"M",DN2,DN2,DO2,DB2,DD2,0,"AA20","AA20","P","","")*12,"NULL"))</f>
        <v>139853.62997962942</v>
      </c>
      <c r="FM2" s="207">
        <f>IF(OR(DF2="0",DF2="1",DF2="2"),"NULL",IF(AND(OR(DG2="9",DG2="0"),D2="1",OR(ISBLANK(AG2),AG2&gt;CV2)),ROUND(FL2/[1]!NPVF2("MP","JSC","N",PBGC_Option_Rates,"M",DN2,DN2,DO2,0.5,0,0,"AA20","AA20","P","","")/12,2),"NULL"))</f>
        <v>981.17</v>
      </c>
      <c r="FN2" s="207">
        <f>IF(OR(DF2="0",DF2="1",DF2="2"),"NULL",IF(AND(OR(DG2="9",DG2="0"),D2="1",OR(ISBLANK(AG2),AG2&gt;CV2)),ROUND(FL2/[1]!NPVF2("MP","JSC","N",PBGC_Option_Rates,"M",DN2,DN2,DO2,0.75,0,0,"AA20","AA20","P","","")/12,2),"NULL"))</f>
        <v>942.81</v>
      </c>
      <c r="FO2" s="207">
        <f>IF(OR(DF2="0",DF2="1",DF2="2"),"NULL",IF(AND(OR(DG2="9",DG2="0"),D2="1",OR(ISBLANK(AG2),AG2&gt;CV2)),ROUND(FL2/[1]!NPVF2("MP","JSC","N",PBGC_Option_Rates,"M",DN2,DN2,DO2,1,0,0,"AA20","AA20","P","","")/12,2),"NULL"))</f>
        <v>907.35</v>
      </c>
      <c r="FP2" s="207" t="str">
        <f>IF(OR(DF2="0",DF2="1",DF2="2"),"NULL",IF(AND(OR(DG2="9",DG2="0"),D2="1",OR(ISBLANK(AG2),AG2&gt;CV2),FH2&lt;&gt;"NULL"),ROUND((FL2-(FH2*([1]!NPVF2("MP","SLA","N",PBGC_Option_Rates,"M",DN2,DN2,0,0,0,0,"AA20","AA20","P","","")-[1]!NPVF2("MP","JSJ","N",PBGC_Option_Rates,"M",DN2,DN2,DO2,0,0,0,"AA20","AA20","P","",""))*12))/(([1]!NPVF2("MP","JSC","N",PBGC_Option_Rates,"M",DN2,DN2,DO2,0.5,0,0,"AA20","AA20","P","","")-[1]!NPVF2("MP","SLA","N",PBGC_Option_Rates,"M",DN2,DN2,0,0,0,0,"AA20","AA20","P","","")+[1]!NPVF2("MP","JSJ","N",PBGC_Option_Rates,"M",DN2,DN2,DO2,0,0,0,"AA20","AA20","P","",""))*12),2),"NULL"))</f>
        <v>NULL</v>
      </c>
      <c r="FQ2" s="177"/>
      <c r="FR2" s="177"/>
      <c r="FS2" s="177" t="str">
        <f>IF(OR(ISBLANK(DF2),DF2&lt;&gt;"3"),"NULL",IF(DG2="2",FH2,IF(DG2="0",FP2,IF(DH2=0.5,FM2,IF(DH2=0.75,FN2,IF(DH2=1,FO2,IF(DI2=60,FI2,IF(DI2=120,FJ2,FK2))))))))</f>
        <v>NULL</v>
      </c>
      <c r="FT2" s="177" t="str">
        <f>IF(OR(ISBLANK(FQ2)),"NULL",IF(AND(IF(ISBLANK(FR2),FQ2,FR2)&gt;IF(OR(NOT(ISBLANK(FR2)),FS2="NULL"),IF(FB2="NULL",FA2,FB2),FS2),IF(ISBLANK(FR2),FQ2,FR2)-IF(OR(NOT(ISBLANK(FR2)),FS2="NULL"),IF(FB2="NULL",FA2,FB2),FS2)&gt;=5),"D",IF(AND(IF(ISBLANK(FR2),FQ2,FR2)&gt;IF(OR(NOT(ISBLANK(FR2)),FS2="NULL"),IF(FB2="NULL",FA2,FB2),FS2),IF(ISBLANK(FR2),FQ2,FR2)-IF(OR(NOT(ISBLANK(FR2)),FS2="NULL"),IF(FB2="NULL",FA2,FB2),FS2)&lt;5),"N",IF(IF(ISBLANK(FR2),FQ2,FR2)=IF(OR(NOT(ISBLANK(FR2)),FS2="NULL"),IF(FB2="NULL",FA2,FB2),FS2),"M","I"))))</f>
        <v>NULL</v>
      </c>
      <c r="FU2" s="177" t="str">
        <f>IF(OR(ISBLANK(FQ2)),"NULL",IF(FT2="D","Your current monthly benefit of $"&amp;TEXT(IF(ISBLANK(FR2),FQ2,FR2),"000.00")&amp;" will decrease to $"&amp;TEXT(IF(OR(NOT(ISBLANK(FR2)),FS2="NULL"),IF(FB2="NULL",FA2,FB2),FS2),"000.00")&amp;" because of the limitations placed on the monthly benefit payable at DOPT.  See the Benefit Calculation section for further details.",IF(FT2="N","Your current monthly benefit of $"&amp;TEXT(IF(ISBLANK(FR2),FQ2,FR2),"000.00")&amp;" will not change. Although the amount of the PBGC monthly benefit shown above is slightly less than the amount you are currently receiving, we will not change the amount of your current monthly benefit",IF(FT2="I","Your current monthly benefit of $"&amp;TEXT(IF(ISBLANK(FR2),FQ2,FR2),"000.00")&amp;" will increase to $"&amp;TEXT(IF(OR(NOT(ISBLANK(FR2)),FS2="NULL"),IF(FB2="NULL",FA2,FB2),FS2),"000.00")&amp;".","Your current monthly benefit of $"&amp;TEXT(IF(ISBLANK(FR2),FQ2,FR2),"000.00")&amp;" will not change."))))</f>
        <v>NULL</v>
      </c>
      <c r="FV2" s="180">
        <f>ROUND([1]!NPVF2("MP",IF(DG2="9","JSC","SLA"),"N",Annuity_Rates,IF(D2="2",S2,R2),IF(D2="2",CJ2,CI2),IF(D2="2",CW2,CU2),IF(CW2="NULL",0,CW2),DH2,DI2,0,DOPT,DOPT,"P","","",Q2),4)</f>
        <v>13.0611</v>
      </c>
      <c r="FW2" s="186">
        <f>IF(OR(CI2=CU2,DG2="2"),0,ROUND((1-[1]!lx(IF(R2="M","2M09","2F09"),R2,CU2)/[1]!lx(IF(R2="M","2M09","2F09"),R2,CI2))*[1]!NPVF2("MP","SLA","N",Annuity_Rates,IF(R2="M","F","M"),CJ2,CW2,0,0,0,0,"2M09","2F09","N","","",""),4))</f>
        <v>0</v>
      </c>
      <c r="FX2" s="186">
        <f>IF(CI2=CU2,0,ROUND(1-[1]!lx(IF(R2="M","2M09","2F09"),R2,CU2)/[1]!lx(IF(R2="M","2M09","2F09"),R2,CI2),4))</f>
        <v>0</v>
      </c>
      <c r="FY2" s="190">
        <f>ROUND(ROUND(DS2,2)*ROUND(FV2,4)*12,0)</f>
        <v>153782</v>
      </c>
      <c r="FZ2" s="187">
        <f>ROUND(DS2*0.5*FW2*12,0)</f>
        <v>0</v>
      </c>
      <c r="GA2" s="187">
        <f>FY2 +  FZ2</f>
        <v>153782</v>
      </c>
      <c r="GB2" s="279">
        <f>Load_Percent</f>
        <v>1.9E-2</v>
      </c>
      <c r="GC2" s="190">
        <f>ROUND(GA2*GB2,0)</f>
        <v>2922</v>
      </c>
      <c r="GD2" s="190">
        <f>GA2 + GC2</f>
        <v>156704</v>
      </c>
      <c r="GE2" s="187">
        <f>FZ2 + GA2</f>
        <v>153782</v>
      </c>
      <c r="GF2" s="280">
        <f>DS2-DT2</f>
        <v>0</v>
      </c>
      <c r="GG2" s="187">
        <f>ROUND(GF2*0.5*FW2*12,0)</f>
        <v>0</v>
      </c>
      <c r="GH2" s="187">
        <f>ROUND((GF2*FV2*12)*GB2,0)</f>
        <v>0</v>
      </c>
      <c r="GI2" s="187">
        <f>(GF2*FV2*12)+GH2</f>
        <v>0</v>
      </c>
      <c r="GJ2" s="187">
        <f>ROUND(EW2*FV2*12,0)</f>
        <v>230142</v>
      </c>
      <c r="GK2" s="187">
        <f>GJ2</f>
        <v>230142</v>
      </c>
      <c r="GL2" s="187">
        <f>ROUND(EZ2*FV2*12,0)</f>
        <v>0</v>
      </c>
      <c r="GM2" s="187">
        <f>GJ2+GL2</f>
        <v>230142</v>
      </c>
      <c r="GN2" s="187">
        <f>ROUND(EW2*0.5*FW2*12,0)</f>
        <v>0</v>
      </c>
      <c r="GO2" s="187">
        <f>GN2</f>
        <v>0</v>
      </c>
      <c r="GP2" s="187">
        <f>ROUND(EZ2*0.5*FW2*12,0)</f>
        <v>0</v>
      </c>
      <c r="GQ2" s="187">
        <f>GN2+GP2</f>
        <v>0</v>
      </c>
      <c r="GR2" s="188">
        <f>GJ2+GN2</f>
        <v>230142</v>
      </c>
      <c r="GS2" s="189">
        <f>GR2</f>
        <v>230142</v>
      </c>
      <c r="GT2" s="189">
        <f>GL2+GP2</f>
        <v>0</v>
      </c>
      <c r="GU2" s="189">
        <f>GR2+GT2</f>
        <v>230142</v>
      </c>
      <c r="GV2" s="188">
        <f>ROUND(GR2*GB2,0)</f>
        <v>4373</v>
      </c>
      <c r="GW2" s="189">
        <f>GV2</f>
        <v>4373</v>
      </c>
      <c r="GX2" s="189">
        <f>ROUND(GT2*GB2,0)</f>
        <v>0</v>
      </c>
      <c r="GY2" s="189">
        <f>GV2+GX2</f>
        <v>4373</v>
      </c>
      <c r="GZ2" s="189">
        <f>GR2+GV2</f>
        <v>234515</v>
      </c>
      <c r="HA2" s="189">
        <f>IF(EL2="NULL",0,EL2)+EV2</f>
        <v>234516</v>
      </c>
      <c r="HB2" s="189">
        <f>GT2+GX2</f>
        <v>0</v>
      </c>
      <c r="HC2" s="189">
        <f>GZ2+HB2</f>
        <v>234515</v>
      </c>
      <c r="HD2" s="180">
        <f>IF(OR(DG2="2",DG2="5",DO2=0),1,IF(AD2&lt;DATE(2000,1,1),ROUND([1]!NPVF("MP","SLA","N",BFCF_Rates,"M",DN2,DN2,0,0,0,0,"GM71","GM71","P","","")/[1]!NPVF("MP","JSC","N",BFCF_Rates,"M",DN2,DN2,IF(ISBLANK(W2),DN2,DO2),0.5,0,0,"GM71","GM71","P","",""),4),IF(AD2&lt;DATE(2003,4,1),ROUND([1]!NPVF("MP","SLA","N",BFCF_Rates1,"M",DN2,DN2,0,0,0,0,"AA20","AA20","P","","")/[1]!NPVF("MP","JSC","N",BFCF_Rates1,"M",DN2,DN2,IF(ISBLANK(W2),DN2,DO2),0.5,0,0,"AA20","AA20","P","",""),4),IF(AD2&gt;=DATE(2003,4,1),ROUND([1]!NPVF("MP","SLA","N",BFCF_Rates1,"M",DN2,DN2,0,0,0,0,"GU94","GU94","P","","")/[1]!NPVF("MP","JSC","N",BFCF_Rates1,"M",DN2,DN2,IF(ISBLANK(W2),DN2,DO2),0.5,0,0,"GU94","GU94","P","",""),4)))))</f>
        <v>0.92620000000000002</v>
      </c>
      <c r="HE2" s="180">
        <f>IF(OR(DG2="2",DG2="5",DO2=0),1,ROUND(HD2/DP2,4))</f>
        <v>1</v>
      </c>
      <c r="HF2" s="177">
        <f>ROUND((ROUND(FA2,2)*ROUND(HE2,4)),2)</f>
        <v>981.17</v>
      </c>
      <c r="HG2" s="171">
        <f>ROUND([1]!NPVF2("MP",IF(DG2="9","JSC","SLA"),"O",LS_Rates,R2,IF(D2="2",CJ2,CI2),IF(D2="2",CW2,CU2),IF(ISBLANK(W2),CU2,IF(CW2="NULL",0,CW2)),DH2,DI2,0,DOPT,DOPT,"P","",""),4)</f>
        <v>13.788600000000001</v>
      </c>
      <c r="HH2" s="190">
        <f>ROUND(12*ROUND(HG2,4)*IF(HF2="NULL",ROUND(FA2,2),ROUND(HF2,2)),0)</f>
        <v>162348</v>
      </c>
      <c r="HI2" s="171" t="str">
        <f>IF(HH2&gt;5000,"N","Y")</f>
        <v>N</v>
      </c>
      <c r="HJ2" s="171" t="str">
        <f>IF(HI2="Y","L","A")</f>
        <v>A</v>
      </c>
      <c r="HK2" s="190">
        <f>ROUND(GU2*IF(D2="1",CI2,CJ2),0)</f>
        <v>14729088</v>
      </c>
      <c r="HL2" s="190">
        <f>ROUND(GU2*IF(D2="1",CU2,CW2),0)</f>
        <v>14729088</v>
      </c>
      <c r="HM2" s="190" t="str">
        <f>IF(D2="2","SB",IF(CV2&lt;AY2,"ER","NR"))</f>
        <v>NR</v>
      </c>
      <c r="HN2" s="177">
        <f>ROUND(CH2*DM2*DR2,2)</f>
        <v>1059.3499999999999</v>
      </c>
      <c r="HO2" s="177" t="str">
        <f>IF(B2="1","N","Y")</f>
        <v>Y</v>
      </c>
      <c r="HP2" s="177" t="str">
        <f>IF(ISBLANK(IR2),"Y","N")</f>
        <v>Y</v>
      </c>
      <c r="HQ2" s="191">
        <v>0</v>
      </c>
      <c r="HR2" s="192" t="s">
        <v>226</v>
      </c>
      <c r="HS2" s="192" t="s">
        <v>226</v>
      </c>
      <c r="HT2" s="194">
        <f>IF(OR(DG2="5",DG2="1"),0,ROUND([1]!NPVF2("MP","SLA","O",DOPT,IF(R2="M","F","M"),IF(ISBLANK(W2),CI2,IF(Z2="NULL",CI2,CJ2)),IF(ISBLANK(W2),DN2,IF(Z2="NULL",DN2,DO2)),0,0,0,0,DOPT,DOPT,"P","",""),4))</f>
        <v>12.5349</v>
      </c>
      <c r="HU2" s="225">
        <f>IF(D2="2",0,IF(OR(DG2="5",DG2="2",U2="D"),0,ROUND(ROUND(IF(HF2="NULL",FA2,HF2)*0.5,2)*HT2*12,0)))</f>
        <v>73794</v>
      </c>
      <c r="HV2" s="241">
        <f ca="1">MAX(DATE(YEAR([1]!NRD(TODAY(),0)),MONTH([1]!NRD(TODAY(),0)),(DAY([1]!NRD(TODAY(),0)))),CO2)</f>
        <v>45748</v>
      </c>
      <c r="HW2" s="241">
        <v>73020</v>
      </c>
      <c r="HX2" s="46">
        <f ca="1">IF(HV2&gt;AY2,[1]!COMPM(AY2,HV2),0)</f>
        <v>240</v>
      </c>
      <c r="HY2" s="180">
        <f>IF(AND(AD2&lt;DATE(2000,1,1),BB2=57),VLOOKUP(HX2,LRFTABLE2,2,FALSE),IF(AND(AD2&lt;DATE(2003,4,1),BB2=57),VLOOKUP(HX2,LRFTABLE3,2,FALSE),IF(AND(AD2&lt;DATE(2003,4,1),BB2=62.75),VLOOKUP(HX2,LRFTABLE4,2,FALSE),IF(AND(AD2&lt;DATE(2000,1,1),BB2=57.3333),VLOOKUP(HX2,LRFTABLE5,2,FALSE),1))))</f>
        <v>1</v>
      </c>
      <c r="HZ2" s="171">
        <f ca="1">[1]!anb($V2,HV2)</f>
        <v>80</v>
      </c>
      <c r="IA2" s="46">
        <f ca="1">IF(OR(U2="S",U2="D"),0,[1]!anb(IF(NOT(ISBLANK(W2)),W2,Z2),HV2))</f>
        <v>78</v>
      </c>
      <c r="IB2" s="180">
        <f ca="1">IF(U2="D",1,IF(AD2&lt;DATE(2000,1,1),ROUND([1]!NPVF("MP","SLA","N",BFCF_Rates,"M",HZ2,HZ2,IA2,0,0,0,"GM71","GM71","P","","")/[1]!NPVF("MP","JSC","N",BFCF_Rates,"M",HZ2,HZ2,IA2,0.5,0,0,"GM71","GM71","P","",""),4),IF(AD2&lt;DATE(2003,4,1),ROUND([1]!NPVF("MP","SLA","N",BFCF_Rates1,"M",HZ2,HZ2,IA2,0,0,0,"AA20","AA20","P","","")/[1]!NPVF("MP","JSC","N",BFCF_Rates1,"M",HZ2,HZ2,IA2,0.5,0,0,"AA20","AA20","P","",""),4),IF(AD2&gt;=DATE(2003,4,1),ROUND([1]!NPVF("MP","SLA","N",BFCF_Rates1,"M",HZ2,HZ2,IA2,0,0,0,"GU94","GU94","P","","")/[1]!NPVF("MP","JSC","N",BFCF_Rates1,"M",HZ2,HZ2,IA2,0.5,0,0,"GU94","GU94","P","",""),4)))))</f>
        <v>0.86070000000000002</v>
      </c>
      <c r="IC2" s="181">
        <f>ROUND((CH2*HY2),2)</f>
        <v>1575</v>
      </c>
      <c r="ID2" s="181" t="str">
        <f>IF(ISBLANK(AG2),"NULL",ROUND(IC2*IB2*0.5,2))</f>
        <v>NULL</v>
      </c>
      <c r="IE2" s="178">
        <f>DATE(YEAR(V2)+70,MONTH(V2)+6,DAY(V2))</f>
        <v>42261</v>
      </c>
      <c r="IF2" s="178">
        <f>DATE(YEAR(IE2)+1,4,1)</f>
        <v>42461</v>
      </c>
      <c r="IG2" s="178">
        <f>IF(AND(D2="1",AG2&gt;0,AG2&gt;DOPT,AG2&lt;IF2),DATE(YEAR(MAX(DATE(YEAR(AG2)+1,1,1),IE2,AY2)),12,1),IF(OR(D2="2",AND(AH2&gt;0,AH2&gt;DOPT,AH2&lt;IF2)),DATE(YEAR(MAX(DATE(YEAR(AH2)+1,1,1),IE2,AY2)),12,1),MAX(AY2,IF2)))</f>
        <v>42461</v>
      </c>
      <c r="IH2" s="178">
        <f>IF(OR(D2="2",AND(AH2&gt;0,AH2&gt;DOPT,AH2&lt;IF2)),DATE(YEAR(MAX(DATE(YEAR(AH2)+1,1,1),IE2,AY2)),12,1),MAX(AY2,IF2))</f>
        <v>42461</v>
      </c>
      <c r="II2" s="241">
        <f ca="1">MAX(DATE(YEAR([1]!NRD(TODAY(),0)),MONTH([1]!NRD(TODAY(),0)),(DAY([1]!NRD(TODAY(),0)))),CO2)</f>
        <v>45748</v>
      </c>
      <c r="IJ2" s="65">
        <v>73020</v>
      </c>
      <c r="IK2" s="179">
        <f ca="1">IF(II2&lt;AY2,[1]!COMPM(II2,AY2),0)</f>
        <v>0</v>
      </c>
      <c r="IL2" s="242">
        <f ca="1">IF(AD2&lt;=DATE(2000,1,1),ROUND([1]!NPVF("MX","SLA","N",ERFB,"M",65-IK2/12,65,0,0,0,0,"GM71","GM71","P","","")/[1]!NPVF("MX","SLA","N",ERFB,"M",65-IK2/12,65-IK2/12,0,0,0,0,"GM71","GM71","P","",""),4),IF(AD2&lt;DATE(2003,4,1),ROUND([1]!NPVF("MX","SLA","N",ERF,"M",65-IK2/12,65,0,0,0,0,"AA20","AA20","P","","")/[1]!NPVF("MX","SLA","N",ERF,"M",65-IK2/12,65-IK2/12,0,0,0,0,"AA20","AA20","P","",""),4),IF(AD2&gt;=DATE(2003,4,1),ROUND([1]!NPVF("MX","SLA","N",ERF,"M",65-IK2/12,65,0,0,0,0,"GU94","GU94","P","","")/[1]!NPVF("MX","SLA","N",ERF,"M",65-IK2/12,65-IK2/12,0,0,0,0,"GU94","GU94","P","",""),4))))</f>
        <v>1</v>
      </c>
      <c r="IM2" s="46">
        <f ca="1">[1]!anb($V2,II2)</f>
        <v>80</v>
      </c>
      <c r="IN2" s="46">
        <f ca="1">IF(OR(U2="S",U2="D"),0,[1]!anb(IF(NOT(ISBLANK($W2)),W2,Z2),II2))</f>
        <v>78</v>
      </c>
      <c r="IO2" s="242">
        <f ca="1">IF(U2="D",1,IF(AD2&lt;DATE(2000,1,1),ROUND([1]!NPVF("MP","SLA","N",BFCF_Rates,"M",IM2,IM2,IN2,0,0,0,"GM71","GM71","P","","")/[1]!NPVF("MP","JSC","N",BFCF_Rates,"M",IM2,IM2,IN2,0.5,0,0,"GM71","GM71","P","",""),4),IF(AD2&lt;DATE(2003,4,1),ROUND([1]!NPVF("MP","SLA","N",BFCF_Rates1,"M",IM2,IM2,IN2,0,0,0,"AA20","AA20","P","","")/[1]!NPVF("MP","JSC","N",BFCF_Rates1,"M",IM2,IM2,IN2,0.5,0,0,"AA20","AA20","P","",""),4),IF(AD2&gt;=DATE(2003,4,1),ROUND([1]!NPVF("MP","SLA","N",BFCF_Rates1,"M",IM2,IM2,IN2,0,0,0,"GU94","GU94","P","","")/[1]!NPVF("MP","JSC","N",BFCF_Rates1,"M",IM2,IM2,IN2,0.5,0,0,"GU94","GU94","P","",""),4)))))</f>
        <v>0.86070000000000002</v>
      </c>
      <c r="IP2" s="244">
        <f ca="1">ROUND((ROUND(CH2,2)*ROUND(IL2,4)*ROUND(HY2,4)),2)</f>
        <v>1575</v>
      </c>
      <c r="IQ2" s="181" t="str">
        <f>IF(ISBLANK(AG2),"NULL",ROUND(IP2*IO2*0.5,2))</f>
        <v>NULL</v>
      </c>
      <c r="IR2" s="178"/>
      <c r="IT2" s="46">
        <f>[1]!anb(V2,CV2)</f>
        <v>64</v>
      </c>
      <c r="IU2" s="239" t="str">
        <f>IF(ISBLANK(IR2),"NULL",IF(OR(U2="S",U2="W",U2="D",D2="2"),"2","9"))</f>
        <v>NULL</v>
      </c>
      <c r="IV2" s="240" t="str">
        <f>IF(IR2="","NULL",IF(OR(IU2="2",IU2="5"),0,IF(OR(IU2="9",IU2="0"),0.5,)))</f>
        <v>NULL</v>
      </c>
      <c r="IY2" s="179" t="str">
        <f>IF(OR(ISBLANK(IR2),ISBLANK(IU2)),"NULL",[1]!anb(V2,IR2))</f>
        <v>NULL</v>
      </c>
      <c r="IZ2" s="179" t="str">
        <f>IF(OR(ISBLANK(IR2),ISBLANK(IU2),ISBLANK(W2)),"NULL",[1]!anb(Z2,IR2))</f>
        <v>NULL</v>
      </c>
      <c r="JA2" s="242" t="str">
        <f>IF(OR(ISBLANK(IR2),ISBLANK(IU2)),"NULL",IF(OR(IU2="9",IU2="0"),IF(BC2&lt;DATE(2000,1,1),ROUND([1]!NPVF("MP","SLA","N",BFCF_Rates,"M",IY2,IY2,IZ2,0,0,0,"GM71","GM71","P","","")/[1]!NPVF("MP","JSC","N",BFCF_Rates,"M",IY2,IY2,IZ2,0.5,0,0,"GM71","GM71","P","",""),4),IF(BC2&lt;DATE(2003,4,1),ROUND([1]!NPVF("MP","SLA","N",BFCF_Rates1,"M",IY2,IY2,IZ2,0,0,0,"AA20","AA20","P","","")/[1]!NPVF("MP","JSC","N",BFCF_Rates1,"M",IY2,IY2,IZ2,0.5,0,0,"AA20","AA20","P","",""),4),IF(BC2&gt;=DATE(2003,4,1),ROUND([1]!NPVF("MP","SLA","N",BFCF_Rates1,"M",IY2,IY2,IZ2,0,0,0,"GU94","GU94","P","","")/[1]!NPVF("MP","JSC","N",BFCF_Rates1,"M",IY2,IY2,IZ2,0.5,0,0,"GU94","GU94","P","",""),4))))))</f>
        <v>NULL</v>
      </c>
      <c r="JB2" s="171" t="str">
        <f>IF(OR(ISBLANK(IR2),ISBLANK(IU2)),"NULL",IF(IR2&lt;AY2,[1]!COMPM(IR2,AY2),0))</f>
        <v>NULL</v>
      </c>
      <c r="JC2" s="242" t="str">
        <f>IF(OR(ISBLANK(IR2),ISBLANK(IU2)),"NULL",IF(CA2&lt;=DATE(2000,1,1),ROUND([1]!NPVF("MX","SLA","N",ERFB,"M",65-JB2/12,65,0,0,0,0,"GM71","GM71","P","","")/[1]!NPVF("MX","SLA","N",ERFB,"M",65-JB2/12,65-JB2/12,0,0,0,0,"GM71","GM71","P","",""),4),IF(CA2&lt;DATE(2003,4,1),ROUND([1]!NPVF("MX","SLA","N",ERF,"M",65-JB2/12,65,0,0,0,0,"AA20","AA20","N","","")/[1]!NPVF("MX","SLA","N",ERF,"M",65-JB2/12,65-JB2/12,0,0,0,0,"AA20","AA20","N","",""),4),IF(CA2&gt;=DATE(2003,4,1),ROUND([1]!NPVF("MX","SLA","N",ERF,"M",65-JB2/12,65,0,0,0,0,"GU94","GU94","N","","")/[1]!NPVF("MX","SLA","N",ERF,"M",65-JB2/12,65-JB2/12,0,0,0,0,"GU94","GU94","N","",""),4)))))</f>
        <v>NULL</v>
      </c>
      <c r="JD2" s="171" t="str">
        <f>IF(OR(ISBLANK(IR2),ISBLANK(IU2)),"NULL",IF(IR2&gt;AY2,MIN(180,[1]!COMPM(AY2,IR2)),0))</f>
        <v>NULL</v>
      </c>
      <c r="JE2" s="180" t="str">
        <f>IF(OR(ISBLANK(IR2),ISBLANK(IU2)),"NULL",IF(AND(AD2&lt;DATE(2000,1,1),BB2=57),VLOOKUP(JD2,LRFTABLE2,2,FALSE),IF(AND(AD2&lt;DATE(2003,4,1),BB2=57),VLOOKUP(JD2,LRFTABLE3,2,FALSE),IF(AND(AD2&lt;DATE(2003,4,1),BB2=62.75),VLOOKUP(JD2,LRFTABLE4,2,FALSE),IF(AND(AD2&lt;DATE(2000,1,1),BB2=57.3333),VLOOKUP(JD2,LRFTABLE5,2,FALSE),1)))))</f>
        <v>NULL</v>
      </c>
      <c r="JF2" s="177" t="str">
        <f>IF(OR(ISBLANK(IR2),ISBLANK(IU2),IZ2="NULL"),"NULL",ROUND(ROUND(CH2,2)*ROUND(JA2,4)*ROUND(JC2,4)*ROUND(JE2,4),2))</f>
        <v>NULL</v>
      </c>
      <c r="JG2" s="192" t="str">
        <f t="shared" ref="JG2:JL2" si="0">"N"</f>
        <v>N</v>
      </c>
      <c r="JH2" s="192" t="str">
        <f t="shared" si="0"/>
        <v>N</v>
      </c>
      <c r="JI2" s="192" t="str">
        <f t="shared" si="0"/>
        <v>N</v>
      </c>
      <c r="JJ2" s="192" t="str">
        <f t="shared" si="0"/>
        <v>N</v>
      </c>
      <c r="JK2" s="192" t="str">
        <f t="shared" si="0"/>
        <v>N</v>
      </c>
      <c r="JL2" s="192" t="str">
        <f t="shared" si="0"/>
        <v>N</v>
      </c>
    </row>
    <row r="3" spans="1:16374" s="64" customFormat="1" ht="13.5" thickBot="1" x14ac:dyDescent="0.25">
      <c r="A3" s="13"/>
      <c r="B3" s="14"/>
      <c r="C3" s="14"/>
      <c r="D3" s="14"/>
      <c r="E3" s="14"/>
      <c r="F3" s="15"/>
      <c r="G3" s="15"/>
      <c r="H3" s="15"/>
      <c r="I3" s="15"/>
      <c r="J3" s="15"/>
      <c r="K3" s="15"/>
      <c r="L3" s="15"/>
      <c r="M3" s="310"/>
      <c r="N3" s="15"/>
      <c r="O3" s="15"/>
      <c r="P3" s="310"/>
      <c r="Q3" s="15"/>
      <c r="R3" s="15"/>
      <c r="S3" s="17"/>
      <c r="T3" s="17"/>
      <c r="U3" s="17"/>
      <c r="V3" s="16"/>
      <c r="W3" s="16"/>
      <c r="X3" s="309"/>
      <c r="Y3" s="16"/>
      <c r="Z3" s="16"/>
      <c r="AA3" s="16"/>
      <c r="AB3" s="18"/>
      <c r="AC3" s="304"/>
      <c r="AD3" s="18"/>
      <c r="AE3" s="18"/>
      <c r="AF3" s="18"/>
      <c r="AG3" s="18"/>
      <c r="AH3" s="18"/>
      <c r="AI3" s="18"/>
      <c r="AJ3" s="18"/>
      <c r="AK3" s="304"/>
      <c r="AL3" s="18"/>
      <c r="AM3" s="18"/>
      <c r="AN3" s="18"/>
      <c r="AO3" s="18"/>
      <c r="AP3" s="304"/>
      <c r="AQ3" s="304"/>
      <c r="AR3" s="304"/>
      <c r="AS3" s="304"/>
      <c r="AT3" s="304"/>
      <c r="AU3" s="304"/>
      <c r="AV3" s="304"/>
      <c r="AW3" s="304"/>
      <c r="AX3" s="304"/>
      <c r="AY3" s="18"/>
      <c r="AZ3" s="304"/>
      <c r="BA3" s="18"/>
      <c r="BB3" s="304"/>
      <c r="BC3" s="18"/>
      <c r="BD3" s="304"/>
      <c r="BE3" s="304"/>
      <c r="BF3" s="304"/>
      <c r="BG3" s="304"/>
      <c r="BH3" s="304"/>
      <c r="BI3" s="304"/>
      <c r="BJ3" s="18"/>
      <c r="BK3" s="18"/>
      <c r="BL3" s="18"/>
      <c r="BM3" s="304"/>
      <c r="BN3" s="304"/>
      <c r="BO3" s="304"/>
      <c r="BP3" s="304"/>
      <c r="BQ3" s="304"/>
      <c r="BR3" s="304"/>
      <c r="BS3" s="304"/>
      <c r="BT3" s="304"/>
      <c r="BU3" s="304"/>
      <c r="BV3" s="304"/>
      <c r="BW3" s="304"/>
      <c r="BX3" s="304"/>
      <c r="BY3" s="18"/>
      <c r="BZ3" s="304"/>
      <c r="CA3" s="18"/>
      <c r="CB3" s="304"/>
      <c r="CC3" s="304"/>
      <c r="CD3" s="18"/>
      <c r="CE3" s="18"/>
      <c r="CF3" s="17"/>
      <c r="CG3" s="22"/>
      <c r="CH3" s="23"/>
      <c r="CI3" s="17"/>
      <c r="CJ3" s="17"/>
      <c r="CK3" s="32"/>
      <c r="CL3" s="29"/>
      <c r="CM3" s="30"/>
      <c r="CN3" s="30"/>
      <c r="CO3" s="29"/>
      <c r="CP3" s="30"/>
      <c r="CQ3" s="29"/>
      <c r="CR3" s="23"/>
      <c r="CS3" s="264"/>
      <c r="CT3" s="264"/>
      <c r="CU3" s="17"/>
      <c r="CV3" s="29"/>
      <c r="CW3" s="30"/>
      <c r="CX3" s="326"/>
      <c r="CY3" s="21"/>
      <c r="CZ3" s="21"/>
      <c r="DA3" s="17"/>
      <c r="DB3" s="22"/>
      <c r="DC3" s="17"/>
      <c r="DD3" s="17"/>
      <c r="DE3" s="17"/>
      <c r="DF3" s="23"/>
      <c r="DG3" s="17"/>
      <c r="DH3" s="22"/>
      <c r="DI3" s="17"/>
      <c r="DJ3" s="17"/>
      <c r="DK3" s="17"/>
      <c r="DL3" s="17"/>
      <c r="DM3" s="31"/>
      <c r="DN3" s="30"/>
      <c r="DO3" s="30"/>
      <c r="DP3" s="20"/>
      <c r="DQ3" s="19"/>
      <c r="DR3" s="20"/>
      <c r="DS3" s="23"/>
      <c r="DT3" s="264"/>
      <c r="DU3" s="268"/>
      <c r="DV3" s="268"/>
      <c r="DW3" s="268"/>
      <c r="DX3" s="268"/>
      <c r="DY3" s="268"/>
      <c r="DZ3" s="268"/>
      <c r="EA3" s="268"/>
      <c r="EB3" s="268"/>
      <c r="EC3" s="268"/>
      <c r="ED3" s="268"/>
      <c r="EE3" s="268"/>
      <c r="EF3" s="268"/>
      <c r="EG3" s="268"/>
      <c r="EH3" s="268"/>
      <c r="EI3" s="268"/>
      <c r="EJ3" s="268"/>
      <c r="EK3" s="268"/>
      <c r="EL3" s="268"/>
      <c r="EM3" s="268"/>
      <c r="EN3" s="268"/>
      <c r="EO3" s="268"/>
      <c r="EP3" s="268"/>
      <c r="EQ3" s="268"/>
      <c r="ER3" s="264"/>
      <c r="ES3" s="264"/>
      <c r="ET3" s="264"/>
      <c r="EU3" s="264"/>
      <c r="EV3" s="264"/>
      <c r="EW3" s="32"/>
      <c r="EX3" s="300"/>
      <c r="EY3" s="300"/>
      <c r="EZ3" s="32"/>
      <c r="FA3" s="23"/>
      <c r="FB3" s="23"/>
      <c r="FC3" s="23"/>
      <c r="FD3" s="23"/>
      <c r="FE3" s="23"/>
      <c r="FF3" s="208"/>
      <c r="FG3" s="208"/>
      <c r="FH3" s="208"/>
      <c r="FI3" s="208"/>
      <c r="FJ3" s="208"/>
      <c r="FK3" s="208"/>
      <c r="FL3" s="208"/>
      <c r="FM3" s="208"/>
      <c r="FN3" s="208"/>
      <c r="FO3" s="208"/>
      <c r="FP3" s="208"/>
      <c r="FQ3" s="23"/>
      <c r="FR3" s="23"/>
      <c r="FS3" s="23"/>
      <c r="FT3" s="23"/>
      <c r="FU3" s="23"/>
      <c r="FV3" s="20"/>
      <c r="FW3" s="61"/>
      <c r="FX3" s="61"/>
      <c r="FY3" s="260"/>
      <c r="FZ3" s="260"/>
      <c r="GA3" s="260"/>
      <c r="GB3" s="260"/>
      <c r="GC3" s="260"/>
      <c r="GD3" s="260"/>
      <c r="GE3" s="260"/>
      <c r="GF3" s="260"/>
      <c r="GG3" s="260"/>
      <c r="GH3" s="260"/>
      <c r="GI3" s="260"/>
      <c r="GJ3" s="43"/>
      <c r="GK3" s="43"/>
      <c r="GL3" s="43"/>
      <c r="GM3" s="43"/>
      <c r="GN3" s="43"/>
      <c r="GO3" s="43"/>
      <c r="GP3" s="43"/>
      <c r="GQ3" s="43"/>
      <c r="GR3" s="44"/>
      <c r="GS3" s="45"/>
      <c r="GT3" s="45"/>
      <c r="GU3" s="45"/>
      <c r="GV3" s="44"/>
      <c r="GW3" s="45"/>
      <c r="GX3" s="45"/>
      <c r="GY3" s="45"/>
      <c r="GZ3" s="45"/>
      <c r="HA3" s="45"/>
      <c r="HB3" s="45"/>
      <c r="HC3" s="45"/>
      <c r="HD3" s="20"/>
      <c r="HE3" s="20"/>
      <c r="HF3" s="23"/>
      <c r="HG3" s="17"/>
      <c r="HH3" s="24"/>
      <c r="HI3" s="17"/>
      <c r="HJ3" s="17"/>
      <c r="HK3" s="24"/>
      <c r="HL3" s="24"/>
      <c r="HM3" s="24"/>
      <c r="HN3" s="23"/>
      <c r="HO3" s="23"/>
      <c r="HP3" s="23"/>
      <c r="HQ3" s="21"/>
      <c r="HR3" s="23"/>
      <c r="HS3" s="23"/>
      <c r="HT3" s="23"/>
      <c r="HU3" s="23"/>
      <c r="HV3" s="23"/>
      <c r="IE3" s="307"/>
      <c r="IF3" s="307"/>
      <c r="IG3" s="307"/>
      <c r="IH3" s="307"/>
      <c r="IT3" s="307"/>
    </row>
    <row r="4" spans="1:16374" s="46" customFormat="1" ht="13.5" thickTop="1" x14ac:dyDescent="0.2">
      <c r="A4" s="4"/>
      <c r="B4" s="5"/>
      <c r="C4" s="6"/>
      <c r="D4" s="6"/>
      <c r="E4" s="6"/>
      <c r="F4" s="6"/>
      <c r="G4" s="6"/>
      <c r="H4" s="6"/>
      <c r="I4" s="6"/>
      <c r="J4" s="6"/>
      <c r="K4" s="6"/>
      <c r="L4" s="6"/>
      <c r="M4" s="6"/>
      <c r="N4" s="6"/>
      <c r="O4" s="6"/>
      <c r="P4" s="6"/>
      <c r="Q4" s="6"/>
      <c r="R4" s="6"/>
      <c r="S4" s="6"/>
      <c r="T4" s="6"/>
      <c r="U4" s="6"/>
      <c r="V4" s="6"/>
      <c r="W4" s="6"/>
      <c r="X4" s="6"/>
      <c r="Y4" s="6"/>
      <c r="Z4" s="6" t="s">
        <v>740</v>
      </c>
      <c r="AA4" s="6"/>
      <c r="AB4" s="6"/>
      <c r="AC4" s="6"/>
      <c r="AD4" s="6"/>
      <c r="AE4" s="6"/>
      <c r="AF4" s="6"/>
      <c r="AG4" s="6"/>
      <c r="AH4" s="6"/>
      <c r="AI4" s="6"/>
      <c r="AJ4" s="6"/>
      <c r="AK4" s="6"/>
      <c r="AL4" s="6"/>
      <c r="AM4" s="6"/>
      <c r="AN4" s="6" t="s">
        <v>484</v>
      </c>
      <c r="AO4" s="6"/>
      <c r="AP4" s="6"/>
      <c r="AQ4" s="6" t="s">
        <v>483</v>
      </c>
      <c r="AR4" s="6"/>
      <c r="AS4" s="6"/>
      <c r="AT4" s="6" t="s">
        <v>483</v>
      </c>
      <c r="AU4" s="6" t="s">
        <v>689</v>
      </c>
      <c r="AV4" s="6"/>
      <c r="AW4" s="6"/>
      <c r="AX4" s="6"/>
      <c r="AY4" s="170">
        <f>IF(AN2&lt;AO2,AO2,AN2)</f>
        <v>38443</v>
      </c>
      <c r="AZ4" s="6"/>
      <c r="BA4" s="6" t="s">
        <v>484</v>
      </c>
      <c r="BB4" s="6" t="s">
        <v>736</v>
      </c>
      <c r="BC4" s="6" t="s">
        <v>623</v>
      </c>
      <c r="BD4" s="6"/>
      <c r="BE4" s="6"/>
      <c r="BF4" s="6"/>
      <c r="BG4" s="6"/>
      <c r="BH4" s="6"/>
      <c r="BI4" s="6"/>
      <c r="BJ4" s="6"/>
      <c r="BK4" s="6"/>
      <c r="BL4" s="6"/>
      <c r="BM4" s="6"/>
      <c r="BN4" s="6"/>
      <c r="BO4" s="6" t="s">
        <v>484</v>
      </c>
      <c r="BP4" s="6"/>
      <c r="BQ4" s="6"/>
      <c r="BR4" s="6"/>
      <c r="BS4" s="6"/>
      <c r="BT4" s="6" t="s">
        <v>483</v>
      </c>
      <c r="BU4" s="6" t="s">
        <v>484</v>
      </c>
      <c r="BV4" s="6" t="s">
        <v>484</v>
      </c>
      <c r="BW4" s="6"/>
      <c r="BX4" s="6"/>
      <c r="BY4" s="6" t="s">
        <v>483</v>
      </c>
      <c r="BZ4" s="6"/>
      <c r="CA4" s="6"/>
      <c r="CB4" s="6"/>
      <c r="CC4" s="6" t="s">
        <v>483</v>
      </c>
      <c r="CD4" s="6" t="s">
        <v>483</v>
      </c>
      <c r="CE4" s="6"/>
      <c r="CF4" s="6"/>
      <c r="CG4" s="6"/>
      <c r="CH4" s="6"/>
      <c r="CI4" s="6"/>
      <c r="CJ4" s="6"/>
      <c r="CK4" s="33"/>
      <c r="CL4" s="6" t="s">
        <v>483</v>
      </c>
      <c r="CM4" s="203" t="s">
        <v>483</v>
      </c>
      <c r="CN4" s="6" t="s">
        <v>582</v>
      </c>
      <c r="CO4" s="6" t="s">
        <v>483</v>
      </c>
      <c r="CP4" s="6" t="s">
        <v>483</v>
      </c>
      <c r="CQ4" s="6"/>
      <c r="CR4" s="203" t="str">
        <f>IF(D2="2","IMM",[1]!BL(DOPT,V2,AD2,"N","Y","Y",B2,IF(CN2&lt;DOPT,MAX(CM2,65),CM2),CH2))</f>
        <v>MED</v>
      </c>
      <c r="CS4" s="203"/>
      <c r="CT4" s="203"/>
      <c r="CU4" s="6" t="s">
        <v>483</v>
      </c>
      <c r="CV4" s="6"/>
      <c r="CW4" s="6"/>
      <c r="CX4" s="6"/>
      <c r="CY4" s="6"/>
      <c r="CZ4" s="6"/>
      <c r="DA4" s="6"/>
      <c r="DB4" s="6"/>
      <c r="DC4" s="6"/>
      <c r="DD4" s="6"/>
      <c r="DE4" s="6"/>
      <c r="DF4" s="6"/>
      <c r="DG4" s="6"/>
      <c r="DH4" s="6"/>
      <c r="DI4" s="6"/>
      <c r="DJ4" s="6"/>
      <c r="DK4" s="6"/>
      <c r="DL4" s="311" t="s">
        <v>483</v>
      </c>
      <c r="DM4" s="6" t="s">
        <v>484</v>
      </c>
      <c r="DN4" s="6"/>
      <c r="DO4" s="6"/>
      <c r="DP4" s="203" t="s">
        <v>483</v>
      </c>
      <c r="DQ4" s="233">
        <f>[1]!COMPM(AY2,MAX(AY2,CV2))</f>
        <v>52</v>
      </c>
      <c r="DR4" s="6" t="s">
        <v>484</v>
      </c>
      <c r="DS4" s="6">
        <f>ROUND((ROUND(CH2,2)*ROUND(DM2,4)*ROUND(DP2,4)*ROUND(DR2,4)),2)</f>
        <v>981.17</v>
      </c>
      <c r="DT4" s="6"/>
      <c r="DU4" s="6"/>
      <c r="DV4" s="6"/>
      <c r="DW4" s="6"/>
      <c r="DX4" s="6"/>
      <c r="DY4" s="6"/>
      <c r="DZ4" s="6" t="s">
        <v>484</v>
      </c>
      <c r="EA4" s="6"/>
      <c r="EB4" s="6" t="s">
        <v>484</v>
      </c>
      <c r="EC4" s="6"/>
      <c r="ED4" s="6"/>
      <c r="EE4" s="6"/>
      <c r="EF4" s="6" t="s">
        <v>652</v>
      </c>
      <c r="EG4" s="6"/>
      <c r="EH4" s="6"/>
      <c r="EI4" s="6"/>
      <c r="EJ4" s="6"/>
      <c r="EK4" s="6"/>
      <c r="EL4" s="6"/>
      <c r="EM4" s="6"/>
      <c r="EN4" s="6"/>
      <c r="EO4" s="6"/>
      <c r="EP4" s="6"/>
      <c r="EQ4" s="6"/>
      <c r="ER4" s="6"/>
      <c r="ES4" s="6"/>
      <c r="ET4" s="6"/>
      <c r="EU4" s="6"/>
      <c r="EV4" s="6"/>
      <c r="EW4" s="33"/>
      <c r="EX4" s="33"/>
      <c r="EY4" s="33"/>
      <c r="EZ4" s="33"/>
      <c r="FA4" s="6"/>
      <c r="FB4" s="6"/>
      <c r="FC4" s="6"/>
      <c r="FD4" s="6"/>
      <c r="FE4" s="6"/>
      <c r="FF4" s="203" t="s">
        <v>484</v>
      </c>
      <c r="FG4" s="203" t="s">
        <v>484</v>
      </c>
      <c r="FH4" s="203" t="s">
        <v>484</v>
      </c>
      <c r="FI4" s="203" t="s">
        <v>484</v>
      </c>
      <c r="FJ4" s="203" t="s">
        <v>484</v>
      </c>
      <c r="FK4" s="203" t="s">
        <v>484</v>
      </c>
      <c r="FL4" s="203" t="s">
        <v>484</v>
      </c>
      <c r="FM4" s="203" t="s">
        <v>484</v>
      </c>
      <c r="FN4" s="203" t="s">
        <v>484</v>
      </c>
      <c r="FO4" s="203" t="s">
        <v>484</v>
      </c>
      <c r="FP4" s="203" t="s">
        <v>484</v>
      </c>
      <c r="FQ4" s="6"/>
      <c r="FR4" s="6"/>
      <c r="FS4" s="6" t="s">
        <v>483</v>
      </c>
      <c r="FT4" s="6" t="s">
        <v>483</v>
      </c>
      <c r="FU4" s="6" t="s">
        <v>483</v>
      </c>
      <c r="FV4" s="6" t="s">
        <v>483</v>
      </c>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C4" s="6"/>
      <c r="HD4" s="6" t="s">
        <v>484</v>
      </c>
      <c r="HE4" s="6"/>
      <c r="HF4" s="6"/>
      <c r="HG4" s="6" t="s">
        <v>484</v>
      </c>
      <c r="HH4" s="6"/>
      <c r="HI4" s="6"/>
      <c r="HJ4" s="6"/>
      <c r="HK4" s="6"/>
      <c r="HL4" s="6"/>
      <c r="HM4" s="6" t="s">
        <v>484</v>
      </c>
      <c r="HN4" s="6"/>
      <c r="HO4" s="6"/>
      <c r="HP4" s="6"/>
      <c r="HQ4" s="6"/>
      <c r="HR4" s="6"/>
      <c r="HS4" s="6"/>
      <c r="HT4" s="6" t="s">
        <v>486</v>
      </c>
      <c r="HU4" s="6"/>
      <c r="HV4" s="6"/>
      <c r="HY4" s="46" t="s">
        <v>484</v>
      </c>
      <c r="IA4" s="46">
        <f ca="1">IF(Z2="NULL","NULL",[1]!anb(IF(NOT(ISBLANK(W2)),W2,Z2),HV2))</f>
        <v>78</v>
      </c>
      <c r="IB4" s="6" t="s">
        <v>484</v>
      </c>
      <c r="II4" s="46" t="s">
        <v>484</v>
      </c>
      <c r="IK4" s="6" t="s">
        <v>484</v>
      </c>
      <c r="IO4" s="46" t="s">
        <v>483</v>
      </c>
      <c r="IU4" s="46" t="s">
        <v>483</v>
      </c>
      <c r="IV4" s="46" t="s">
        <v>483</v>
      </c>
      <c r="IZ4" s="46" t="s">
        <v>483</v>
      </c>
      <c r="JA4" s="6" t="s">
        <v>484</v>
      </c>
      <c r="JB4" s="6" t="s">
        <v>484</v>
      </c>
      <c r="JE4" s="46" t="s">
        <v>737</v>
      </c>
    </row>
    <row r="5" spans="1:16374" s="46" customFormat="1" ht="13.5" thickBot="1" x14ac:dyDescent="0.25">
      <c r="A5" s="1" t="s">
        <v>18</v>
      </c>
      <c r="B5" s="7">
        <v>21820800</v>
      </c>
      <c r="C5" s="6"/>
      <c r="D5" s="6"/>
      <c r="E5" s="6"/>
      <c r="F5" s="6"/>
      <c r="G5" s="6"/>
      <c r="H5" s="6"/>
      <c r="I5" s="6"/>
      <c r="J5" s="6"/>
      <c r="K5" s="6"/>
      <c r="L5" s="6"/>
      <c r="M5" s="6"/>
      <c r="N5" s="6"/>
      <c r="O5" s="6"/>
      <c r="P5" s="6"/>
      <c r="Q5" s="6"/>
      <c r="R5" s="8"/>
      <c r="S5" s="8"/>
      <c r="T5" s="8"/>
      <c r="U5" s="8"/>
      <c r="V5" s="8"/>
      <c r="W5" s="8"/>
      <c r="X5" s="8"/>
      <c r="Y5" s="8"/>
      <c r="Z5" s="65">
        <f>IF(OR(U2="D",U2="W",U2="S"),"NULL",IF(W2&gt;0,W2,DATE(YEAR(V2)+IF(R2="M",4,-4),MONTH(V2),DAY(V2))))</f>
        <v>17078</v>
      </c>
      <c r="AA5" s="8"/>
      <c r="AB5" s="74">
        <f>IF(AA2&lt;DATE(1986,1,1),DATE(1985,4,1),AA2)</f>
        <v>31138</v>
      </c>
      <c r="AC5" s="74"/>
      <c r="AD5" s="6"/>
      <c r="AE5" s="6"/>
      <c r="AF5" s="74">
        <f>DATE(YEAR(AD2)-1,MONTH(AD2),DAY(AD2))</f>
        <v>37909</v>
      </c>
      <c r="AG5" s="6"/>
      <c r="AH5" s="6"/>
      <c r="AI5" s="6"/>
      <c r="AJ5" s="6" t="e">
        <f>[1]!SERVYPA(#REF!,DATE(2002,4,27),#REF!,1000)+1+[1]!SERVYPA(DATE(2003,1,1),AD2,DATE(2003,1,1),1000)</f>
        <v>#VALUE!</v>
      </c>
      <c r="AK5" s="6"/>
      <c r="AL5" s="6"/>
      <c r="AM5" s="6">
        <f>[1]!SERVYPA(DATE(2001,4,29),DATE(2001,10,15),DATE(2001,4,29),1000)</f>
        <v>0</v>
      </c>
      <c r="AN5" s="170">
        <f>DATE(YEAR(AA2)+30,MONTH(AA2),DAY(AA2))</f>
        <v>36387</v>
      </c>
      <c r="AO5" s="6"/>
      <c r="AP5" s="6"/>
      <c r="AQ5" s="74">
        <f>DATE(YEAR(AA2)+30,MONTH(AA2),DAY(AA2))</f>
        <v>36387</v>
      </c>
      <c r="AR5" s="6"/>
      <c r="AS5" s="6">
        <f>MAX(58,[1]!anb(V2,MAX(BPD,AN2)))</f>
        <v>64</v>
      </c>
      <c r="AT5" s="6">
        <f>IF(AR2&lt;58,58,MIN(65,[1]!anb(V2,AN2)))</f>
        <v>60</v>
      </c>
      <c r="AU5" s="170">
        <f>[1]!NRD(V2,AT2)</f>
        <v>38443</v>
      </c>
      <c r="AV5" s="170"/>
      <c r="AW5" s="170"/>
      <c r="AX5" s="6"/>
      <c r="AY5" s="6" t="s">
        <v>483</v>
      </c>
      <c r="AZ5" s="6"/>
      <c r="BA5" s="6">
        <f>[1]!anb(V2,AY2)</f>
        <v>60</v>
      </c>
      <c r="BB5" s="6">
        <f>IF([1]!COMPAM(AB2,AY2)/12-ROUNDDOWN(([1]!COMPAM(AB2,AY2)/12),0)=0.5,[1]!SERVYPA(AB2,AY2,AB2,1000)-1,[1]!SERVYPA(AB2,AY2,AB2,1000))</f>
        <v>20</v>
      </c>
      <c r="BC5" s="46" t="s">
        <v>483</v>
      </c>
      <c r="BH5" s="6" t="str">
        <f>[1]!SERVYPA(AB14,AU14,AB14,1000)</f>
        <v>Error #2140 - planDate</v>
      </c>
      <c r="BI5" s="6"/>
      <c r="BJ5" s="6">
        <f>IF(IF(MONTH(AY2)&lt;MONTH(AB2),(MONTH(AY2)+12)-MONTH(AB2),MONTH(AY2)-MONTH(AB2))&lt;7,1,0)</f>
        <v>1</v>
      </c>
      <c r="BK5" s="6">
        <f>ROUND(MIN(AJ2/BC2, 1),4)</f>
        <v>0.75</v>
      </c>
      <c r="BL5" s="6"/>
      <c r="BM5" s="6"/>
      <c r="BN5" s="6"/>
      <c r="BO5" s="6">
        <f>[1]!SERVYPA(AB2,AY2,AB2,1000)</f>
        <v>20</v>
      </c>
      <c r="BP5" s="6"/>
      <c r="BQ5" s="6"/>
      <c r="BR5" s="6"/>
      <c r="BS5" s="6"/>
      <c r="BT5" s="6">
        <f>IF(BO2&gt;=30,0,IF(BO2&gt;=30,BO2-30,IF(BO2&gt;=25,BO2-25,IF(BO2&gt;=20,BO2-20))))</f>
        <v>0</v>
      </c>
      <c r="BU5" s="6">
        <f>ROUND(((BR2-BQ2)/5)*IF(BO2&gt;=30,BO2-30,IF(BO2&gt;=25,BO2-25,IF(BO2&gt;=20,BO2-20))),2)</f>
        <v>0</v>
      </c>
      <c r="BV5" s="6">
        <f>ROUND(VLOOKUP(BA2,Bene_Amt,IF(BG2&lt;=25,2,IF(BG2&lt;30,3,IF(BG2&gt;=30,4))),FALSE)+((BR2-BQ2)/5)*IF(BO2&gt;=30,BO2-30,IF(BO2&gt;=25,BO2-25,IF(BO2&gt;=20,BO2-20))),2)</f>
        <v>2100</v>
      </c>
      <c r="BW5" s="6" t="s">
        <v>619</v>
      </c>
      <c r="BX5" s="6"/>
      <c r="BY5" s="6">
        <f>ROUND((VLOOKUP(IF(AT2&gt;65,65,AT2),Bene_Amt,2,FALSE)*BK2),2)</f>
        <v>862.5</v>
      </c>
      <c r="BZ5" s="6"/>
      <c r="CA5" s="6"/>
      <c r="CB5" s="6"/>
      <c r="CC5" s="6">
        <f>IF([1]!ATT(V2,PC3_Date)&gt;=57,ROUND((VLOOKUP(IF([1]!ATT(V2,PC3_Date)&lt;57,57,[1]!ATT(V2,PC3_Date)),Bene_Amt,2,FALSE)),2),0)</f>
        <v>1200</v>
      </c>
      <c r="CD5" s="6">
        <f>IF([1]!ATT(V2,PC3_Date)&gt;=57,ROUND((VLOOKUP(IF([1]!ATT(V2,PC3_Date)&lt;57,57,[1]!ATT(V2,PC3_Date)),Bene_Amt,2,FALSE)*BK2),2),0)</f>
        <v>900</v>
      </c>
      <c r="CE5" s="6"/>
      <c r="CF5" s="8" t="e">
        <f>[1]!SERVYPA(MAX(AA2,#REF!),DATE(2002,4,27),#REF!,1000)+1+[1]!SERVYPA(DATE(2003,1,1),AD2,DATE(2003,1,1),1000)</f>
        <v>#VALUE!</v>
      </c>
      <c r="CG5" s="8" t="e">
        <f>IF(OR(DOPT&gt;=#REF!,AND([1]!ATT(V2,DOPT)&gt;=60,CF2&gt;=30)),1,VLOOKUP(CF2,Vesting_Table,2))</f>
        <v>#REF!</v>
      </c>
      <c r="CH5" s="200" t="s">
        <v>363</v>
      </c>
      <c r="CI5" s="8"/>
      <c r="CJ5" s="8"/>
      <c r="CK5" s="33"/>
      <c r="CL5" s="178">
        <f>MAX(AY2,[1]!NRD(DOPT,0))</f>
        <v>40026</v>
      </c>
      <c r="CM5" s="27">
        <f>MAX(60,IF(AY2&lt;DOPT,CI2,BA2))</f>
        <v>64</v>
      </c>
      <c r="CN5" s="27"/>
      <c r="CO5" s="232">
        <f>IF(CF2&lt;20,CL2,MAX([1]!NRD(V2,50),[1]!NRD(DOPT,0)))</f>
        <v>40026</v>
      </c>
      <c r="CP5" s="27">
        <f>IF([1]!NRD(V2,50)&lt;DOPT,CI2,50)</f>
        <v>64</v>
      </c>
      <c r="CQ5" s="27" t="str">
        <f>IF(D2="2","IMM",[1]!BL(DOPT,V2,AD2,"N","Y","Y",B2,CM2,CH2))</f>
        <v>MED</v>
      </c>
      <c r="CR5" s="6" t="s">
        <v>315</v>
      </c>
      <c r="CS5" s="6"/>
      <c r="CT5" s="6"/>
      <c r="CU5" s="8">
        <f>IF(AY2&lt;=DOPT,CI2,[1]!XRA(CR2,CP2,CM2,DOPT,V2,IF(Z2="NULL",0,Z2),B2,D2))</f>
        <v>64</v>
      </c>
      <c r="CV5" s="74">
        <f>CO2</f>
        <v>40026</v>
      </c>
      <c r="CW5" s="8"/>
      <c r="CX5" s="8"/>
      <c r="CY5" s="6" t="s">
        <v>630</v>
      </c>
      <c r="CZ5" s="6"/>
      <c r="DA5" s="8"/>
      <c r="DB5" s="8"/>
      <c r="DC5" s="8"/>
      <c r="DD5" s="8"/>
      <c r="DE5" s="8"/>
      <c r="DF5" s="27"/>
      <c r="DG5" s="8"/>
      <c r="DH5" s="8"/>
      <c r="DI5" s="8"/>
      <c r="DJ5" s="8"/>
      <c r="DK5" s="8"/>
      <c r="DL5" s="8">
        <f>IF(CV2&lt;AY2,[1]!COMPM(CV2,AY2),0)</f>
        <v>0</v>
      </c>
      <c r="DM5" s="8">
        <f>IF(AD2&lt;=DATE(2000,4,1),ROUND([1]!NPVF("MX","SLA","N",ERFB,"M",65,65+DL2/12,0,0,0,0,"GM71","GM71","P","","")/[1]!NPVF("MX","SLA","N",ERFB,"M",65,65,0,0,0,0,"GM71","GM71","P","",""),4),IF(AD2&lt;DATE(2003,1,1),ROUND([1]!NPVF("MX","SLA","N",ERF,"M",65,65+DL2/12,0,0,0,0,"AA20","AA20","N","","")/[1]!NPVF("MX","SLA","N",ERF,"M",65,65,DO2,0,0,0,"AA20","AA20","N","",""),4),IF(AD2&gt;=DATE(2003,1,1),ROUND([1]!NPVF("MX","SLA","N",ERF,"M",65,65+DL2/12,0,0,0,0,"GU94","GU94","N","","")/[1]!NPVF("MX","SLA","N",ERF,"M",65,65,0,0,0,0,"GU94","GU94","N","",""),4))))</f>
        <v>1</v>
      </c>
      <c r="DN5" s="8"/>
      <c r="DO5" s="6"/>
      <c r="DP5" s="8">
        <f>IF(AND(DG2="2",D2="1"),1,IF(AD2&lt;DATE(2000,4,1),ROUND([1]!NPVF("MP","SLA","N",BFCF_Rates,"M",DN2,DN2,DO2,0,0,0,"GM71","GM71","P","","")/[1]!NPVF("MP","JSC","N",BFCF_Rates,"M",DN2,DN2,DO2,0.5,0,0,"GM71","GM71","P","",""),4),IF(AD2&lt;DATE(2003,1,1),ROUND([1]!NPVF("MP","SLA","N",BFCF_Rates1,"M",DN2,DN2,DO2,0,0,0,"AA20","AA20","P","","")/[1]!NPVF("MP","JSC","N",BFCF_Rates1,"M",DN2,DN2,DO2,0.5,0,0,"AA20","AA20","P","",""),4),IF(AD2&gt;=DATE(2003,1,1),ROUND([1]!NPVF("MP","SLA","N",BFCF_Rates1,"M",DN2,DN2,DO2,0,0,0,"GU94","GU94","P","","")/[1]!NPVF("MP","JSC","N",BFCF_Rates1,"M",DN2,DN2,DO2,0.5,0,0,"GU94","GU94","P","",""),4)))))</f>
        <v>0.92620000000000002</v>
      </c>
      <c r="DQ5" s="8">
        <f>[1]!COMPM(DR2,MAX(DR2,FH2))</f>
        <v>0</v>
      </c>
      <c r="DR5" s="180">
        <f>IF(AD2&lt;=DATE(2000,4,1),ROUND([1]!NPVF("MX","SLA","N",LRFB,"M",BA2,BA2,0,0,0,0,"GM71","GM71","P","","")/[1]!NPVF("MX","SLA","N",LRFB,"M",BA2,BA2+DQ2/12,0,0,0,0,"GM71","GM71","P","",""),4),IF(AD2&lt;DATE(2003,1,1),ROUND([1]!NPVF("MX","SLA","N",LRF,"M",BA2,BA2,0,0,0,0,"AA20","AA20","P","","")/[1]!NPVF("MX","SLA","N",LRF,"M",BA2,BA2+DQ2/12,0,0,0,0,"AA20","AA20","P","",""),4),IF(AD2&gt;=DATE(2003,1,1),ROUND([1]!NPVF("MX","SLA","N",LRF,"M",BA2,BA2,0,0,0,0,"GU94","GU94","P","","")/[1]!NPVF("MX","SLA","N",LRF,"M",BA2,BA2+DQ2/12,0,0,0,0,"GU94","GU94","P","",""),4))))</f>
        <v>1.5049999999999999</v>
      </c>
      <c r="DS5" s="11" t="s">
        <v>570</v>
      </c>
      <c r="DT5" s="8"/>
      <c r="DU5" s="8">
        <f>IF(AD2&lt;PC3_Date,CF2,CF2-3)</f>
        <v>36</v>
      </c>
      <c r="DV5" s="8">
        <f>VLOOKUP(CF2-3,Vesting_Table,2)</f>
        <v>1</v>
      </c>
      <c r="DW5" s="8"/>
      <c r="DX5" s="8">
        <f>[1]!ATT(V2,DATE(2006,8,1))</f>
        <v>61</v>
      </c>
      <c r="DY5" s="8" t="s">
        <v>567</v>
      </c>
      <c r="DZ5" s="8" t="str">
        <f>IF(OR([1]!ATT(V2,PC3_Date)&gt;=57,AND(([1]!ATT(V2,PC3_Date)&gt;=50),DU2&gt;=20)),"Y","N")</f>
        <v>Y</v>
      </c>
      <c r="EA5" s="180">
        <f>IF(DZ2="N","NULL",IF(OR(U2="S",U2="W"),1,ROUND([1]!NPVF("MP","SLA","N",BFCF_Rates,"M",DX2,DX2,DY2,0,0,0,"GM71","GM71","P","","")/[1]!NPVF("MP","JSC","N",BFCF_Rates,"M",DX2,DX2,DY2,0.5,0,0,"GM71","GM71","P","",""),4)))</f>
        <v>0.91249999999999998</v>
      </c>
      <c r="EB5" s="8">
        <f>IF(DZ2="N","NULL",IF(PC3_Date&lt;=AY2,[1]!COMPM(PC3_Date,AY2),0))</f>
        <v>0</v>
      </c>
      <c r="EC5" s="8"/>
      <c r="ED5" s="8">
        <f>IF(DZ2="N","NULL",IF(PC3_Date&gt;AY2,[1]!COMPM(AY2,PC3_Date),0))</f>
        <v>11</v>
      </c>
      <c r="EE5" s="8">
        <f>IF(AD2&lt;=DATE(2000,4,1),ROUND([1]!NPVF("MX","SLA","N",LRFB,"M",BA2,BA2,0,0,0,0,"GM71","GM71","P","","")/[1]!NPVF("MX","SLA","N",LRFB,"M",BA2,BA2+ED2/12,0,0,0,0,"GM71","GM71","P","",""),4),IF(AD2&lt;DATE(2003,1,1),ROUND([1]!NPVF("MX","SLA","N",LRF,"M",BA2,BA2,0,0,0,0,"AA20","AA20","P","","")/[1]!NPVF("MX","SLA","N",LRF,"M",BA2,BA2+ED2/12,DO2,0,0,0,"AA20","AA20","P","",""),4),IF(AD2&gt;=DATE(2003,1,1),ROUND([1]!NPVF("MX","SLA","N",LRF,"M",BA2,BA2,0,0,0,0,"GU94","GU94","P","","")/[1]!NPVF("MX","SLA","N",LRF,"M",BA2,BA2+ED2/12,0,0,0,0,"GU94","GU94","P","",""),4))))</f>
        <v>1.0872999999999999</v>
      </c>
      <c r="EF5" s="8">
        <f>IF(DZ2="N",0,ROUND((ROUND(CH2,2)*ROUND(EA2,4)*ROUND(EC2,4)*ROUND(EE2,4)*IF(D2="2",0.5,1)),2))</f>
        <v>1468.37</v>
      </c>
      <c r="EG5" s="8"/>
      <c r="EH5" s="8"/>
      <c r="EI5" s="8"/>
      <c r="EJ5" s="8"/>
      <c r="EK5" s="8"/>
      <c r="EL5" s="8">
        <f>IF(DZ2="N","NULL",ROUND(EH2+EI2+EJ2,0))</f>
        <v>234516</v>
      </c>
      <c r="EM5" s="8" t="s">
        <v>569</v>
      </c>
      <c r="EN5" s="8"/>
      <c r="EO5" s="8"/>
      <c r="EP5" s="8"/>
      <c r="EQ5" s="8"/>
      <c r="ER5" s="8"/>
      <c r="ES5" s="8"/>
      <c r="ET5" s="8"/>
      <c r="EU5" s="8"/>
      <c r="EV5" s="8"/>
      <c r="EW5" s="33"/>
      <c r="EX5" s="33"/>
      <c r="EY5" s="33"/>
      <c r="EZ5" s="33" t="s">
        <v>483</v>
      </c>
      <c r="FA5" s="27"/>
      <c r="FB5" s="27" t="s">
        <v>484</v>
      </c>
      <c r="FC5" s="27" t="s">
        <v>484</v>
      </c>
      <c r="FD5" s="8" t="s">
        <v>484</v>
      </c>
      <c r="FE5" s="8" t="s">
        <v>484</v>
      </c>
      <c r="FF5" s="209" t="e">
        <f>IF(OR(AND(#REF!="XRD",#REF!="V"),DF2="0",DF2="1",DF2="2",AND(NOT(ISBLANK(AG2)),AG2&lt;CV2,D2="1",FB2="NULL"),AND(U2="S",O2="N"),D2&lt;&gt;"1"),"NULL",IF(OR(DG2="2",DG2="5"),FA2,"NULL"))</f>
        <v>#REF!</v>
      </c>
      <c r="FG5" s="209" t="e">
        <f>IF(OR(AND(#REF!="XRD",#REF!="V"),DF2="0",DF2="1",DF2="2",AND(NOT(ISBLANK(AG2)),AG2&lt;CV2,D2="1",FB2="NULL")),"NULL",IF(OR(D2="4",AND(NOT(ISBLANK(AG2)),AG2&lt;CV2)),IF(D2="1",FB2,FA2)*[1]!NPVF2("MP","SLA","N",PBGC_Option_Rates,"M",DO2,DO2,0,0,0,0,"AA20","AA20","P","","")*12,IF(OR(DG2="2",DG2="5"),FA2*[1]!NPVF2("MP","SLA","N",PBGC_Option_Rates,"M",DN2,DN2,0,0,IF(#REF!="DORNSF",DI2,DC2),0,"AA20","AA20","P","","")*12,"NULL")))</f>
        <v>#REF!</v>
      </c>
      <c r="FH5" s="209" t="e">
        <f>IF(OR(AND(#REF!="XRD",#REF!="V"),DF2="0",DF2="1",DF2="2",AND(NOT(ISBLANK(AG2)),AG2&lt;CV2,D2="1",FB2="NULL")),"NULL",IF(OR(D2="4",AND(NOT(ISBLANK(AG2)),AG2&lt;CV2)),ROUND(FG2/[1]!NPVF2("MP","SLA","N",PBGC_Option_Rates,"M",DO2,DO2,0,0,0,0,"AA20","AA20","P","","")/12,2),IF(OR(DG2="2",DG2="5"),ROUND(FG2/[1]!NPVF2("MP","SLA","N",PBGC_Option_Rates,"M",DN2,DN2,0,0,0,0,"AA20","AA20","P","","")/12,2),"NULL")))</f>
        <v>#REF!</v>
      </c>
      <c r="FI5" s="209" t="e">
        <f>IF(OR(AND(#REF!="XRD",#REF!="V"),DF2="0",DF2="1",DF2="2",AND(NOT(ISBLANK(AG2)),AG2&lt;CV2,D2="1",FB2="NULL")),"NULL",IF(OR(D2="4",AND(NOT(ISBLANK(AG2)),AG2&lt;CV2)),ROUND(FG2/[1]!NPVF2("MP","SLA","N",PBGC_Option_Rates,"M",DO2,DO2,0,0,60,0,"AA20","AA20","P","","")/12,2),IF(OR(DG2="2",DG2="5"),ROUND(FG2/[1]!NPVF2("MP","SLA","N",PBGC_Option_Rates,"M",DN2,DN2,0,0,60,0,"AA20","AA20","P","","")/12,2),"NULL")))</f>
        <v>#REF!</v>
      </c>
      <c r="FJ5" s="209" t="e">
        <f>IF(OR(AND(#REF!="XRD",#REF!="V"),DF2="0",DF2="1",DF2="2",AND(NOT(ISBLANK(AG2)),AG2&lt;CV2,D2="1",FB2="NULL")),"NULL",IF(OR(D2="4",AND(NOT(ISBLANK(AG2)),AG2&lt;CV2)),ROUND(FG2/[1]!NPVF2("MP","SLA","N",PBGC_Option_Rates,"M",DO2,DO2,0,0,120,0,"AA20","AA20","P","","")/12,2),IF(OR(DG2="2",DG2="5"),ROUND(FG2/[1]!NPVF2("MP","SLA","N",PBGC_Option_Rates,"M",DN2,DN2,0,0,120,0,"AA20","AA20","P","","")/12,2),"NULL")))</f>
        <v>#REF!</v>
      </c>
      <c r="FK5" s="209" t="e">
        <f>IF(OR(AND(#REF!="XRD",#REF!="V"),DF2="0",DF2="1",DF2="2",AND(NOT(ISBLANK(AG2)),AG2&lt;CV2,D2="1",FB2="NULL")),"NULL",IF(OR(D2="4",AND(NOT(ISBLANK(AG2)),AG2&lt;CV2)),ROUND(FG2/[1]!NPVF2("MP","SLA","N",PBGC_Option_Rates,"M",DO2,DO2,0,0,180,0,"AA20","AA20","P","","")/12,2),IF(OR(DG2="2",DG2="5"),ROUND(FG2/[1]!NPVF2("MP","SLA","N",PBGC_Option_Rates,"M",DN2,DN2,0,0,180,0,"AA20","AA20","P","","")/12,2),"NULL")))</f>
        <v>#REF!</v>
      </c>
      <c r="FL5" s="209" t="e">
        <f>IF(OR(AND(#REF!="XRD",#REF!="V"),DF2="0",DF2="1",DF2="2"),"NULL",IF(AND(OR(DG2="9",DG2="0"),D2="1",OR(ISBLANK(AG2),AG2&gt;CV2)),FA2*[1]!NPVF2("MP","JSC","N",PBGC_Option_Rates,"M",DN2,DN2,DO2,DB2,DD2,0,"AA20","AA20","P","","")*12,"NULL"))</f>
        <v>#REF!</v>
      </c>
      <c r="FM5" s="209" t="e">
        <f>IF(OR(AND(#REF!="XRD",#REF!="V"),DF2="0",DF2="1",DF2="2"),"NULL",IF(AND(OR(DG2="9",DG2="0"),D2="1",OR(ISBLANK(AG2),AG2&gt;CV2)),ROUND(FL2/[1]!NPVF2("MP","JSC","N",PBGC_Option_Rates,"M",DN2,DN2,DO2,0.5,0,0,"AA20","AA20","P","","")/12,2),"NULL"))</f>
        <v>#REF!</v>
      </c>
      <c r="FN5" s="209" t="e">
        <f>IF(OR(AND(#REF!="XRD",#REF!="V"),DF2="0",DF2="1",DF2="2"),"NULL",IF(AND(OR(DG2="9",DG2="0"),D2="1",OR(ISBLANK(AG2),AG2&gt;CV2)),ROUND(FL2/[1]!NPVF2("MP","JSC","N",PBGC_Option_Rates,"M",DN2,DN2,DO2,0.75,0,0,"AA20","AA20","P","","")/12,2),"NULL"))</f>
        <v>#REF!</v>
      </c>
      <c r="FO5" s="209" t="e">
        <f>IF(OR(AND(#REF!="XRD",#REF!="V"),DF2="0",DF2="1",DF2="2"),"NULL",IF(AND(OR(DG2="9",DG2="0"),D2="1",OR(ISBLANK(AG2),AG2&gt;CV2)),ROUND(FL2/[1]!NPVF2("MP","JSC","N",PBGC_Option_Rates,"M",DN2,DN2,DO2,1,0,0,"AA20","AA20","P","","")/12,2),"NULL"))</f>
        <v>#REF!</v>
      </c>
      <c r="FP5" s="209" t="e">
        <f>IF(OR(AND(#REF!="XRD",#REF!="V"),DF2="0",DF2="1",DF2="2"),"NULL",IF(AND(OR(DG2="9",DG2="0"),D2="1",OR(ISBLANK(AG2),AG2&gt;CV2),FH2&lt;&gt;"NULL"),ROUND((FL2-(FH2*([1]!NPVF2("MP","SLA","N",PBGC_Option_Rates,"M",DN2,DN2,0,0,0,0,"AA20","AA20","P","","")-[1]!NPVF2("MP","JSJ","N",PBGC_Option_Rates,"M",DN2,DN2,DO2,0,0,0,"AA20","AA20","P","",""))*12))/(([1]!NPVF2("MP","JSC","N",PBGC_Option_Rates,"M",DN2,DN2,DO2,0.5,0,0,"AA20","AA20","P","","")-[1]!NPVF2("MP","SLA","N",PBGC_Option_Rates,"M",DN2,DN2,0,0,0,0,"AA20","AA20","P","","")+[1]!NPVF2("MP","JSJ","N",PBGC_Option_Rates,"M",DN2,DN2,DO2,0,0,0,"AA20","AA20","P","",""))*12),2),"NULL"))</f>
        <v>#REF!</v>
      </c>
      <c r="FQ5" s="27"/>
      <c r="FR5" s="27"/>
      <c r="FS5" s="8" t="e">
        <f>IF(OR(AND(#REF!="XRD",#REF!="V"),ISBLANK(DF2),DF2&lt;&gt;"3"),"NULL",IF(DG2="2",FH2,IF(DG2="0",FP2,IF(DH2=0.5,FM2,IF(DH2=0.75,FN2,IF(DH2=1,FO2,IF(DI2=60,FI2,IF(DI2=120,FJ2,FK2))))))))</f>
        <v>#REF!</v>
      </c>
      <c r="FT5" s="8" t="e">
        <f>IF(OR(AND(#REF!="XRD",#REF!="V"),ISBLANK(FQ2)),"NULL",IF(AND(IF(ISBLANK(FR2),FQ2,FR2)&gt;IF(OR(NOT(ISBLANK(FR2)),FS2="NULL"),IF(FB2="NULL",FA2,FB2),FS2),IF(ISBLANK(FR2),FQ2,FR2)-IF(OR(NOT(ISBLANK(FR2)),FS2="NULL"),IF(FB2="NULL",FA2,FB2),FS2)&gt;=5),"D",IF(AND(IF(ISBLANK(FR2),FQ2,FR2)&gt;IF(OR(NOT(ISBLANK(FR2)),FS2="NULL"),IF(FB2="NULL",FA2,FB2),FS2),IF(ISBLANK(FR2),FQ2,FR2)-IF(OR(NOT(ISBLANK(FR2)),FS2="NULL"),IF(FB2="NULL",FA2,FB2),FS2)&lt;5),"N",IF(IF(ISBLANK(FR2),FQ2,FR2)=IF(OR(NOT(ISBLANK(FR2)),FS2="NULL"),IF(FB2="NULL",FA2,FB2),FS2),"M","I"))))</f>
        <v>#REF!</v>
      </c>
      <c r="FU5" s="8" t="e">
        <f>IF(OR(AND(#REF!="XRD",#REF!="V"),ISBLANK(FQ2)),"NULL",IF(FT2="D","Your current monthly benefit of $"&amp;TEXT(IF(ISBLANK(FR2),FQ2,FR2),"000.00")&amp;" will decrease to $"&amp;TEXT(IF(OR(NOT(ISBLANK(FR2)),FS2="NULL"),IF(FB2="NULL",FA2,FB2),FS2),"000.00")&amp;" because of the limitations placed on the monthly benefit payable at DOPT.  See the Benefit Calculation section for further details.",IF(FT2="N","Your current monthly benefit of $"&amp;TEXT(IF(ISBLANK(FR2),FQ2,FR2),"000.00")&amp;" will not change. Although the amount of the PBGC monthly benefit shown above is slightly less than the amount you are currently receiving, we will not change the amount of your current monthly benefit",IF(FT2="I","Your current monthly benefit of $"&amp;TEXT(IF(ISBLANK(FR2),FQ2,FR2),"000.00")&amp;" will increase to $"&amp;TEXT(IF(OR(NOT(ISBLANK(FR2)),FS2="NULL"),IF(FB2="NULL",FA2,FB2),FS2),"000.00")&amp;".","Your current monthly benefit of $"&amp;TEXT(IF(ISBLANK(FR2),FQ2,FR2),"000.00")&amp;" will not change."))))</f>
        <v>#REF!</v>
      </c>
      <c r="FV5" s="8">
        <f>ROUND([1]!NPVF2("MP",IF(DG2="9","JSC","SLA"),"N",Annuity_Rates,IF(D2="2",S2,R2),IF(D2="2",CJ2,CI2),CU2,IF(CW2="NULL",0,CW2),DH2,DI2,0,DOPT,DOPT,"P","","",Q2),4)</f>
        <v>13.0611</v>
      </c>
      <c r="FW5" s="6"/>
      <c r="FX5" s="6"/>
      <c r="FY5" s="6"/>
      <c r="FZ5" s="6"/>
      <c r="GA5" s="6"/>
      <c r="GB5" s="6"/>
      <c r="GC5" s="6"/>
      <c r="GD5" s="6"/>
      <c r="GE5" s="6"/>
      <c r="GF5" s="6"/>
      <c r="GG5" s="6"/>
      <c r="GH5" s="6"/>
      <c r="GI5" s="6"/>
      <c r="GJ5" s="6"/>
      <c r="GK5" s="6"/>
      <c r="GL5" s="6"/>
      <c r="GM5" s="6"/>
      <c r="GN5" s="6"/>
      <c r="GO5" s="6" t="s">
        <v>484</v>
      </c>
      <c r="GP5" s="6"/>
      <c r="GQ5" s="6"/>
      <c r="GR5" s="6"/>
      <c r="GS5" s="6" t="s">
        <v>660</v>
      </c>
      <c r="GT5" s="6"/>
      <c r="GU5" s="6"/>
      <c r="GV5" s="6"/>
      <c r="GW5" s="6"/>
      <c r="GX5" s="8"/>
      <c r="GY5" s="6">
        <v>1</v>
      </c>
      <c r="GZ5" s="8" t="s">
        <v>483</v>
      </c>
      <c r="HA5" s="8" t="s">
        <v>661</v>
      </c>
      <c r="HB5" s="6"/>
      <c r="HC5" s="8"/>
      <c r="HD5" s="6">
        <f>IF(OR(DG2="2",DG2="5",DO2=0),1,IF(AD2&lt;DATE(2000,4,1),ROUND([1]!NPVF("MP","SLA","N",BFCF_Rates,"M",DN2,DN2,0,0,0,0,"GM71","GM71","P","","")/[1]!NPVF("MP","JSC","N",BFCF_Rates,"M",DN2,DN2,IF(ISBLANK(W2),DN2,DO2),0.5,0,0,"GM71","GM71","P","",""),4),IF(AD2&lt;DATE(2003,1,1),ROUND([1]!NPVF("MP","SLA","N",BFCF_Rates1,"M",DN2,DN2,0,0,0,0,"AA20","AA20","P","","")/[1]!NPVF("MP","JSC","N",BFCF_Rates1,"M",DN2,DN2,IF(ISBLANK(W2),DN2,DO2),0.5,0,0,"AA20","AA20","P","",""),4),IF(AD2&gt;=DATE(2003,1,1),ROUND([1]!NPVF("MP","SLA","N",BFCF_Rates1,"M",DN2,DN2,0,0,0,0,"GU94","GU94","P","","")/[1]!NPVF("MP","JSC","N",BFCF_Rates1,"M",DN2,DN2,IF(ISBLANK(W2),DN2,DO2),0.5,0,0,"GU94","GU94","P","",""),4)))))</f>
        <v>0.92620000000000002</v>
      </c>
      <c r="HE5" s="8" t="str">
        <f>IF(OR(DG2="5",NOT(ISBLANK(W2))),"NULL",ROUND(HD2/DP2,4))</f>
        <v>NULL</v>
      </c>
      <c r="HF5" s="6" t="str">
        <f>IF(OR(DG2="5",NOT(ISBLANK(W2))),"NULL",ROUND(FA2*HE2,2))</f>
        <v>NULL</v>
      </c>
      <c r="HG5" s="8">
        <f>ROUND([1]!NPVF2("MP",IF(DG2="9","JSC","SLA"),"O",LS_Rates,R2,CI2,CU2,IF(ISBLANK(W2),CU2,IF(CW2="NULL",0,CW2)),DH2,DI2,0,DOPT,DOPT,"P","",""),4)</f>
        <v>13.788600000000001</v>
      </c>
      <c r="HH5" s="6">
        <v>5</v>
      </c>
      <c r="HI5" s="8">
        <v>6</v>
      </c>
      <c r="HJ5" s="6">
        <v>7</v>
      </c>
      <c r="HK5" s="8"/>
      <c r="HL5" s="6"/>
      <c r="HM5" s="8" t="str">
        <f>IF(D2="2","SB",IF(CV2&lt;AY2,"ER","NR"))</f>
        <v>NR</v>
      </c>
      <c r="HN5" s="6"/>
      <c r="HO5" s="8"/>
      <c r="HP5" s="6"/>
      <c r="HQ5" s="8"/>
      <c r="HR5" s="6"/>
      <c r="HS5" s="8"/>
      <c r="HT5" s="8">
        <f>IF(OR(DG2="5",DG2="1"),0,ROUND([1]!NPVF2("MP","SLA","O",DOPT,IF(R2="M","F","M"),IF(ISBLANK(W2),CI2,CJ2),IF(ISBLANK(W2),CU2,CW2),0,0,0,0,DOPT,DOPT,"P","",""),4))</f>
        <v>12.5349</v>
      </c>
      <c r="HV5" s="46" t="s">
        <v>484</v>
      </c>
      <c r="HY5" s="46">
        <f ca="1">IF($AD2&lt;=DATE(2000,4,1),ROUND([1]!NPVF("MX","SLA","N",LRFB,"M",BA2,BA2,0,0,0,0,"GM71","GM71","P","","")/[1]!NPVF("MX","SLA","N",LRFB,"M",BA2,BA2+HX2/12,0,0,0,0,"GM71","GM71","P","",""),4),IF($AD2&lt;DATE(2003,1,1),ROUND([1]!NPVF("MX","SLA","N",LRF,"M",BA2,BA2,0,0,0,0,"AA20","AA20","P","","")/[1]!NPVF("MX","SLA","N",LRF,"M",BA2,BA2+HX2/12,HV2,0,0,0,"AA20","AA20","P","",""),4),IF($AD2&gt;=DATE(2003,1,1),ROUND([1]!NPVF("MX","SLA","N",LRF,"M",BA2,BA2,0,0,0,0,"GU94","GU94","P","","")/[1]!NPVF("MX","SLA","N",LRF,"M",BA2,BA2+HX2/12,0,0,0,0,"GU94","GU94","P","",""),4))))</f>
        <v>10.315200000000001</v>
      </c>
      <c r="HZ5" s="46">
        <f>ROUND([1]!NPVF("MX","SLA","N",LRF,"M",65,65,0,0,0,0,"GU94","GU94","P","","")/[1]!NPVF("MX","SLA","N",LRF,"M",65,65+HY2/12,0,0,0,0,"GU94","GU94","P","",""),4)</f>
        <v>1.0084</v>
      </c>
      <c r="IA5" s="46">
        <f>[1]!anb(IF(NOT(ISBLANK(W2)),W2,Z2),PC3_Date)</f>
        <v>59</v>
      </c>
      <c r="IB5" s="46">
        <f ca="1">IF(U2="D",1,IF(AD2&lt;=DATE(2000,4,1),ROUND([1]!NPVF("MP","SLA","N",BFCF_Rates,"M",HZ2,HZ2,IA2,0,0,0,"GM71","GM71","P","","")/[1]!NPVF("MP","JSC","N",BFCF_Rates,"M",HZ2,HZ2,IA2,0.5,0,0,"GM71","GM71","P","",""),4),IF(AD2&lt;DATE(2003,1,1),ROUND([1]!NPVF("MP","SLA","N",BFCF_Rates1,"M",HZ2,HZ2,IA2,0,0,0,"AA20","AA20","P","","")/[1]!NPVF("MP","JSC","N",BFCF_Rates1,"M",HZ2,HZ2,IA2,0.5,0,0,"AA20","AA20","P","",""),4),IF(AD2&gt;=DATE(2003,1,1),ROUND([1]!NPVF("MP","SLA","N",BFCF_Rates1,"M",HZ2,HZ2,IA2,0,0,0,"GU94","GU94","P","","")/[1]!NPVF("MP","JSC","N",BFCF_Rates1,"M",HZ2,HZ2,IA2,0.5,0,0,"GU94","GU94","P","",""),4)))))</f>
        <v>0.86070000000000002</v>
      </c>
      <c r="IG5" s="178">
        <f>IF(OR(D2="2",AND(AH2&gt;0,AH2&gt;DOPT,AH2&lt;IF2)),DATE(YEAR(MAX(DATE(YEAR(AH2)+1,1,1),IE2,AY2)),12,1),MAX(AY2,IF2))</f>
        <v>42461</v>
      </c>
      <c r="IH5" s="178"/>
      <c r="II5" s="241">
        <f ca="1">MAX([1]!NRD(TODAY(),0),CO2)</f>
        <v>45748</v>
      </c>
      <c r="IK5" s="46">
        <f ca="1">IF(II2&lt;AY2,[1]!COMPM(II2,AY2),0)</f>
        <v>0</v>
      </c>
      <c r="IN5" s="8" t="s">
        <v>567</v>
      </c>
      <c r="IO5" s="46">
        <f ca="1">IF(U2="D",1,IF(AD2&lt;=DATE(2000,4,1),ROUND([1]!NPVF("MP","SLA","N",BFCF_Rates,"M",IM2,IM2,IN2,0,0,0,"GM71","GM71","P","","")/[1]!NPVF("MP","JSC","N",BFCF_Rates,"M",IM2,IM2,IN2,0.5,0,0,"GM71","GM71","P","",""),4),IF(AD2&lt;DATE(2003,1,1),ROUND([1]!NPVF("MP","SLA","N",BFCF_Rates1,"M",IM2,IM2,IN2,0,0,0,"AA20","AA20","P","","")/[1]!NPVF("MP","JSC","N",BFCF_Rates1,"M",IM2,IM2,IN2,0.5,0,0,"AA20","AA20","P","",""),4),IF(AD2&gt;=DATE(2003,1,1),ROUND([1]!NPVF("MP","SLA","N",BFCF_Rates1,"M",IM2,IM2,IN2,0,0,0,"GU94","GU94","P","","")/[1]!NPVF("MP","JSC","N",BFCF_Rates1,"M",IM2,IM2,IN2,0.5,0,0,"GU94","GU94","P","",""),4)))))</f>
        <v>0.86070000000000002</v>
      </c>
      <c r="IU5" s="46" t="str">
        <f>IF(ISBLANK(IS2),"NULL",IF(OR(IS2="SLA",IS2="SURVIVOR ANNUITY"),"2","9"))</f>
        <v>NULL</v>
      </c>
      <c r="IV5" s="46" t="str">
        <f>IF(IS2="","NULL",IF(OR(IS2="SLA",IS2="CC10"),0,IF(OR(IS2="JS50",IS2="JS50 POP-UP"),0.5,IF(OR(IS2="JS75",IS2="J&amp;S75"),0.75,IF(IS2="JS100",1)))))</f>
        <v>NULL</v>
      </c>
      <c r="IZ5" s="46" t="str">
        <f>IF(OR(ISBLANK(IR2),ISBLANK(IU2),ISBLANK(W2)),"NULL",[1]!anb(W2,IR2))</f>
        <v>NULL</v>
      </c>
      <c r="JA5" s="46" t="str">
        <f>IF(OR(ISBLANK(IR2),ISBLANK(IU2)),"NULL",IF(OR(IU2="9",IU2="0"),IF(BC2&lt;=DATE(2000,4,1),ROUND([1]!NPVF("MP","SLA","N",BFCF_Rates,"M",IY2,IY2,IZ2,0,0,0,"GM71","GM71","P","","")/[1]!NPVF("MP","JSC","N",BFCF_Rates,"M",IY2,IY2,IZ2,0.5,0,0,"GM71","GM71","P","",""),4),IF(BC2&lt;DATE(2003,1,1),ROUND([1]!NPVF("MP","SLA","N",BFCF_Rates1,"M",IY2,IY2,IZ2,0,0,0,"AA20","AA20","P","","")/[1]!NPVF("MP","JSC","N",BFCF_Rates1,"M",IY2,IY2,IZ2,0.5,0,0,"AA20","AA20","P","",""),4),IF(BC2&gt;=DATE(2003,1,1),ROUND([1]!NPVF("MP","SLA","N",BFCF_Rates1,"M",IY2,IY2,IZ2,0,0,0,"GU94","GU94","P","","")/[1]!NPVF("MP","JSC","N",BFCF_Rates1,"M",IY2,IY2,IZ2,0.5,0,0,"GU94","GU94","P","",""),4))))))</f>
        <v>NULL</v>
      </c>
      <c r="JB5" s="46" t="str">
        <f>IF(OR(ISBLANK(IR2),ISBLANK(IU2)),"NULL",IF(IR2&lt;AY2,[1]!COMPM(IR2,AY2),0))</f>
        <v>NULL</v>
      </c>
      <c r="JE5" s="46" t="str">
        <f>IF(OR(ISBLANK(IR2),ISBLANK(IU2)),"NULL",IF($AD2&lt;=DATE(2000,4,1),ROUND([1]!NPVF("MX","SLA","N",LRFB,"M",BA2,BA2,0,0,0,0,"GM71","GM71","P","","")/[1]!NPVF("MX","SLA","N",LRFB,"M",BA2,BA2+JD2/12,0,0,0,0,"GM71","GM71","P","",""),4),IF($AD2&lt;DATE(2003,1,1),ROUND([1]!NPVF("MX","SLA","N",LRF,"M",BA2,BA2,0,0,0,0,"AA20","AA20","P","","")/[1]!NPVF("MX","SLA","N",LRF,"M",BA2,BA2+JD2/12,JB2,0,0,0,"AA20","AA20","P","",""),4),IF($AD2&gt;=DATE(2003,1,1),ROUND([1]!NPVF("MX","SLA","N",LRF,"M",BA2,BA2,0,0,0,0,"GU94","GU94","P","","")/[1]!NPVF("MX","SLA","N",LRF,"M",BA2,BA2+JD2/12,0,0,0,0,"GU94","GU94","P","",""),4)))))</f>
        <v>NULL</v>
      </c>
    </row>
    <row r="6" spans="1:16374" s="46" customFormat="1" ht="32.25" thickTop="1" x14ac:dyDescent="0.25">
      <c r="A6" s="1" t="s">
        <v>15</v>
      </c>
      <c r="B6" s="9" t="s">
        <v>477</v>
      </c>
      <c r="C6" s="6"/>
      <c r="D6" s="6"/>
      <c r="E6" s="6"/>
      <c r="F6" s="6"/>
      <c r="G6" s="6"/>
      <c r="H6" s="6"/>
      <c r="I6" s="6"/>
      <c r="J6" s="6"/>
      <c r="K6" s="6"/>
      <c r="L6" s="6"/>
      <c r="M6" s="6"/>
      <c r="N6" s="6"/>
      <c r="O6" s="6"/>
      <c r="P6" s="6"/>
      <c r="Q6" s="6"/>
      <c r="R6" s="6"/>
      <c r="S6" s="6"/>
      <c r="T6" s="6"/>
      <c r="U6" s="6"/>
      <c r="V6" s="6"/>
      <c r="W6" s="6"/>
      <c r="X6" s="6"/>
      <c r="Y6" s="6"/>
      <c r="Z6" s="6" t="s">
        <v>629</v>
      </c>
      <c r="AA6" s="6"/>
      <c r="AB6" s="74"/>
      <c r="AC6" s="74"/>
      <c r="AD6" s="6"/>
      <c r="AE6" s="6"/>
      <c r="AF6" s="74" t="e">
        <f ca="1">DATEYEAR(AD2)-1</f>
        <v>#NAME?</v>
      </c>
      <c r="AG6" s="6"/>
      <c r="AH6" s="6"/>
      <c r="AI6" s="6"/>
      <c r="AJ6" s="6">
        <f>[1]!SERVYPA(AA2,AD2,Plan_Date,1000)</f>
        <v>36</v>
      </c>
      <c r="AK6" s="6"/>
      <c r="AL6" s="6">
        <f>MONTH(AY2)</f>
        <v>4</v>
      </c>
      <c r="AM6" s="6"/>
      <c r="AN6" s="74">
        <f>DATE(YEAR(AA2)+IF([1]!anb(AA2,[1]!NRD(V2,65))&lt;30,20,30),MONTH(AA2),DAY(AA2))</f>
        <v>36387</v>
      </c>
      <c r="AO6" s="6"/>
      <c r="AP6" s="6"/>
      <c r="AQ6" s="6"/>
      <c r="AR6" s="74">
        <f ca="1">[1]!NRD(TODAY(),0)</f>
        <v>45748</v>
      </c>
      <c r="AS6" s="6" t="s">
        <v>689</v>
      </c>
      <c r="AT6" s="6">
        <f ca="1">IF(AR2&lt;58,58,MIN(65,[1]!anb(V2,MAX([1]!NRD(TODAY(),0),AN2))))</f>
        <v>65</v>
      </c>
      <c r="AU6" s="74">
        <f>[1]!NRD(V2,58)</f>
        <v>37712</v>
      </c>
      <c r="AV6" s="74"/>
      <c r="AW6" s="74"/>
      <c r="AX6" s="6"/>
      <c r="AY6" s="74">
        <f>MAX([1]!NRD(V2,65),[1]!NRD(DATE(YEAR(AB2)+5,MONTH(AB2),DAY(AB2)),0))</f>
        <v>40269</v>
      </c>
      <c r="AZ6" s="6"/>
      <c r="BA6" s="6"/>
      <c r="BB6" s="6"/>
      <c r="BC6" s="6">
        <f>IF(IF(MONTH(AU2)&lt;MONTH(AB2),(MONTH(AU2)+12)-MONTH(AB2),MONTH(AU2)-MONTH(AB2))&lt;7,[1]!SERVYPA(AB2,AU2,AB2,1000),[1]!SERVYPA(AB2,AU2,AB2,1000)+1)</f>
        <v>20</v>
      </c>
      <c r="BD6" s="6"/>
      <c r="BE6" s="6"/>
      <c r="BF6" s="6"/>
      <c r="BG6" s="6"/>
      <c r="BH6" s="6">
        <f>[1]!SERVYPA(AB2,AU2,AB2,1000)+1</f>
        <v>21</v>
      </c>
      <c r="BI6" s="6"/>
      <c r="BJ6" s="6">
        <f>[1]!SERVYPA(AB2,AY2,AB2,1000)</f>
        <v>20</v>
      </c>
      <c r="BK6" s="6"/>
      <c r="BL6" s="6"/>
      <c r="BM6" s="6"/>
      <c r="BN6" s="6"/>
      <c r="BO6" s="6"/>
      <c r="BP6" s="6"/>
      <c r="BQ6" s="236" t="s">
        <v>624</v>
      </c>
      <c r="BR6" s="236"/>
      <c r="BS6" s="236"/>
      <c r="BT6" s="236"/>
      <c r="BU6" s="236"/>
      <c r="BV6" s="236"/>
      <c r="BW6" s="6" t="s">
        <v>484</v>
      </c>
      <c r="BX6" s="236"/>
      <c r="BY6" s="6">
        <f>ROUND((VLOOKUP(BA2,Bene_Amt,IF(BG2&lt;=25,2,IF(BG2&lt;30,3,IF(BG2&gt;=30,4))),FALSE)*BK2),2)</f>
        <v>1575</v>
      </c>
      <c r="BZ6" s="6"/>
      <c r="CA6" s="6">
        <f>IF([1]!ATT(V2,PC3_Date)&gt;BA2,BA2,IF([1]!ATT(V2,PC3_Date)&lt;57,57,[1]!ATT(V2,PC3_Date)))</f>
        <v>60</v>
      </c>
      <c r="CB6" s="6"/>
      <c r="CC6" s="316">
        <f>IF([1]!ATT(V2,PC3_Date)&gt;=57,ROUND(VLOOKUP(IF([1]!ATT(V2,PC3_Date)&lt;57,57,[1]!ATT(V2,PC3_Date)),Bene_Amt,IF(BG2&lt;=25,2,IF(BG2&lt;30,3,IF(BG2&gt;=30,4))),FALSE)+((BR2-BQ2)/5)*IF(BG2&gt;=30,BG2-30,IF(BG2&gt;=25,BG2-25,IF(BG2&gt;=20,BG2-20))),2),0)</f>
        <v>2200</v>
      </c>
      <c r="CD6" s="6"/>
      <c r="CE6" s="6"/>
      <c r="CF6" s="74">
        <f>AE2-1</f>
        <v>36616</v>
      </c>
      <c r="CG6" s="176">
        <f>VLOOKUP(CF2,Vesting_Table,2)</f>
        <v>1</v>
      </c>
      <c r="CH6" s="6" t="s">
        <v>581</v>
      </c>
      <c r="CI6" s="6"/>
      <c r="CJ6" s="6"/>
      <c r="CK6" s="33"/>
      <c r="CL6" s="306">
        <f>MAX(AU2,[1]!NRD(DOPT,0))</f>
        <v>40026</v>
      </c>
      <c r="CM6" s="28">
        <f>[1]!anb(V2,CL2)</f>
        <v>64</v>
      </c>
      <c r="CN6" s="28"/>
      <c r="CO6" s="232"/>
      <c r="CP6" s="28"/>
      <c r="CQ6" s="28"/>
      <c r="CR6" s="6"/>
      <c r="CS6" s="6"/>
      <c r="CT6" s="6"/>
      <c r="CU6" s="203">
        <f>MAX(60,IF(AU2&lt;=DOPT,CI2,[1]!XRA(CR2,CP2,MAX(60,CM2),DOPT,V2,IF(Z2="NULL",0,Z2),B2,D2)))</f>
        <v>64</v>
      </c>
      <c r="CV6" s="203" t="str">
        <f>[1]!XRA(CR14,CP14,CM14,DOPT,V14,IF(Z14="NULL",0,Z14),B14,D14)</f>
        <v>Error #2142 - retstat</v>
      </c>
      <c r="CW6" s="6" t="str">
        <f>[1]!XRA(CR18,CP18,CM18,DOPT,V18,IF(Z18="NULL",0,Z18),B18,D18)</f>
        <v>Error #2142 - retstat</v>
      </c>
      <c r="CX6" s="6"/>
      <c r="CY6" s="6" t="str">
        <f>[1]!XRA(CR14,CP14,CM14,DOPT,V14,IF(Z14="NULL",0,Z14),B14,D14)</f>
        <v>Error #2142 - retstat</v>
      </c>
      <c r="CZ6" s="6"/>
      <c r="DA6" s="6"/>
      <c r="DB6" s="8"/>
      <c r="DC6" s="6"/>
      <c r="DD6" s="6"/>
      <c r="DE6" s="6"/>
      <c r="DF6" s="28"/>
      <c r="DG6" s="6"/>
      <c r="DH6" s="6"/>
      <c r="DI6" s="6"/>
      <c r="DJ6" s="6"/>
      <c r="DK6" s="6"/>
      <c r="DL6" s="6"/>
      <c r="DM6" s="3" t="e">
        <f>IF(AD2&lt;=DATE(2000,4,1),ROUND([1]!NPVF("MX","SLA","N",ERFB,"M",65-DL2/12,65,0,0,0,0,"GM71","GM71","P","","")/[1]!NPVF("MX","SLA","N",ERFB,"M",65-DL2/12,65-DL2/12,0,0,0,0,"GM71","GM71","P","",""),4),IF(AD2&lt;DATE(2003,1,1),ROUND([1]!NPVF("MX","SLA","N",ERF,"M",65-DL2/12,65,0,0,0,0,"AA20","AA20","P","","")/[1]!NPVF("MX","SLA","N",ERF,"M",65-DL2/12,65-DL2/12,DO2,0,0,0,"AA20","AA20","P","",""),4),IF(AD2&gt;=DATE(2003,1,1),ROUND([1]!NPVF("MX","SLA","N",ERF,"M",65-DO2/12,65,0,0,0,0,"GU94","GU94","P","","")/[1]!NPVF("MX","SLA","P",ERF,"M",65-DL2/12,65-DL2/12,0,0,0,0,"GU94","GU94","N","",""),4))))</f>
        <v>#VALUE!</v>
      </c>
      <c r="DN6" s="3"/>
      <c r="DO6" s="3"/>
      <c r="DP6" s="3">
        <f>IF(AND(DG2="2",D2="1"),1,ROUND([1]!NPVF("MP","SLA","N",BFCF_Rates1,"M",DN2,DN2,DO2,0,0,0,"GU94","GU94","P","","")/[1]!NPVF("MP","JSC","N",BFCF_Rates1,"M",DN2,DN2,DO2,0.5,0,0,"GU94","GU94","P","",""),4))</f>
        <v>0.92620000000000002</v>
      </c>
      <c r="DQ6" s="3">
        <f>IF(AD2&lt;=DATE(2000,4,1),ROUND([1]!NPVF("MX","SLA","N",LRFB,"M",BA2,BA2,0,0,0,0,"GM71","GM71","P","","")/[1]!NPVF("MX","SLA","N",LRFB,"M",BA2,BA2+DQ2/12,0,0,0,0,"GM71","GM71","P","",""),4),IF(AD2&lt;DATE(2003,1,1),ROUND([1]!NPVF("MX","SLA","N",LRF,"M",BA2,BA2,0,0,0,0,"AA20","AA20","P","","")/[1]!NPVF("MX","SLA","N",LRF,"M",BA2,BA2+DQ2/12,DO2,0,0,0,"AA20","AA20","P","",""),4),IF(AD2&gt;=DATE(2003,1,1),ROUND([1]!NPVF("MX","SLA","N",LRF,"M",BA2,BA2,0,0,0,0,"GU94","GU94","P","","")/[1]!NPVF("MX","SLA","N",LRF,"M",BA2,BA2+DQ2/12,0,0,0,0,"GU94","GU94","P","",""),4))))</f>
        <v>1.5049999999999999</v>
      </c>
      <c r="DR6" s="3" t="e">
        <f>VLOOKUP(DQ2,LRF_Table,2)</f>
        <v>#NAME?</v>
      </c>
      <c r="DS6" s="3" t="e">
        <f>ROUND((ROUND(#REF!,2)*ROUND(FK2,4)*ROUND(FN2,4)*ROUND(FP2,4)),2)</f>
        <v>#REF!</v>
      </c>
      <c r="DT6" s="3"/>
      <c r="DU6" s="286">
        <f>CF2-3</f>
        <v>33</v>
      </c>
      <c r="DV6" s="3">
        <f>VLOOKUP(CF2-3,Vesting_Table,2)</f>
        <v>1</v>
      </c>
      <c r="DW6" s="237"/>
      <c r="DX6" s="3"/>
      <c r="DY6" s="3"/>
      <c r="DZ6" s="3" t="s">
        <v>483</v>
      </c>
      <c r="EA6" s="3">
        <f>IF(AND(DG2="2",D2="1"),1,IF(AD2&lt;DATE(2000,4,1),ROUND([1]!NPVF("MP","SLA","N",BFCF_Rates,"M",DX2,DX2,DY2,0,0,0,"GM71","GM71","P","","")/[1]!NPVF("MP","JSC","N",BFCF_Rates,"M",DX2,DX2,DY2,0.5,0,0,"GM71","GM71","P","",""),4),IF(AD2&lt;DATE(2003,1,1),ROUND([1]!NPVF("MP","SLA","N",BFCF_Rates1,"M",DX2,DX2,DY2,0,0,0,"AA20","AA20","P","","")/[1]!NPVF("MP","JSC","N",BFCF_Rates1,"M",DX2,DX2,DY2,0.5,0,0,"AA20","AA20","P","",""),4),IF(AD2&gt;=DATE(2003,1,1),ROUND([1]!NPVF("MP","SLA","N",BFCF_Rates1,"M",DX2,DX2,DY2,0,0,0,"GU94","GU94","P","","")/[1]!NPVF("MP","JSC","N",BFCF_Rates1,"M",DX2,DX2,DY2,0.5,0,0,"GU94","GU94","P","",""),4)))))</f>
        <v>0.93230000000000002</v>
      </c>
      <c r="EB6" s="3"/>
      <c r="EC6" s="234">
        <f>IF(AD2&lt;DATE(2000,4,1),ROUND([1]!NPVF("MX","SLA","N",LRF,"M",65,65+EB2/12,0,0,0,0,"GM71","GM71","P","","")/[1]!NPVF("MX","SLA","N",LRF,"M",65,65,0,0,0,0,"GM71","GM71","P","",""),4),IF(AD2&lt;DATE(2003,1,1),ROUND([1]!NPVF("MX","SLA","N",LRF,"M",65,65+EB2/12,0,0,0,0,"AA20","AA20","N","","")/[1]!NPVF("MX","SLA","N",LRF,"M",65,65,DO2,0,0,0,"AA20","AA20","N","",""),4),IF(AD2&gt;=DATE(2003,1,1),ROUND([1]!NPVF("MX","SLA","N",LRF,"M",65,65+EB2/12,0,0,0,0,"GU94","GU94","N","","")/[1]!NPVF("MX","SLA","N",LRF,"M",65,65,0,0,0,0,"GU94","GU94","N","",""),4))))</f>
        <v>1</v>
      </c>
      <c r="ED6" s="276">
        <f>PC3_Date</f>
        <v>38793</v>
      </c>
      <c r="EE6" s="276" t="s">
        <v>737</v>
      </c>
      <c r="EF6" s="276"/>
      <c r="EG6" s="3"/>
      <c r="EH6" s="3"/>
      <c r="EI6" s="3"/>
      <c r="EJ6" s="3"/>
      <c r="EK6" s="3"/>
      <c r="EL6" s="3" t="s">
        <v>483</v>
      </c>
      <c r="EM6" s="3"/>
      <c r="EN6" s="3"/>
      <c r="EO6" s="3"/>
      <c r="EP6" s="3"/>
      <c r="EQ6" s="3"/>
      <c r="ER6" s="3"/>
      <c r="ES6" s="3"/>
      <c r="ET6" s="3">
        <f>ROUND((ER2*0.5*FW2*12),0)</f>
        <v>0</v>
      </c>
      <c r="EU6" s="3"/>
      <c r="EV6" s="3"/>
      <c r="EW6" s="33" t="s">
        <v>600</v>
      </c>
      <c r="EX6" s="33">
        <f>IF(EO2&gt;DT2,MAX(MIN(ROUND(DT2,2),ROUND(EG2,2)),EO2),MIN(ROUND(DT2,2),ROUND(EG2,2)))+ IF(EG2&lt;ROUND(DT2,2),ROUND(ES2,6),0)</f>
        <v>981.17</v>
      </c>
      <c r="EY6" s="33"/>
      <c r="EZ6" s="33" t="e">
        <f>ROUND(#REF!*#REF!,2)</f>
        <v>#REF!</v>
      </c>
      <c r="FA6" s="28"/>
      <c r="FB6" s="28" t="e">
        <f>IF(OR(AND(U2="M",,FQ2&gt;5000,NOT(ISBLANK(AG2)),OR(ISBLANK(AH2),AH2&gt;AG2),OR(#REF!="NRD",#REF!="EURD",#REF!="ERD")),AND(DE2="Y",OR(#REF!="R",#REF!="DORNSF",#REF!="DOR"))),ROUND(FA2*0.5,2),IF(OR(ISBLANK(AG2),AND(DG2&lt;&gt;"9",DG2&lt;&gt;"0"),AND(#REF!="XRD",#REF!="V"),AND(NOT(ISBLANK(AG2)),NOT(ISBLANK(AH2)),O2&lt;&gt;"Y",AH2&lt;=AG2),AND(NOT(ISBLANK(AG2)),NOT(ISBLANK(AI2)),O2="Y",AI2&lt;=AG2)),"NULL",IF(AND(AG2&gt;CV2,DF2="3"),IF(AND(DG2="9",DH2=0.5),ROUND(FM2*0.5,2),IF(DH2=0.75,ROUND(FN2*0.75,2),IF(DH2=1,FO2,ROUND(FP2*0.5,2)))),ROUND(FA2*DH2,2))))</f>
        <v>#REF!</v>
      </c>
      <c r="FC6" s="28" t="e">
        <f>IF(OR(#REF!="NRD",#REF!="DOR"),IF(FB2="NULL",IF(NOT(ISBLANK(AG2)),"ESTATE OF ","")&amp;UPPER(F2)&amp;" "&amp;UPPER(G2),IF(AND(#REF!="DOR",O2="Y"),IF(NOT(ISBLANK(AI2)),"ESTATE OF ","")&amp;UPPER(L2)&amp;" "&amp;UPPER(N2),IF(NOT(ISBLANK(AH2)),"ESTATE OF ","")&amp;UPPER(I2)&amp;" "&amp;UPPER(J2))),"NULL")</f>
        <v>#REF!</v>
      </c>
      <c r="FD6" s="6" t="e">
        <f>IF(OR(#REF!="XRD",#REF!="V"),"NULL","The benefits PBGC guarantees are limited by federal pension law to PBGC's maximum monthly amount that was in effect on the date of plan termination.  This amount is adjusted to reflect the participant's age and form of annuity.")</f>
        <v>#REF!</v>
      </c>
      <c r="FE6" s="6" t="e">
        <f>IF(OR(AND(#REF!="XRD",#REF!="V"),EZ2=0),"NULL","Under Section 4022(c) of ERISA, PBGC has allocated additional funds to non-guaranteed benefits based on PBGC's experience in recovering on claims against plan sponsors. PBGC has, therefore, increased your monthly benefit, as shown below.")</f>
        <v>#REF!</v>
      </c>
      <c r="FF6" s="210"/>
      <c r="FG6" s="210" t="s">
        <v>669</v>
      </c>
      <c r="FH6" s="210"/>
      <c r="FI6" s="210">
        <f>[1]!NPVF2("MP","SLA","N",PBGC_Option_Rates,"M",63,63,0,0,60,0,"AA20","AA20","P","","")/[1]!NPVF2("MP","SLA","N",PBGC_Option_Rates,"M",65,65,0,0,60,0,"AA20","AA20","P","","")</f>
        <v>1.0462642369431603</v>
      </c>
      <c r="FJ6" s="210"/>
      <c r="FK6" s="210"/>
      <c r="FL6" s="210"/>
      <c r="FM6" s="210"/>
      <c r="FN6" s="210"/>
      <c r="FO6" s="210"/>
      <c r="FP6" s="210"/>
      <c r="FQ6" s="28"/>
      <c r="FR6" s="28"/>
      <c r="FS6" s="6"/>
      <c r="FT6" s="6"/>
      <c r="FU6" s="6"/>
      <c r="FV6" s="3"/>
      <c r="FW6" s="6"/>
      <c r="FX6" s="6">
        <f>ROUND((ROUND(CH2,2)*ROUND(DM2,4)*ROUND(DP2,4)*ROUND(DR2,4)),2)</f>
        <v>981.17</v>
      </c>
      <c r="FY6" s="6"/>
      <c r="FZ6" s="6"/>
      <c r="GA6" s="6"/>
      <c r="GB6" s="6"/>
      <c r="GC6" s="6"/>
      <c r="GD6" s="6"/>
      <c r="GE6" s="6"/>
      <c r="GF6" s="6"/>
      <c r="GG6" s="6"/>
      <c r="GH6" s="6"/>
      <c r="GI6" s="6"/>
      <c r="GJ6" s="6"/>
      <c r="GK6" s="6"/>
      <c r="GL6" s="6"/>
      <c r="GM6" s="6"/>
      <c r="GN6" s="6"/>
      <c r="GO6" s="235" t="s">
        <v>485</v>
      </c>
      <c r="GP6" s="236"/>
      <c r="GQ6" s="6"/>
      <c r="GR6" s="6"/>
      <c r="GS6" s="6"/>
      <c r="GT6" s="6"/>
      <c r="GU6" s="6"/>
      <c r="GV6" s="6"/>
      <c r="GW6" s="6" t="s">
        <v>665</v>
      </c>
      <c r="GX6" s="6"/>
      <c r="GY6" s="6"/>
      <c r="GZ6" s="6"/>
      <c r="HA6" s="6" t="s">
        <v>662</v>
      </c>
      <c r="HC6" s="6"/>
      <c r="HD6" s="237">
        <f>IF(OR(DG2="2",DG2="5",DO2=0),1,IF(AD2&lt;DATE(2000,4,1),ROUND([1]!NPVF("MP","SLA","N",BFCF_Rates,"M",DN2,DN2,0,0,0,0,"GM71","GM71","P","","")/[1]!NPVF("MP","JSC","N",BFCF_Rates,"M",DN2,DN2,IF(ISBLANK(W2),DN2,DO2),0.5,0,0,"GM71","GM71","P","",""),4),IF(AD2&lt;DATE(2003,1,1),ROUND([1]!NPVF("MP","SLA","N",BFCF_Rates1,"M",DN2,DN2,0,0,0,0,"AA20","AA20","P","","")/[1]!NPVF("MP","JSC","N",BFCF_Rates1,"M",DN2,DN2,IF(ISBLANK(W2),DN2,DO2),0.5,0,0,"AA20","AA20","P","",""),4),IF(AD2&gt;=DATE(2003,1,1),ROUND([1]!NPVF("MP","SLA","N",BFCF_Rates1,"M",DN2,DN2,0,0,0,0,"GU94","GU94","P","","")/[1]!NPVF("MP","JSC","N",BFCF_Rates1,"M",DN2,DN2,IF(ISBLANK(W2),DN2,DO2),0.5,0,0,"GU94","GU94","P","",""),4)))))</f>
        <v>0.92620000000000002</v>
      </c>
      <c r="HE6" s="3"/>
      <c r="HF6" s="6"/>
      <c r="HG6" s="6">
        <f>ROUND([1]!NPVF2("MP",IF(DG2="9","JSC","SLA"),"O",DOPT,R2,CI2,CU2,IF(ISBLANK(W2),CU2,IF(CW2="NULL",0,CW2)),DH2,DI2,0,DOPT,DOPT,"P","",""),4)</f>
        <v>13.788600000000001</v>
      </c>
      <c r="HH6" s="3">
        <f ca="1">ROUND(12*IJ2*IF(II2="NULL",#REF!,II2),0)</f>
        <v>40086227520</v>
      </c>
      <c r="HI6" s="6"/>
      <c r="HJ6" s="6"/>
      <c r="HK6" s="6"/>
      <c r="HL6" s="6"/>
      <c r="HM6" s="6"/>
      <c r="HN6" s="6"/>
      <c r="HO6" s="6"/>
      <c r="HP6" s="6"/>
      <c r="HQ6" s="6"/>
      <c r="HR6" s="6"/>
      <c r="HS6" s="6"/>
      <c r="HT6" s="6">
        <f>ROUND([1]!NPVF2("MP","SLA","O",DOPT,IF(R2="M","F","M"),IF(ISBLANK(W2),CI2,CJ2),IF(ISBLANK(W2),CU2,CW2),0,0,0,0,DOPT,DOPT,"P","",""),4)</f>
        <v>12.5349</v>
      </c>
      <c r="HV6" s="241">
        <f ca="1">MAX([1]!NRD(TODAY(),0),CL2)</f>
        <v>45748</v>
      </c>
      <c r="HY6" s="46">
        <f ca="1">IF($AD2&lt;=DATE(2000,4,1),ROUND([1]!NPVF("MX","SLA","N",LRFB,"M",BA2,BA2,0,0,0,0,"GM71","GM71","P","","")/[1]!NPVF("MX","SLA","N",LRFB,"M",BA2,BA2+HX2/12,0,0,0,0,"GM71","GM71","P","",""),4),IF($AD2&lt;DATE(2003,1,1),ROUND([1]!NPVF("MX","SLA","N",LRF,"M",BA2,BA2,0,0,0,0,"AA20","AA20","P","","")/[1]!NPVF("MX","SLA","N",LRF,"M",BA2,BA2+HX2/12,0,0,0,0,"AA20","AA20","P","",""),4),IF($AD2&gt;=DATE(2003,1,1),ROUND([1]!NPVF("MX","SLA","N",LRF,"M",BA2,BA2,0,0,0,0,"GU94","GU94","P","","")/[1]!NPVF("MX","SLA","N",LRF,"M",BA2,BA2+HX2/12,0,0,0,0,"GU94","GU94","P","",""),4))))</f>
        <v>10.315200000000001</v>
      </c>
      <c r="IA6" s="8" t="s">
        <v>567</v>
      </c>
      <c r="IB6" s="46">
        <f ca="1">IF(U2="D",1,ROUND([1]!NPVF("MP","SLA","N",BFCF_Rates1,"M",HZ2,HZ2,IA2,0,0,0,"GU94","GU94","P","","")/[1]!NPVF("MP","JSC","N",BFCF_Rates1,"M",HZ2,HZ2,IA2,0.5,0,0,"GU94","GU94","P","",""),4))</f>
        <v>0.86070000000000002</v>
      </c>
      <c r="IF6" s="178">
        <f>IF(OR(D2="2",AND(AH2&gt;0,AH2&gt;DOPT,AH2&lt;IF2)),DATE(YEAR(MAX(DATE(YEAR(AH2)+1,1,1),IE2,AY2)),12,1),MAX(AY2,IF2))</f>
        <v>42461</v>
      </c>
      <c r="IG6" s="178">
        <f>IF(OR(D2="2",AND(AH2&gt;0,AH2&gt;DOPT,AH2&lt;IF2)),DATE(YEAR(MAX(DATE(YEAR(AH2)+1,1,1),IE2,AY2)),12,1),MAX(AY2,IF2))</f>
        <v>42461</v>
      </c>
      <c r="IH6" s="178"/>
      <c r="II6" s="46" t="s">
        <v>750</v>
      </c>
      <c r="IN6" s="46">
        <f ca="1">IF(Z2="NULL","NULL",[1]!anb(IF(NOT(ISBLANK($W2)),W2,Z2),II2))</f>
        <v>78</v>
      </c>
      <c r="IO6" s="46">
        <f ca="1">IF(U2="D",1,ROUND([1]!NPVF("MP","SLA","N",BFCF_Rates1,"M",IM2,IM2,IN2,0,0,0,"GU94","GU94","P","","")/[1]!NPVF("MP","JSC","N",BFCF_Rates1,"M",IM2,IM2,IN2,0.5,0,0,"GU94","GU94","P","",""),4))</f>
        <v>0.86070000000000002</v>
      </c>
      <c r="IZ6" s="46" t="str">
        <f>IF(OR(ISBLANK(IR2),ISBLANK(IU2)),"NULL",[1]!anb(Z2,IR2))</f>
        <v>NULL</v>
      </c>
      <c r="JA6" s="46" t="str">
        <f>IF(OR(ISBLANK(IR2),ISBLANK(IU2),IZ2="NULL"),"NULL",ROUND([1]!NPVF("MP","SLA","N",BFCF_Rates1,"M",IY2,IY2,IZ2,0,0,0,"GU94","GU94","P","","")/[1]!NPVF("MP","JSC","N",BFCF_Rates1,"M",IY2,IY2,IZ2,0.5,0,0,"GU94","GU94","P","",""),4))</f>
        <v>NULL</v>
      </c>
      <c r="JC6" s="46" t="str">
        <f>IF(OR(ISBLANK(IT2),ISBLANK(IW2)),"NULL",IF(IT2&gt;AZ2,MIN(180,[1]!COMPM(AZ2,IT2)),0))</f>
        <v>NULL</v>
      </c>
      <c r="JE6" s="46">
        <f>IF(AND(AD2&lt;DATE(2000,4,1),BB2=57),VLOOKUP(DQ2,LRFTABLE2,2,FALSE),IF(AND(AD2&lt;DATE(2003,1,1),BB2=57),VLOOKUP(DQ2,LRFTABLE3,2,FALSE),IF(AND(AD2&lt;DATE(2000,4,1),BB2=62.75),VLOOKUP(DQ2,LRFTABLE4,2,FALSE),IF(AND(AD2&lt;DATE(2000,4,1),BB2=57.3333),VLOOKUP(DQ2,LRFTABLE5,2,FALSE),1))))</f>
        <v>1</v>
      </c>
    </row>
    <row r="7" spans="1:16374" s="46" customFormat="1" x14ac:dyDescent="0.2">
      <c r="A7" s="1" t="s">
        <v>16</v>
      </c>
      <c r="B7" s="184" t="s">
        <v>429</v>
      </c>
      <c r="C7" s="6"/>
      <c r="D7" s="6"/>
      <c r="E7" s="6"/>
      <c r="F7" s="6"/>
      <c r="G7" s="6"/>
      <c r="H7" s="6"/>
      <c r="I7" s="6"/>
      <c r="J7" s="6"/>
      <c r="K7" s="6"/>
      <c r="L7" s="6"/>
      <c r="M7" s="6"/>
      <c r="N7" s="6"/>
      <c r="O7" s="6"/>
      <c r="P7" s="6"/>
      <c r="Q7" s="6"/>
      <c r="R7" s="6"/>
      <c r="S7" s="6"/>
      <c r="T7" s="6"/>
      <c r="U7" s="6"/>
      <c r="V7" s="6"/>
      <c r="W7" s="6"/>
      <c r="X7" s="6"/>
      <c r="Y7" s="6"/>
      <c r="Z7" s="6" t="e">
        <f>IF(AND(#REF!="XRD",#REF!="V"),IF(OR(U2="S",U2="D",U2="W"),"NULL",IF(NOT(ISBLANK(W2)),W2,DATE(YEAR(V2)+IF(R2="M",4,-4),MONTH(V2),DAY(V2)))),IF(AND(O2="Y",#REF!&lt;&gt;"NRD",#REF!&lt;&gt;"EURD",#REF!&lt;&gt;"ERD"),Y2,IF(ISBLANK(W2),"NULL",W2)))</f>
        <v>#REF!</v>
      </c>
      <c r="AA7" s="6"/>
      <c r="AB7" s="6"/>
      <c r="AC7" s="6"/>
      <c r="AD7" s="6"/>
      <c r="AE7" s="6"/>
      <c r="AF7" s="6"/>
      <c r="AG7" s="6"/>
      <c r="AH7" s="6"/>
      <c r="AI7" s="6"/>
      <c r="AJ7" s="6"/>
      <c r="AK7" s="6"/>
      <c r="AL7" s="6">
        <f>IF(IF(MONTH(AY2)&lt;MONTH(AB2),(MONTH(AY2)+12)-MONTH(AB2),MONTH(AY2)-MONTH(AB2))&lt;7,1,0)</f>
        <v>1</v>
      </c>
      <c r="AM7" s="6"/>
      <c r="AN7" s="74" t="s">
        <v>719</v>
      </c>
      <c r="AO7" s="74">
        <f>IF(AN2&lt;AO2,AO2,AN2)</f>
        <v>38443</v>
      </c>
      <c r="AP7" s="74"/>
      <c r="AQ7" s="74"/>
      <c r="AR7" s="6"/>
      <c r="AS7" s="6">
        <f>[1]!anb(V2,AO2)</f>
        <v>57</v>
      </c>
      <c r="AT7" s="6"/>
      <c r="AU7" s="74"/>
      <c r="AV7" s="74"/>
      <c r="AW7" s="74"/>
      <c r="AX7" s="74"/>
      <c r="AY7" s="74">
        <f>[1]!NRD(V2,BA2)</f>
        <v>38443</v>
      </c>
      <c r="AZ7" s="6"/>
      <c r="BA7" s="6"/>
      <c r="BB7" s="6"/>
      <c r="BC7" s="6">
        <f>DATE(YEAR(AY2),MONTH(AY2),DAY(AY2)-DATE(YEAR(AB2),MONTH(AB2),DAY(AB2)))</f>
        <v>7305</v>
      </c>
      <c r="BD7" s="6">
        <f>IF([1]!COMPAM(AB2,AU2)/12-ROUNDDOWN(([1]!COMPAM(AB2,AU2)/12),0)=0.5,[1]!SERVYPA(AB2,AU2,AB2,1000)-1,[1]!SERVYPA(AB2,AU2,AB2,1000))</f>
        <v>20</v>
      </c>
      <c r="BE7" s="6"/>
      <c r="BF7" s="6"/>
      <c r="BG7" s="6"/>
      <c r="BH7" s="6">
        <f>[1]!anb(AB2,AU2)</f>
        <v>20</v>
      </c>
      <c r="BI7" s="6"/>
      <c r="BJ7" s="6"/>
      <c r="BK7" s="6"/>
      <c r="BL7" s="6"/>
      <c r="BM7" s="6"/>
      <c r="BN7" s="6"/>
      <c r="BO7" s="6"/>
      <c r="BP7" s="6"/>
      <c r="BQ7" s="6"/>
      <c r="BR7" s="6"/>
      <c r="BS7" s="6"/>
      <c r="BT7" s="6"/>
      <c r="BU7" s="6"/>
      <c r="BV7" s="6"/>
      <c r="BW7" s="6">
        <f>ROUND(VLOOKUP(IF(AT2&gt;65,65,AT2),Bene_Amt,2,FALSE),2)</f>
        <v>1150</v>
      </c>
      <c r="BX7" s="6"/>
      <c r="BY7" s="6"/>
      <c r="BZ7" s="6"/>
      <c r="CA7" s="6"/>
      <c r="CB7" s="6"/>
      <c r="CC7" s="6">
        <f>IF([1]!ATT(V2,PC3_Date)&gt;=57,ROUND(VLOOKUP(IF([1]!ATT(V2,PC3_Date)&lt;57,57,[1]!ATT(V2,PC3_Date)),Bene_Amt,IF(BG2&lt;=25,2,IF(BG2&lt;30,3,IF(BG2&gt;=30,4))),FALSE)+((BR2-BQ2)/5)*IF(BG2&gt;=30,BG2-30,IF(BG2&gt;=25,BG2-25,IF(BG2&gt;=20,BG2-20))),2),0)</f>
        <v>2200</v>
      </c>
      <c r="CD7" s="6"/>
      <c r="CE7" s="6"/>
      <c r="CF7" s="74">
        <f>AE2-1</f>
        <v>36616</v>
      </c>
      <c r="CG7" s="6">
        <f>IF(AD2&lt;DATE(2001,1,1),VLOOKUP(CF2,Vesting_Table1,2),VLOOKUP(CF2,Vesting_Table,2))</f>
        <v>1</v>
      </c>
      <c r="CH7" s="6"/>
      <c r="CI7" s="6"/>
      <c r="CJ7" s="6"/>
      <c r="CK7" s="33"/>
      <c r="CL7" s="28" t="s">
        <v>476</v>
      </c>
      <c r="CM7" s="28">
        <f>IF(AY2&lt;DOPT,CI2,[1]!anb(V2,CL2))</f>
        <v>64</v>
      </c>
      <c r="CN7" s="232">
        <f>[1]!NRD(DOPT,0)</f>
        <v>40026</v>
      </c>
      <c r="CO7" s="232">
        <f>MAX([1]!NRD(V2,50),[1]!NRD(DOPT,0))</f>
        <v>40026</v>
      </c>
      <c r="CP7" s="28"/>
      <c r="CQ7" s="28"/>
      <c r="CR7" s="6" t="str">
        <f>[1]!BL(DOPT,V2,AD2,"N","Y","Y",B2,CM2,CH2)</f>
        <v>MED</v>
      </c>
      <c r="CS7" s="6"/>
      <c r="CT7" s="6"/>
      <c r="CU7" s="6">
        <f>CP2</f>
        <v>64</v>
      </c>
      <c r="CV7" s="6" t="s">
        <v>736</v>
      </c>
      <c r="CW7" s="6"/>
      <c r="CX7" s="6"/>
      <c r="CY7" s="6"/>
      <c r="CZ7" s="6"/>
      <c r="DA7" s="6"/>
      <c r="DB7" s="6"/>
      <c r="DC7" s="6"/>
      <c r="DD7" s="6"/>
      <c r="DE7" s="6"/>
      <c r="DF7" s="28"/>
      <c r="DG7" s="6"/>
      <c r="DH7" s="6"/>
      <c r="DI7" s="6"/>
      <c r="DJ7" s="6"/>
      <c r="DK7" s="6"/>
      <c r="DL7" s="6"/>
      <c r="DM7" s="3"/>
      <c r="DN7" s="3"/>
      <c r="DO7" s="3"/>
      <c r="DP7" s="234">
        <f>IF(AND(DG2="2",D2="1"),1,ROUND([1]!NPVF("MP","SLA","N",BFCF_Rates,"M",DN2,DN2,DO2,0,0,0,"GM71","GM71","P","","")/[1]!NPVF("MP","JSC","N",BFCF_Rates,"M",DN2,DN2,DO2,0.5,0,0,"GM71","GM71","P","",""),4))</f>
        <v>0.90610000000000002</v>
      </c>
      <c r="DQ7" s="3"/>
      <c r="DR7" s="234" t="s">
        <v>736</v>
      </c>
      <c r="DS7" s="3" t="s">
        <v>741</v>
      </c>
      <c r="DT7" s="3"/>
      <c r="DU7" s="234">
        <f>[1]!SERVYPA(AA2,MIN(AD2,PC3_Date),Plan_Date,1000)</f>
        <v>36</v>
      </c>
      <c r="DV7" s="234"/>
      <c r="DW7" s="234"/>
      <c r="DX7" s="234"/>
      <c r="DY7" s="234"/>
      <c r="DZ7" s="234" t="str">
        <f>IF(OR([1]!ATT(V2,PC3_Date)&gt;=57,AND(([1]!ATT(V2,PC3_Date)&gt;=50),DU2&gt;=20)),"Y","N")</f>
        <v>Y</v>
      </c>
      <c r="EA7" s="234" t="s">
        <v>736</v>
      </c>
      <c r="EB7" s="234"/>
      <c r="EC7" s="234">
        <f>IF(AD2&lt;DATE(2000,4,1),ROUND([1]!NPVF("MX","SLA","N",LRF,"M",65,65+EB2/12,0,0,0,0,"GM71","GM71","P","","")/[1]!NPVF("MX","SLA","N",LRF,"M",65,65,0,0,0,0,"GM71","GM71","P","",""),4),IF(AD2&lt;DATE(2003,1,1),ROUND([1]!NPVF("MX","SLA","N",LRF,"M",65,65+EB2/12,0,0,0,0,"AA20","AA20","N","","")/[1]!NPVF("MX","SLA","N",LRF,"M",65,65,DO2,0,0,0,"AA20","AA20","N","",""),4),IF(AD2&gt;=DATE(2003,1,1),ROUND([1]!NPVF("MX","SLA","N",LRF,"M",65,65+EB2/12,0,0,0,0,"GU94","GU94","N","","")/[1]!NPVF("MX","SLA","N",LRF,"M",65,65,0,0,0,0,"GU94","GU94","N","",""),4))))</f>
        <v>1</v>
      </c>
      <c r="ED7" s="234"/>
      <c r="EE7" s="234">
        <f>IF(AD2&lt;=DATE(2000,4,1),ROUND([1]!NPVF("MX","SLA","N",LRFB,"M",BA2,BA2,0,0,0,0,"GM71","GM71","P","","")/[1]!NPVF("MX","SLA","N",LRFB,"M",BA2,BA2+ED2/12,0,0,0,0,"GM71","GM71","P","",""),4),IF(AD2&lt;DATE(2003,1,1),ROUND([1]!NPVF("MX","SLA","N",LRF,"M",BA2,BA2,0,0,0,0,"AA20","AA20","P","","")/[1]!NPVF("MX","SLA","N",LRF,"M",BA2,BA2+ED2/12,0,0,0,0,"AA20","AA20","P","",""),4),IF(AD2&gt;=DATE(2003,1,1),ROUND([1]!NPVF("MX","SLA","N",LRF,"M",BA2,BA2,0,0,0,0,"GU94","GU94","P","","")/[1]!NPVF("MX","SLA","N",LRF,"M",BA2,BA2+ED2/12,0,0,0,0,"GU94","GU94","P","",""),4))))</f>
        <v>1.0872999999999999</v>
      </c>
      <c r="EF7" s="234"/>
      <c r="EG7" s="234"/>
      <c r="EH7" s="234"/>
      <c r="EI7" s="234"/>
      <c r="EJ7" s="3"/>
      <c r="EK7" s="234"/>
      <c r="EL7" s="234">
        <f>IF(DZ2="N",0,ROUND(EH2+EI2+EJ2+EP2+(EP2*ROUND(GB2,6)),0))</f>
        <v>234516</v>
      </c>
      <c r="EM7" s="234"/>
      <c r="EN7" s="234"/>
      <c r="EO7" s="234"/>
      <c r="EP7" s="234"/>
      <c r="EQ7" s="234"/>
      <c r="ER7" s="3"/>
      <c r="ES7" s="3"/>
      <c r="ET7" s="3"/>
      <c r="EU7" s="3"/>
      <c r="EV7" s="3"/>
      <c r="EW7" s="33"/>
      <c r="EX7" s="33"/>
      <c r="EY7" s="33"/>
      <c r="EZ7" s="33" t="s">
        <v>611</v>
      </c>
      <c r="FA7" s="28"/>
      <c r="FB7" s="28"/>
      <c r="FC7" s="28"/>
      <c r="FD7" s="6"/>
      <c r="FE7" s="6"/>
      <c r="FF7" s="210"/>
      <c r="FG7" s="210" t="str">
        <f>IF(OR(DF2="0",DF2="1",DF2="2",AND(NOT(ISBLANK(AG2)),AG2&lt;CV2,D2="1",FB2="NULL")),"NULL",IF(OR(D2="4",AND(NOT(ISBLANK(AG2)),AG2&lt;CV2)),IF(D2="1",FB2,FA2)*[1]!NPVF2("MP","SLA","N",PBGC_Option_Rates,"M",DO2,DO2,0,0,0,0,"AA20","AA20","P","","")*12,IF(OR(DG2="2",DG2="5"),FA2*[1]!NPVF2("MP","SLA","N",PBGC_Option_Rates,"M",DN2,DN2,0,0,IF(#REF!="DORNSF",DI2,DC2),0,"AA20","AA20","P","","")*12,"NULL")))</f>
        <v>NULL</v>
      </c>
      <c r="FH7" s="210"/>
      <c r="FI7" s="210"/>
      <c r="FJ7" s="210"/>
      <c r="FK7" s="210"/>
      <c r="FL7" s="210"/>
      <c r="FM7" s="210"/>
      <c r="FN7" s="210"/>
      <c r="FO7" s="210"/>
      <c r="FP7" s="210"/>
      <c r="FQ7" s="28"/>
      <c r="FR7" s="28"/>
      <c r="FS7" s="6"/>
      <c r="FT7" s="6"/>
      <c r="FU7" s="6"/>
      <c r="FV7" s="3"/>
      <c r="FW7" s="6"/>
      <c r="FX7" s="6"/>
      <c r="FY7" s="6"/>
      <c r="FZ7" s="6"/>
      <c r="GA7" s="6"/>
      <c r="GB7" s="6"/>
      <c r="GC7" s="6"/>
      <c r="GD7" s="6"/>
      <c r="GE7" s="6"/>
      <c r="GF7" s="6"/>
      <c r="GG7" s="6"/>
      <c r="GH7" s="6"/>
      <c r="GI7" s="6"/>
      <c r="GJ7" s="6"/>
      <c r="GK7" s="6"/>
      <c r="GL7" s="6"/>
      <c r="GM7" s="6"/>
      <c r="GN7" s="6"/>
      <c r="GO7" s="6"/>
      <c r="GP7" s="6"/>
      <c r="GQ7" s="6"/>
      <c r="GR7" s="6"/>
      <c r="GS7" s="6"/>
      <c r="GT7" s="6"/>
      <c r="GU7" s="6"/>
      <c r="GV7" s="6"/>
      <c r="GW7" s="6" t="s">
        <v>666</v>
      </c>
      <c r="GX7" s="6"/>
      <c r="GY7" s="6"/>
      <c r="GZ7" s="6"/>
      <c r="HA7" s="6" t="s">
        <v>663</v>
      </c>
      <c r="HC7" s="6"/>
      <c r="HD7" s="6">
        <f>IF(OR(GL2="2",GL2="5"),1,IF(GV2=0,1,ROUND([1]!NPVF("MP","SLA","N",BFCF_Rates,"M",GQ2,GQ2,0,0,0,0,"GM71","GM71","P","","")/[1]!NPVF("MP","JSC","N",BFCF_Rates,"M",GQ2,GQ2,IF(ISBLANK(N2),GQ2,GR2),0.5,0,0,"GM71","GM71","P","",""),4)))</f>
        <v>0.99639999999999995</v>
      </c>
      <c r="HE7" s="6"/>
      <c r="HF7" s="6"/>
      <c r="HG7" s="3"/>
      <c r="HH7" s="3"/>
      <c r="HI7" s="6"/>
      <c r="HJ7" s="6"/>
      <c r="HK7" s="6"/>
      <c r="HL7" s="6" t="e">
        <f>ROUND(#REF!*IF(D2="1",FS2,FU2),0)</f>
        <v>#REF!</v>
      </c>
      <c r="HM7" s="6"/>
      <c r="HN7" s="6"/>
      <c r="HO7" s="6"/>
      <c r="HP7" s="6"/>
      <c r="HQ7" s="6"/>
      <c r="HR7" s="6"/>
      <c r="HS7" s="6"/>
      <c r="HT7" s="6">
        <f>IF(OR(CI2=CU2,DG2="5"),0,ROUND((1-[1]!lx(IF(R2="M","AA20","GM83M6"),R2,CU2)/[1]!lx(IF(R2="M","AA20","GM83M6"),R2,CI2))*[1]!NPVF2("MP","SLA","N",DOPT,IF(R2="M","F","M"),CJ2,CW2,0,0,0,0,DOPT,DOPT,"N","","","0"),4))</f>
        <v>0</v>
      </c>
      <c r="HU7" s="6"/>
      <c r="HV7" s="6"/>
      <c r="HX7" s="46">
        <f>IF(AND(AD2&lt;DATE(2000,4,1),BB2=57),VLOOKUP(DQ2,LRFTABLE2,2,FALSE),IF(AND(AD2&lt;DATE(2003,1,1),BB2=57),VLOOKUP(DQ2,LRFTABLE3,2,FALSE),IF(AND(AD2&lt;DATE(2000,4,1),BB2=62.75),VLOOKUP(DQ2,LRFTABLE4,2,FALSE),IF(AND(AD2&lt;DATE(2000,4,1),BB2=57.3333),VLOOKUP(DQ2,LRFTABLE5,2,FALSE),1))))</f>
        <v>1</v>
      </c>
      <c r="HY7" s="46" t="s">
        <v>736</v>
      </c>
      <c r="IU7" s="46" t="str">
        <f>IF(OR(U2="S",U2="W",U2="D",D2="2"),"2","9")</f>
        <v>9</v>
      </c>
    </row>
    <row r="8" spans="1:16374" s="46" customFormat="1" ht="15" x14ac:dyDescent="0.2">
      <c r="A8" s="1" t="s">
        <v>11</v>
      </c>
      <c r="B8" s="10">
        <v>40026</v>
      </c>
      <c r="C8" s="6"/>
      <c r="D8" s="6"/>
      <c r="E8" s="325"/>
      <c r="F8" s="6"/>
      <c r="G8" s="6"/>
      <c r="H8" s="6"/>
      <c r="I8" s="6"/>
      <c r="J8" s="6"/>
      <c r="K8" s="6"/>
      <c r="L8" s="6"/>
      <c r="M8" s="6"/>
      <c r="N8" s="6"/>
      <c r="O8" s="6"/>
      <c r="P8" s="6"/>
      <c r="Q8" s="6"/>
      <c r="R8" s="8"/>
      <c r="S8" s="8"/>
      <c r="T8" s="8"/>
      <c r="U8" s="8"/>
      <c r="V8" s="8"/>
      <c r="W8" s="8"/>
      <c r="X8" s="8"/>
      <c r="Y8" s="8"/>
      <c r="Z8" s="8"/>
      <c r="AA8" s="8"/>
      <c r="AB8" s="6"/>
      <c r="AC8" s="6"/>
      <c r="AD8" s="6"/>
      <c r="AE8" s="6"/>
      <c r="AF8" s="6"/>
      <c r="AG8" s="6"/>
      <c r="AH8" s="6"/>
      <c r="AI8" s="6"/>
      <c r="AJ8" s="6"/>
      <c r="AK8" s="6"/>
      <c r="AL8" s="6"/>
      <c r="AM8" s="6"/>
      <c r="AN8" s="170">
        <f>[1]!NRD(DATE(YEAR(AA2)+20,MONTH(AA2),DAY(AA2)),0)</f>
        <v>32752</v>
      </c>
      <c r="AO8" s="6"/>
      <c r="AP8" s="6"/>
      <c r="AQ8" s="6"/>
      <c r="AR8" s="6"/>
      <c r="AS8" s="6"/>
      <c r="AT8" s="74"/>
      <c r="AU8" s="6"/>
      <c r="AV8" s="6"/>
      <c r="AW8" s="6"/>
      <c r="AX8" s="6"/>
      <c r="AY8" s="6"/>
      <c r="AZ8" s="6"/>
      <c r="BA8" s="6"/>
      <c r="BB8" s="6"/>
      <c r="BC8" s="6">
        <f>YEAR(AY2)-YEAR(AB2)</f>
        <v>20</v>
      </c>
      <c r="BD8" s="6"/>
      <c r="BE8" s="6"/>
      <c r="BF8" s="6"/>
      <c r="BG8" s="6"/>
      <c r="BH8" s="6"/>
      <c r="BI8" s="6"/>
      <c r="BJ8" s="6"/>
      <c r="BK8" s="6"/>
      <c r="BL8" s="6"/>
      <c r="BM8" s="6"/>
      <c r="BN8" s="6"/>
      <c r="BO8" s="6"/>
      <c r="BP8" s="6"/>
      <c r="BQ8" s="6"/>
      <c r="BR8" s="6"/>
      <c r="BS8" s="6"/>
      <c r="BT8" s="6"/>
      <c r="BU8" s="6"/>
      <c r="BV8" s="6"/>
      <c r="BW8" s="6"/>
      <c r="BX8" s="6"/>
      <c r="BY8" s="6"/>
      <c r="BZ8" s="6"/>
      <c r="CA8" s="6"/>
      <c r="CB8" s="6"/>
      <c r="CC8" s="6"/>
      <c r="CD8" s="6">
        <f>IF(BA2-3&lt;57,0,ROUND((VLOOKUP(BA2-3,Bene_Amt,2,FALSE)*BK2),2))</f>
        <v>656.25</v>
      </c>
      <c r="CE8" s="6"/>
      <c r="CF8" s="8"/>
      <c r="CG8" s="8"/>
      <c r="CH8" s="6"/>
      <c r="CI8" s="8"/>
      <c r="CJ8" s="8"/>
      <c r="CK8" s="28"/>
      <c r="CL8" s="27"/>
      <c r="CM8" s="209">
        <f>IF(AU2&lt;DOPT,CI2,AT2)</f>
        <v>64</v>
      </c>
      <c r="CN8" s="27"/>
      <c r="CO8" s="232">
        <f>MAX([1]!NRD(V2,50),[1]!NRD(DOPT,0))</f>
        <v>40026</v>
      </c>
      <c r="CP8" s="27">
        <f>[1]!anb(V2,CO2)</f>
        <v>64</v>
      </c>
      <c r="CQ8" s="27"/>
      <c r="CR8" s="6"/>
      <c r="CS8" s="6"/>
      <c r="CT8" s="6"/>
      <c r="CU8" s="8"/>
      <c r="CV8" s="8">
        <f>IF(CU2=CI2,CO2,[1]!XRD(B2,DOPT,CO2,CU2,V2))</f>
        <v>40026</v>
      </c>
      <c r="CW8" s="8"/>
      <c r="CX8" s="8"/>
      <c r="CY8" s="6"/>
      <c r="CZ8" s="6"/>
      <c r="DA8" s="8"/>
      <c r="DB8" s="8"/>
      <c r="DC8" s="8"/>
      <c r="DD8" s="8"/>
      <c r="DE8" s="8"/>
      <c r="DF8" s="27"/>
      <c r="DG8" s="8"/>
      <c r="DH8" s="8"/>
      <c r="DI8" s="8"/>
      <c r="DJ8" s="8"/>
      <c r="DK8" s="8"/>
      <c r="DL8" s="8"/>
      <c r="DM8" s="11" t="e">
        <f>ROUND([1]!NPVF("MX","SLA","N",#REF!,"M",62,63.5,0,0,0,0,"GM71","GM71","P","","")/[1]!NPVF("MX","SLA","N",#REF!,"M",62,62,0,0,0,0,"GM71","GM71","P","",""),4)</f>
        <v>#VALUE!</v>
      </c>
      <c r="DN8" s="11"/>
      <c r="DO8" s="11"/>
      <c r="DP8" s="11"/>
      <c r="DQ8" s="11"/>
      <c r="DR8" s="11">
        <f>IF(AD2&lt;=DATE(2000,4,1),ROUND([1]!NPVF("MX","SLA","N",LRFB,"M",BA2,BA2,0,0,0,0,"GM71","GM71","P","","")/[1]!NPVF("MX","SLA","N",LRFB,"M",BA2,BA2+DQ2/12,0,0,0,0,"GM71","GM71","P","",""),4),IF(AD2&lt;DATE(2003,1,1),ROUND([1]!NPVF("MX","SLA","N",LRF,"M",BA2,BA2,0,0,0,0,"AA20","AA20","P","","")/[1]!NPVF("MX","SLA","N",LRF,"M",BA2,BA2+DQ2/12,0,0,0,0,"AA20","AA20","P","",""),4),IF(AD2&gt;=DATE(2003,1,1),ROUND([1]!NPVF("MX","SLA","N",LRF,"M",BA2,BA2,0,0,0,0,"GU94","GU94","P","","")/[1]!NPVF("MX","SLA","N",LRF,"M",BA2,BA2+DQ2/12,0,0,0,0,"GU94","GU94","P","",""),4))))</f>
        <v>1.5049999999999999</v>
      </c>
      <c r="DS8" s="11">
        <f>ROUND((ROUND(CH2,2)*ROUND(DM2,4)*ROUND(DP2,4)*ROUND(DR2,4)*IF(D2="2",0.5,1)),2)</f>
        <v>981.17</v>
      </c>
      <c r="DT8" s="11"/>
      <c r="DU8" s="11" t="s">
        <v>577</v>
      </c>
      <c r="DV8" s="11" t="s">
        <v>578</v>
      </c>
      <c r="DW8" s="11"/>
      <c r="DX8" s="11"/>
      <c r="DY8" s="11"/>
      <c r="DZ8" s="11" t="str">
        <f>IF(AND(([1]!ATT(V2,PC3_Date)&gt;=50),DU2&gt;=20),"Y","N")</f>
        <v>Y</v>
      </c>
      <c r="EA8" s="11">
        <f>IF(DZ2="N","NULL",IF(OR(U2="S",U2="W"),1,IF(AD2&lt;DATE(2000,4,1),ROUND([1]!NPVF("MP","SLA","N",BFCF_Rates,"M",DX2,DX2,DY2,0,0,0,"GM71","GM71","P","","")/[1]!NPVF("MP","JSC","N",BFCF_Rates,"M",DX2,DX2,DY2,0.5,0,0,"GM71","GM71","P","",""),4),IF(AD2&lt;DATE(2003,1,1),ROUND([1]!NPVF("MP","SLA","N",BFCF_Rates1,"M",DX2,DX2,DY2,0,0,0,"AA20","AA20","P","","")/[1]!NPVF("MP","JSC","N",BFCF_Rates1,"M",DX2,DX2,DY2,0.5,0,0,"AA20","AA20","P","",""),4),IF(AD2&gt;=DATE(2003,1,1),ROUND([1]!NPVF("MP","SLA","N",BFCF_Rates1,"M",DX2,DX2,DY2,0,0,0,"GU94","GU94","P","","")/[1]!NPVF("MP","JSC","N",BFCF_Rates1,"M",DX2,DX2,DY2,0.5,0,0,"GU94","GU94","P","",""),4))))))</f>
        <v>0.93230000000000002</v>
      </c>
      <c r="EB8" s="11"/>
      <c r="EC8" s="11"/>
      <c r="ED8" s="11"/>
      <c r="EE8" s="11">
        <f>IF(AND(AD2&lt;DATE(2000,4,1),BB2=57),VLOOKUP(DQ2,LRFTABLE2,2,FALSE),IF(AND(AD2&lt;DATE(2003,1,1),BB2=57),VLOOKUP(DQ2,LRFTABLE3,2,FALSE),IF(AND(AD2&lt;DATE(2000,4,1),BB2=62.75),VLOOKUP(DQ2,LRFTABLE4,2,FALSE),IF(AND(AD2&lt;DATE(2000,4,1),BB2=57.3333),VLOOKUP(DQ2,LRFTABLE5,2,FALSE),1))))</f>
        <v>1</v>
      </c>
      <c r="EF8" s="11"/>
      <c r="EG8" s="11"/>
      <c r="EH8" s="11"/>
      <c r="EI8" s="11"/>
      <c r="EJ8" s="11"/>
      <c r="EK8" s="11"/>
      <c r="EL8" s="11"/>
      <c r="EM8" s="11"/>
      <c r="EN8" s="11"/>
      <c r="EO8" s="11"/>
      <c r="EP8" s="11"/>
      <c r="EQ8" s="11"/>
      <c r="ER8" s="11"/>
      <c r="ES8" s="11"/>
      <c r="ET8" s="11"/>
      <c r="EU8" s="11"/>
      <c r="EV8" s="11"/>
      <c r="EW8" s="28"/>
      <c r="EX8" s="28"/>
      <c r="EY8" s="28"/>
      <c r="EZ8" s="302">
        <f>GI2</f>
        <v>0</v>
      </c>
      <c r="FA8" s="27"/>
      <c r="FB8" s="27"/>
      <c r="FC8" s="27"/>
      <c r="FD8" s="8"/>
      <c r="FE8" s="8"/>
      <c r="FF8" s="209"/>
      <c r="FG8" s="209"/>
      <c r="FH8" s="209"/>
      <c r="FI8" s="209"/>
      <c r="FJ8" s="209"/>
      <c r="FK8" s="209"/>
      <c r="FL8" s="209"/>
      <c r="FM8" s="209"/>
      <c r="FN8" s="209"/>
      <c r="FO8" s="209"/>
      <c r="FP8" s="209"/>
      <c r="FQ8" s="27"/>
      <c r="FR8" s="27"/>
      <c r="FS8" s="8"/>
      <c r="FT8" s="8"/>
      <c r="FU8" s="8"/>
      <c r="FV8" s="11"/>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t="s">
        <v>664</v>
      </c>
      <c r="HC8" s="6"/>
      <c r="HD8" s="8">
        <f>IF(OR(DG2="2",DG2="5",DO2=0),1,ROUND([1]!NPVF("MP","SLA","N",BFCF_Rates1,"M",DN2,DN2,0,0,0,0,"GU94","GU94","P","","")/[1]!NPVF("MP","JSC","N",BFCF_Rates1,"M",DN2,DN2,IF(ISBLANK(W2),DN2,DO2),0.5,0,0,"GU94","GU94","P","",""),4))</f>
        <v>0.92620000000000002</v>
      </c>
      <c r="HE8" s="8"/>
      <c r="HF8" s="6"/>
      <c r="HG8" s="11"/>
      <c r="HH8" s="11"/>
      <c r="HI8" s="8"/>
      <c r="HJ8" s="8"/>
      <c r="HK8" s="8"/>
      <c r="HL8" s="8"/>
      <c r="HM8" s="8"/>
      <c r="HN8" s="8"/>
      <c r="HO8" s="8"/>
      <c r="HP8" s="8"/>
      <c r="HQ8" s="8"/>
      <c r="HR8" s="8"/>
      <c r="HS8" s="8"/>
      <c r="HT8" s="8"/>
      <c r="HU8" s="8"/>
      <c r="HV8" s="8"/>
      <c r="HY8" s="46">
        <f ca="1">IF($AD2&lt;=DATE(2000,4,1),ROUND([1]!NPVF("MX","SLA","N",LRFB,"M",BA2,BA2,0,0,0,0,"GM71","GM71","P","","")/[1]!NPVF("MX","SLA","N",LRFB,"M",BA2,BA2+HX2/12,0,0,0,0,"GM71","GM71","P","",""),4),IF($AD2&lt;DATE(2003,1,1),ROUND([1]!NPVF("MX","SLA","N",LRF,"M",BA2,BA2,0,0,0,0,"AA20","AA20","P","","")/[1]!NPVF("MX","SLA","N",LRF,"M",BA2,BA2+HX2/12,0,0,0,0,"AA20","AA20","P","",""),4),IF($AD2&gt;=DATE(2003,1,1),ROUND([1]!NPVF("MX","SLA","N",LRF,"M",BA2,BA2,0,0,0,0,"GU94","GU94","P","","")/[1]!NPVF("MX","SLA","N",LRF,"M",BA2,BA2+HX2/12,0,0,0,0,"GU94","GU94","P","",""),4))))</f>
        <v>10.315200000000001</v>
      </c>
      <c r="IG8" s="178">
        <f>IF(AND(D2="1",AI2&gt;0,AI2&gt;DOPT,AI2&lt;IG2),DATE(YEAR(MAX(DATE(YEAR(AI2),1,1),IF2,AZ2)),12,1),IF(OR(D2="2",AND(AI2&gt;0,AI2&gt;DOPT,AI2&lt;IG2)),DATE(YEAR(MAX(DATE(YEAR(AI2)+1,1,1),IF2,AZ2)),12,1),MAX(AZ2,IG2)))</f>
        <v>42461</v>
      </c>
      <c r="IH8" s="178"/>
    </row>
    <row r="9" spans="1:16374" s="46" customFormat="1" ht="15.75" thickBot="1" x14ac:dyDescent="0.25">
      <c r="A9" s="1"/>
      <c r="B9" s="10"/>
      <c r="C9" s="6"/>
      <c r="D9" s="6"/>
      <c r="E9" s="325"/>
      <c r="F9" s="6"/>
      <c r="G9" s="6"/>
      <c r="H9" s="6"/>
      <c r="I9" s="6"/>
      <c r="J9" s="6"/>
      <c r="K9" s="6"/>
      <c r="L9" s="6"/>
      <c r="M9" s="6"/>
      <c r="N9" s="6"/>
      <c r="O9" s="6"/>
      <c r="P9" s="6"/>
      <c r="Q9" s="6"/>
      <c r="R9" s="8"/>
      <c r="S9" s="8"/>
      <c r="T9" s="8"/>
      <c r="U9" s="8"/>
      <c r="V9" s="8"/>
      <c r="W9" s="8"/>
      <c r="X9" s="8"/>
      <c r="Y9" s="8"/>
      <c r="Z9" s="8"/>
      <c r="AA9" s="8"/>
      <c r="AB9" s="6"/>
      <c r="AC9" s="6"/>
      <c r="AD9" s="6"/>
      <c r="AE9" s="6"/>
      <c r="AF9" s="6"/>
      <c r="AG9" s="6"/>
      <c r="AH9" s="6"/>
      <c r="AI9" s="6"/>
      <c r="AJ9" s="6"/>
      <c r="AK9" s="6"/>
      <c r="AL9" s="6"/>
      <c r="AM9" s="6"/>
      <c r="AN9" s="6"/>
      <c r="AO9" s="6"/>
      <c r="AP9" s="6"/>
      <c r="AQ9" s="6"/>
      <c r="AR9" s="6"/>
      <c r="AS9" s="6"/>
      <c r="AT9" s="6">
        <f>IF(AR2&lt;58,58,[1]!ATT(V2,AN2))</f>
        <v>60</v>
      </c>
      <c r="AU9" s="6"/>
      <c r="AV9" s="6"/>
      <c r="AW9" s="6"/>
      <c r="AX9" s="6"/>
      <c r="AY9" s="6"/>
      <c r="AZ9" s="6"/>
      <c r="BA9" s="6"/>
      <c r="BB9" s="6"/>
      <c r="BC9" s="6"/>
      <c r="BD9" s="6"/>
      <c r="BE9" s="6"/>
      <c r="BF9" s="6"/>
      <c r="BG9" s="6"/>
      <c r="BH9" s="249"/>
      <c r="BI9" s="6"/>
      <c r="BJ9" s="6"/>
      <c r="BK9" s="6"/>
      <c r="BL9" s="6"/>
      <c r="BM9" s="6"/>
      <c r="BN9" s="6"/>
      <c r="BO9" s="6"/>
      <c r="BP9" s="6"/>
      <c r="BQ9" s="6"/>
      <c r="BR9" s="6"/>
      <c r="BS9" s="6"/>
      <c r="BT9" s="6"/>
      <c r="BU9" s="6"/>
      <c r="BV9" s="6"/>
      <c r="BW9" s="6"/>
      <c r="BX9" s="6"/>
      <c r="BY9" s="6"/>
      <c r="BZ9" s="6"/>
      <c r="CA9" s="6"/>
      <c r="CB9" s="6"/>
      <c r="CC9" s="6"/>
      <c r="CD9" s="6"/>
      <c r="CE9" s="6"/>
      <c r="CF9" s="8"/>
      <c r="CG9" s="8"/>
      <c r="CH9" s="6"/>
      <c r="CI9" s="8"/>
      <c r="CJ9" s="8"/>
      <c r="CK9" s="28"/>
      <c r="CL9" s="27"/>
      <c r="CM9" s="209"/>
      <c r="CN9" s="27"/>
      <c r="CO9" s="27"/>
      <c r="CP9" s="27"/>
      <c r="CQ9" s="27"/>
      <c r="CR9" s="6"/>
      <c r="CS9" s="6"/>
      <c r="CT9" s="6"/>
      <c r="CU9" s="8"/>
      <c r="CV9" s="8"/>
      <c r="CW9" s="8"/>
      <c r="CX9" s="8"/>
      <c r="CY9" s="6"/>
      <c r="CZ9" s="6"/>
      <c r="DA9" s="8"/>
      <c r="DB9" s="8"/>
      <c r="DC9" s="8"/>
      <c r="DD9" s="8"/>
      <c r="DE9" s="8"/>
      <c r="DF9" s="27"/>
      <c r="DG9" s="8"/>
      <c r="DH9" s="8"/>
      <c r="DI9" s="8"/>
      <c r="DJ9" s="8"/>
      <c r="DK9" s="8"/>
      <c r="DL9" s="8"/>
      <c r="DM9" s="11"/>
      <c r="DN9" s="11"/>
      <c r="DO9" s="11"/>
      <c r="DP9" s="11"/>
      <c r="DQ9" s="11"/>
      <c r="DR9" s="11"/>
      <c r="DS9" s="11">
        <f>ROUND(ROUND((ROUND(CH2,2)*ROUND(DM2,4)*ROUND(DP2,4)*ROUND(DR2,4)),2)*IF(D2="2",0.5,1),2)</f>
        <v>981.17</v>
      </c>
      <c r="DT9" s="11"/>
      <c r="DU9" s="11"/>
      <c r="DV9" s="11"/>
      <c r="DW9" s="11"/>
      <c r="DX9" s="11"/>
      <c r="DY9" s="11"/>
      <c r="DZ9" s="11"/>
      <c r="EA9" s="11">
        <f>IF(DZ2="N","NULL",IF(OR(U2="S",U2="W"),1,ROUND([1]!NPVF("MP","SLA","N",BFCF_Rates1,"M",DX2,DX2,DY2,0,0,0,"GU94","GU94","P","","")/[1]!NPVF("MP","JSC","N",BFCF_Rates1,"M",DX2,DX2,DY2,0.5,0,0,"GU94","GU94","P","",""),4)))</f>
        <v>0.93230000000000002</v>
      </c>
      <c r="EB9" s="11"/>
      <c r="EC9" s="11"/>
      <c r="ED9" s="11"/>
      <c r="EE9" s="11"/>
      <c r="EF9" s="11"/>
      <c r="EG9" s="11"/>
      <c r="EH9" s="11"/>
      <c r="EI9" s="11"/>
      <c r="EJ9" s="11"/>
      <c r="EK9" s="11"/>
      <c r="EL9" s="11"/>
      <c r="EM9" s="11"/>
      <c r="EN9" s="11"/>
      <c r="EO9" s="11"/>
      <c r="EP9" s="11"/>
      <c r="EQ9" s="11"/>
      <c r="ER9" s="11"/>
      <c r="ES9" s="11"/>
      <c r="ET9" s="11"/>
      <c r="EU9" s="11"/>
      <c r="EV9" s="11"/>
      <c r="EW9" s="28"/>
      <c r="EX9" s="28"/>
      <c r="EY9" s="28"/>
      <c r="EZ9" s="302"/>
      <c r="FA9" s="27"/>
      <c r="FB9" s="27"/>
      <c r="FC9" s="27"/>
      <c r="FD9" s="8"/>
      <c r="FE9" s="8"/>
      <c r="FF9" s="209"/>
      <c r="FG9" s="209"/>
      <c r="FH9" s="209"/>
      <c r="FI9" s="209"/>
      <c r="FJ9" s="209"/>
      <c r="FK9" s="209"/>
      <c r="FL9" s="209"/>
      <c r="FM9" s="209"/>
      <c r="FN9" s="209"/>
      <c r="FO9" s="209"/>
      <c r="FP9" s="209"/>
      <c r="FQ9" s="27"/>
      <c r="FR9" s="27"/>
      <c r="FS9" s="8"/>
      <c r="FT9" s="8"/>
      <c r="FU9" s="8"/>
      <c r="FV9" s="11"/>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C9" s="6"/>
      <c r="HD9" s="8"/>
      <c r="HE9" s="8"/>
      <c r="HF9" s="6"/>
      <c r="HG9" s="11"/>
      <c r="HH9" s="11"/>
      <c r="HI9" s="8"/>
      <c r="HJ9" s="8"/>
      <c r="HK9" s="8"/>
      <c r="HL9" s="8"/>
      <c r="HM9" s="8"/>
      <c r="HN9" s="8"/>
      <c r="HO9" s="8"/>
      <c r="HP9" s="8"/>
      <c r="HQ9" s="8"/>
      <c r="HR9" s="8"/>
      <c r="HS9" s="8"/>
      <c r="HT9" s="8"/>
      <c r="HU9" s="8"/>
      <c r="HV9" s="8"/>
    </row>
    <row r="10" spans="1:16374" s="46" customFormat="1" ht="13.5" thickTop="1" x14ac:dyDescent="0.2">
      <c r="A10" s="12"/>
      <c r="B10" s="288"/>
      <c r="C10" s="288"/>
      <c r="D10" s="289"/>
      <c r="E10" s="289"/>
      <c r="F10" s="249"/>
      <c r="G10" s="249"/>
      <c r="H10" s="249"/>
      <c r="I10" s="249"/>
      <c r="J10" s="249"/>
      <c r="K10" s="249"/>
      <c r="L10" s="249"/>
      <c r="M10" s="6"/>
      <c r="N10" s="249"/>
      <c r="O10" s="249"/>
      <c r="P10" s="6"/>
      <c r="Q10" s="249"/>
      <c r="R10" s="249"/>
      <c r="S10" s="249"/>
      <c r="T10" s="249"/>
      <c r="U10" s="249"/>
      <c r="V10" s="249"/>
      <c r="W10" s="249"/>
      <c r="X10" s="249"/>
      <c r="Y10" s="249"/>
      <c r="Z10" s="249"/>
      <c r="AA10" s="249"/>
      <c r="AB10" s="249"/>
      <c r="AC10" s="249"/>
      <c r="AD10" s="249"/>
      <c r="AE10" s="249"/>
      <c r="AF10" s="249"/>
      <c r="AG10" s="249"/>
      <c r="AH10" s="249"/>
      <c r="AI10" s="249"/>
      <c r="AJ10" s="249"/>
      <c r="AK10" s="249"/>
      <c r="AL10" s="249"/>
      <c r="AM10" s="249"/>
      <c r="AN10" s="249"/>
      <c r="AO10" s="249"/>
      <c r="AP10" s="249"/>
      <c r="AT10" s="46">
        <f>IF(AR2&lt;58,58,IF(AO2&lt;AN2,(YEAR(AN2)-YEAR(V2)),[1]!ATT(V2,AN2)))</f>
        <v>60</v>
      </c>
      <c r="AY10" s="249"/>
      <c r="AZ10" s="143"/>
      <c r="BA10" s="249"/>
      <c r="BB10" s="249"/>
      <c r="BC10" s="249"/>
      <c r="BD10" s="249"/>
      <c r="BE10" s="249"/>
      <c r="BF10" s="249"/>
      <c r="BG10" s="249"/>
      <c r="BI10" s="249"/>
      <c r="BJ10" s="249"/>
      <c r="BK10" s="249"/>
      <c r="BL10" s="249"/>
      <c r="BM10" s="249"/>
      <c r="BN10" s="249"/>
      <c r="BO10" s="6"/>
      <c r="BP10" s="6"/>
      <c r="BQ10" s="6"/>
      <c r="BR10" s="6"/>
      <c r="BS10" s="6"/>
      <c r="BT10" s="6"/>
      <c r="BU10" s="6"/>
      <c r="BV10" s="6"/>
      <c r="BW10" s="143"/>
      <c r="BX10" s="6"/>
      <c r="BY10" s="249"/>
      <c r="BZ10" s="249"/>
      <c r="CA10" s="249"/>
      <c r="CB10" s="249"/>
      <c r="CC10" s="249"/>
      <c r="CD10" s="249"/>
      <c r="CE10" s="249"/>
      <c r="CF10" s="247"/>
      <c r="CG10" s="247"/>
      <c r="CH10" s="247"/>
      <c r="CI10" s="249"/>
      <c r="CJ10" s="249"/>
      <c r="CK10" s="247"/>
      <c r="CL10" s="247"/>
      <c r="CM10" s="247"/>
      <c r="CN10" s="247"/>
      <c r="CO10" s="247"/>
      <c r="CP10" s="247"/>
      <c r="CQ10" s="247"/>
      <c r="CR10" s="247"/>
      <c r="CS10" s="247"/>
      <c r="CT10" s="247"/>
      <c r="CU10" s="247"/>
      <c r="CV10" s="247"/>
      <c r="CW10" s="247"/>
      <c r="CX10" s="8"/>
      <c r="CY10" s="247"/>
      <c r="CZ10" s="247"/>
      <c r="DA10" s="247"/>
      <c r="DB10" s="247"/>
      <c r="DC10" s="247"/>
      <c r="DD10" s="247"/>
      <c r="DE10" s="247"/>
      <c r="DF10" s="247"/>
      <c r="DG10" s="247"/>
      <c r="DH10" s="247"/>
      <c r="DI10" s="247"/>
      <c r="DJ10" s="247"/>
      <c r="DK10" s="247"/>
      <c r="DL10" s="247"/>
      <c r="DM10" s="247"/>
      <c r="DN10" s="247"/>
      <c r="DO10" s="247"/>
      <c r="DP10" s="247"/>
      <c r="DQ10" s="247"/>
      <c r="DR10" s="247"/>
      <c r="DS10" s="6"/>
      <c r="DT10" s="6"/>
      <c r="DU10" s="247"/>
      <c r="DV10" s="247"/>
      <c r="DW10" s="247"/>
      <c r="DX10" s="290"/>
      <c r="DY10" s="290"/>
      <c r="DZ10" s="290"/>
      <c r="EA10" s="290"/>
      <c r="EB10" s="290"/>
      <c r="EC10" s="290"/>
      <c r="ED10" s="290"/>
      <c r="EE10" s="290"/>
      <c r="EF10" s="290"/>
      <c r="EG10" s="290"/>
      <c r="EH10" s="290"/>
      <c r="EI10" s="290"/>
      <c r="EJ10" s="290"/>
      <c r="EK10" s="290"/>
      <c r="EL10" s="290"/>
      <c r="EM10" s="290"/>
      <c r="EN10" s="290"/>
      <c r="EO10" s="290"/>
      <c r="EP10" s="290"/>
      <c r="EQ10" s="290"/>
      <c r="ER10" s="6"/>
      <c r="ES10" s="6"/>
      <c r="ET10" s="6"/>
      <c r="EU10" s="6"/>
      <c r="EV10" s="6"/>
      <c r="EW10" s="248"/>
      <c r="EX10" s="248"/>
      <c r="EY10" s="248"/>
      <c r="EZ10" s="248"/>
      <c r="FA10" s="247"/>
      <c r="FB10" s="247"/>
      <c r="FC10" s="247"/>
      <c r="FD10" s="247"/>
      <c r="FE10" s="247"/>
      <c r="FF10" s="247"/>
      <c r="FG10" s="247"/>
      <c r="FH10" s="247"/>
      <c r="FI10" s="247"/>
      <c r="FJ10" s="247"/>
      <c r="FK10" s="247"/>
      <c r="FL10" s="247"/>
      <c r="FM10" s="247"/>
      <c r="FN10" s="247"/>
      <c r="FO10" s="247"/>
      <c r="FP10" s="247"/>
      <c r="FQ10" s="247"/>
      <c r="FR10" s="247"/>
      <c r="FS10" s="247"/>
      <c r="FT10" s="247"/>
      <c r="FU10" s="247"/>
      <c r="FV10" s="247"/>
      <c r="FW10" s="291"/>
      <c r="FX10" s="291"/>
      <c r="FY10" s="291"/>
      <c r="FZ10" s="291"/>
      <c r="GA10" s="291"/>
      <c r="GB10" s="247"/>
      <c r="GC10" s="291"/>
      <c r="GD10" s="291"/>
      <c r="GE10" s="291"/>
      <c r="GF10" s="6"/>
      <c r="GG10" s="6"/>
      <c r="GH10" s="6"/>
      <c r="GI10" s="6"/>
      <c r="GJ10" s="291"/>
      <c r="GK10" s="291"/>
      <c r="GL10" s="291"/>
      <c r="GM10" s="291"/>
      <c r="GN10" s="291"/>
      <c r="GO10" s="291"/>
      <c r="GP10" s="291"/>
      <c r="GQ10" s="291"/>
      <c r="GR10" s="291"/>
      <c r="GS10" s="291"/>
      <c r="GT10" s="291"/>
      <c r="GU10" s="291"/>
      <c r="GV10" s="291"/>
      <c r="GW10" s="291"/>
      <c r="GX10" s="291"/>
      <c r="GY10" s="291"/>
      <c r="GZ10" s="291"/>
      <c r="HA10" s="291"/>
      <c r="HB10" s="291"/>
      <c r="HC10" s="291"/>
      <c r="HD10" s="247"/>
      <c r="HE10" s="247"/>
      <c r="HF10" s="291"/>
      <c r="HG10" s="247"/>
      <c r="HH10" s="247"/>
      <c r="HI10" s="247"/>
      <c r="HJ10" s="247"/>
      <c r="HK10" s="247"/>
      <c r="HL10" s="247"/>
      <c r="HM10" s="247"/>
      <c r="HN10" s="247"/>
      <c r="HO10" s="247"/>
      <c r="HP10" s="247"/>
      <c r="HQ10" s="247"/>
      <c r="HR10" s="247"/>
      <c r="HS10" s="247"/>
      <c r="HT10" s="247"/>
      <c r="HU10" s="247"/>
      <c r="HV10" s="247"/>
      <c r="HW10" s="249"/>
      <c r="HX10" s="291"/>
      <c r="HY10" s="291"/>
      <c r="HZ10" s="291"/>
      <c r="IA10" s="291"/>
      <c r="IB10" s="291"/>
      <c r="IC10" s="292"/>
      <c r="ID10" s="292"/>
      <c r="II10" s="291"/>
      <c r="IJ10" s="291"/>
      <c r="IK10" s="291"/>
      <c r="IL10" s="247"/>
      <c r="IM10" s="247"/>
      <c r="IN10" s="291"/>
      <c r="IO10" s="247"/>
      <c r="IP10" s="248"/>
      <c r="IQ10" s="248"/>
      <c r="IR10" s="247"/>
      <c r="IS10" s="247"/>
      <c r="IT10" s="247"/>
      <c r="IU10" s="247"/>
      <c r="IV10" s="247"/>
      <c r="IW10" s="247"/>
      <c r="IX10" s="248"/>
      <c r="IY10" s="248"/>
      <c r="IZ10" s="248"/>
      <c r="JA10" s="250"/>
      <c r="JB10" s="247"/>
      <c r="JC10" s="247"/>
      <c r="JD10" s="247"/>
      <c r="JE10" s="247"/>
      <c r="JF10" s="249"/>
    </row>
    <row r="11" spans="1:16374" s="142" customFormat="1" ht="52.5" customHeight="1" thickBot="1" x14ac:dyDescent="0.25">
      <c r="A11" s="140"/>
      <c r="B11" s="141"/>
      <c r="C11" s="25"/>
      <c r="D11" s="25"/>
      <c r="E11" s="25" t="s">
        <v>268</v>
      </c>
      <c r="F11" s="25" t="s">
        <v>585</v>
      </c>
      <c r="G11" s="25" t="s">
        <v>77</v>
      </c>
      <c r="H11" s="25" t="s">
        <v>393</v>
      </c>
      <c r="I11" s="25" t="s">
        <v>394</v>
      </c>
      <c r="J11" s="25" t="s">
        <v>395</v>
      </c>
      <c r="K11" s="25" t="s">
        <v>269</v>
      </c>
      <c r="L11" s="25" t="s">
        <v>270</v>
      </c>
      <c r="M11" s="25" t="s">
        <v>668</v>
      </c>
      <c r="N11" s="25" t="s">
        <v>271</v>
      </c>
      <c r="O11" s="25" t="s">
        <v>396</v>
      </c>
      <c r="P11" s="324" t="s">
        <v>416</v>
      </c>
      <c r="Q11" s="25" t="s">
        <v>412</v>
      </c>
      <c r="R11" s="25" t="s">
        <v>78</v>
      </c>
      <c r="S11" s="25" t="s">
        <v>398</v>
      </c>
      <c r="T11" s="25" t="s">
        <v>79</v>
      </c>
      <c r="U11" s="25" t="s">
        <v>80</v>
      </c>
      <c r="V11" s="25" t="s">
        <v>81</v>
      </c>
      <c r="W11" s="25" t="s">
        <v>400</v>
      </c>
      <c r="X11" s="261" t="s">
        <v>658</v>
      </c>
      <c r="Y11" s="25" t="s">
        <v>82</v>
      </c>
      <c r="Z11" s="25" t="s">
        <v>83</v>
      </c>
      <c r="AA11" s="25" t="s">
        <v>273</v>
      </c>
      <c r="AB11" s="25" t="s">
        <v>272</v>
      </c>
      <c r="AC11" s="261"/>
      <c r="AD11" s="25" t="s">
        <v>84</v>
      </c>
      <c r="AE11" s="25" t="s">
        <v>468</v>
      </c>
      <c r="AF11" s="25" t="s">
        <v>470</v>
      </c>
      <c r="AG11" s="25" t="s">
        <v>426</v>
      </c>
      <c r="AH11" s="25" t="s">
        <v>408</v>
      </c>
      <c r="AI11" s="25" t="s">
        <v>409</v>
      </c>
      <c r="AJ11" s="25" t="s">
        <v>278</v>
      </c>
      <c r="AK11" s="261" t="s">
        <v>681</v>
      </c>
      <c r="AL11" s="25" t="s">
        <v>276</v>
      </c>
      <c r="AM11" s="25" t="s">
        <v>279</v>
      </c>
      <c r="AN11" s="25" t="s">
        <v>695</v>
      </c>
      <c r="AO11" s="25" t="s">
        <v>690</v>
      </c>
      <c r="AP11" s="261"/>
      <c r="AQ11" s="261" t="s">
        <v>684</v>
      </c>
      <c r="AR11" s="261" t="s">
        <v>720</v>
      </c>
      <c r="AS11" s="261" t="s">
        <v>684</v>
      </c>
      <c r="AT11" s="305" t="s">
        <v>625</v>
      </c>
      <c r="AU11" s="261" t="s">
        <v>622</v>
      </c>
      <c r="AV11" s="305" t="s">
        <v>694</v>
      </c>
      <c r="AW11" s="305" t="s">
        <v>697</v>
      </c>
      <c r="AX11" s="261" t="s">
        <v>618</v>
      </c>
      <c r="AY11" s="25" t="s">
        <v>88</v>
      </c>
      <c r="AZ11" s="261" t="s">
        <v>613</v>
      </c>
      <c r="BA11" s="25" t="s">
        <v>87</v>
      </c>
      <c r="BB11" s="261"/>
      <c r="BC11" s="25" t="s">
        <v>721</v>
      </c>
      <c r="BD11" s="261"/>
      <c r="BE11" s="261"/>
      <c r="BF11" s="261"/>
      <c r="BG11" s="261" t="s">
        <v>710</v>
      </c>
      <c r="BH11" s="261"/>
      <c r="BI11" s="261"/>
      <c r="BJ11" s="25" t="s">
        <v>304</v>
      </c>
      <c r="BK11" s="25" t="s">
        <v>471</v>
      </c>
      <c r="BL11" s="25" t="s">
        <v>325</v>
      </c>
      <c r="BM11" s="261"/>
      <c r="BN11" s="261"/>
      <c r="BO11" s="261" t="s">
        <v>699</v>
      </c>
      <c r="BP11" s="261" t="s">
        <v>702</v>
      </c>
      <c r="BQ11" s="261" t="s">
        <v>705</v>
      </c>
      <c r="BR11" s="261" t="s">
        <v>706</v>
      </c>
      <c r="BS11" s="142" t="s">
        <v>709</v>
      </c>
      <c r="BT11" s="261" t="s">
        <v>708</v>
      </c>
      <c r="BU11" s="261" t="s">
        <v>707</v>
      </c>
      <c r="BV11" s="261" t="s">
        <v>613</v>
      </c>
      <c r="BW11" s="261" t="s">
        <v>613</v>
      </c>
      <c r="BX11" s="261" t="s">
        <v>704</v>
      </c>
      <c r="BY11" s="25" t="s">
        <v>294</v>
      </c>
      <c r="BZ11" s="261" t="s">
        <v>681</v>
      </c>
      <c r="CA11" s="25" t="s">
        <v>305</v>
      </c>
      <c r="CB11" s="261"/>
      <c r="CC11" s="261" t="s">
        <v>691</v>
      </c>
      <c r="CD11" s="25" t="s">
        <v>295</v>
      </c>
      <c r="CE11" s="25" t="s">
        <v>488</v>
      </c>
      <c r="CF11" s="25" t="s">
        <v>296</v>
      </c>
      <c r="CG11" s="25" t="s">
        <v>299</v>
      </c>
      <c r="CH11" s="25" t="s">
        <v>302</v>
      </c>
      <c r="CI11" s="25" t="s">
        <v>85</v>
      </c>
      <c r="CJ11" s="25" t="s">
        <v>86</v>
      </c>
      <c r="CK11" s="34" t="s">
        <v>323</v>
      </c>
      <c r="CL11" s="25" t="s">
        <v>306</v>
      </c>
      <c r="CM11" s="25" t="s">
        <v>103</v>
      </c>
      <c r="CN11" s="25" t="s">
        <v>479</v>
      </c>
      <c r="CO11" s="25" t="s">
        <v>307</v>
      </c>
      <c r="CP11" s="25" t="s">
        <v>104</v>
      </c>
      <c r="CQ11" s="25"/>
      <c r="CR11" s="25" t="s">
        <v>106</v>
      </c>
      <c r="CS11" s="261"/>
      <c r="CT11" s="261" t="s">
        <v>727</v>
      </c>
      <c r="CU11" s="25" t="s">
        <v>107</v>
      </c>
      <c r="CV11" s="25" t="s">
        <v>108</v>
      </c>
      <c r="CW11" s="25" t="s">
        <v>109</v>
      </c>
      <c r="CX11" s="261"/>
      <c r="CY11" s="25" t="s">
        <v>110</v>
      </c>
      <c r="CZ11" s="26" t="s">
        <v>111</v>
      </c>
      <c r="DA11" s="25" t="s">
        <v>112</v>
      </c>
      <c r="DB11" s="25" t="s">
        <v>113</v>
      </c>
      <c r="DC11" s="25" t="s">
        <v>114</v>
      </c>
      <c r="DD11" s="25" t="s">
        <v>115</v>
      </c>
      <c r="DE11" s="25" t="s">
        <v>428</v>
      </c>
      <c r="DF11" s="25" t="s">
        <v>404</v>
      </c>
      <c r="DG11" s="25" t="s">
        <v>116</v>
      </c>
      <c r="DH11" s="25" t="s">
        <v>117</v>
      </c>
      <c r="DI11" s="25" t="s">
        <v>118</v>
      </c>
      <c r="DJ11" s="25" t="s">
        <v>119</v>
      </c>
      <c r="DK11" s="25" t="s">
        <v>120</v>
      </c>
      <c r="DL11" s="34" t="s">
        <v>121</v>
      </c>
      <c r="DM11" s="34" t="s">
        <v>122</v>
      </c>
      <c r="DN11" s="34" t="s">
        <v>235</v>
      </c>
      <c r="DO11" s="34" t="s">
        <v>236</v>
      </c>
      <c r="DP11" s="34" t="s">
        <v>123</v>
      </c>
      <c r="DQ11" s="25" t="s">
        <v>125</v>
      </c>
      <c r="DR11" s="34" t="s">
        <v>126</v>
      </c>
      <c r="DS11" s="34" t="s">
        <v>316</v>
      </c>
      <c r="DT11" s="265" t="s">
        <v>534</v>
      </c>
      <c r="DU11" s="25" t="s">
        <v>297</v>
      </c>
      <c r="DV11" s="25" t="s">
        <v>298</v>
      </c>
      <c r="DW11" s="25" t="s">
        <v>303</v>
      </c>
      <c r="DX11" s="261" t="s">
        <v>565</v>
      </c>
      <c r="DY11" s="261" t="s">
        <v>566</v>
      </c>
      <c r="DZ11" s="261" t="s">
        <v>539</v>
      </c>
      <c r="EA11" s="269" t="s">
        <v>540</v>
      </c>
      <c r="EB11" s="261" t="s">
        <v>541</v>
      </c>
      <c r="EC11" s="269" t="s">
        <v>542</v>
      </c>
      <c r="ED11" s="261" t="s">
        <v>543</v>
      </c>
      <c r="EE11" s="269" t="s">
        <v>544</v>
      </c>
      <c r="EF11" s="270" t="s">
        <v>545</v>
      </c>
      <c r="EG11" s="270"/>
      <c r="EH11" s="271" t="s">
        <v>546</v>
      </c>
      <c r="EI11" s="272" t="s">
        <v>547</v>
      </c>
      <c r="EJ11" s="273" t="s">
        <v>548</v>
      </c>
      <c r="EK11" s="285" t="s">
        <v>683</v>
      </c>
      <c r="EL11" s="271" t="s">
        <v>549</v>
      </c>
      <c r="EM11" s="274" t="s">
        <v>550</v>
      </c>
      <c r="EN11" s="265" t="s">
        <v>551</v>
      </c>
      <c r="EO11" s="265" t="s">
        <v>552</v>
      </c>
      <c r="EP11" s="265" t="s">
        <v>572</v>
      </c>
      <c r="EQ11" s="265" t="s">
        <v>574</v>
      </c>
      <c r="ER11" s="265" t="s">
        <v>588</v>
      </c>
      <c r="ES11" s="262" t="s">
        <v>589</v>
      </c>
      <c r="ET11" s="262" t="s">
        <v>590</v>
      </c>
      <c r="EU11" s="262" t="s">
        <v>591</v>
      </c>
      <c r="EV11" s="262" t="s">
        <v>592</v>
      </c>
      <c r="EW11" s="34" t="s">
        <v>317</v>
      </c>
      <c r="EX11" s="265" t="s">
        <v>599</v>
      </c>
      <c r="EY11" s="265"/>
      <c r="EZ11" s="34" t="s">
        <v>319</v>
      </c>
      <c r="FA11" s="25" t="s">
        <v>320</v>
      </c>
      <c r="FB11" s="25" t="s">
        <v>328</v>
      </c>
      <c r="FC11" s="25" t="s">
        <v>441</v>
      </c>
      <c r="FD11" s="25" t="s">
        <v>436</v>
      </c>
      <c r="FE11" s="25" t="s">
        <v>437</v>
      </c>
      <c r="FF11" s="204" t="s">
        <v>450</v>
      </c>
      <c r="FG11" s="204" t="s">
        <v>329</v>
      </c>
      <c r="FH11" s="204" t="s">
        <v>330</v>
      </c>
      <c r="FI11" s="204" t="s">
        <v>336</v>
      </c>
      <c r="FJ11" s="204" t="s">
        <v>331</v>
      </c>
      <c r="FK11" s="204" t="s">
        <v>332</v>
      </c>
      <c r="FL11" s="204" t="s">
        <v>333</v>
      </c>
      <c r="FM11" s="204" t="s">
        <v>334</v>
      </c>
      <c r="FN11" s="204" t="s">
        <v>335</v>
      </c>
      <c r="FO11" s="204" t="s">
        <v>337</v>
      </c>
      <c r="FP11" s="204" t="s">
        <v>338</v>
      </c>
      <c r="FQ11" s="25" t="s">
        <v>442</v>
      </c>
      <c r="FR11" s="25" t="s">
        <v>448</v>
      </c>
      <c r="FS11" s="25" t="s">
        <v>444</v>
      </c>
      <c r="FT11" s="25" t="s">
        <v>431</v>
      </c>
      <c r="FU11" s="25" t="s">
        <v>433</v>
      </c>
      <c r="FV11" s="25" t="s">
        <v>128</v>
      </c>
      <c r="FW11" s="25" t="s">
        <v>215</v>
      </c>
      <c r="FX11" s="25" t="s">
        <v>321</v>
      </c>
      <c r="FY11" s="262" t="s">
        <v>530</v>
      </c>
      <c r="FZ11" s="261" t="s">
        <v>531</v>
      </c>
      <c r="GA11" s="261" t="s">
        <v>532</v>
      </c>
      <c r="GB11" s="25" t="s">
        <v>147</v>
      </c>
      <c r="GC11" s="261" t="s">
        <v>535</v>
      </c>
      <c r="GD11" s="261" t="s">
        <v>536</v>
      </c>
      <c r="GE11" s="261" t="s">
        <v>537</v>
      </c>
      <c r="GF11" s="265" t="s">
        <v>606</v>
      </c>
      <c r="GG11" s="265" t="s">
        <v>607</v>
      </c>
      <c r="GH11" s="265" t="s">
        <v>608</v>
      </c>
      <c r="GI11" s="265" t="s">
        <v>609</v>
      </c>
      <c r="GJ11" s="25" t="s">
        <v>216</v>
      </c>
      <c r="GK11" s="25" t="s">
        <v>217</v>
      </c>
      <c r="GL11" s="25" t="s">
        <v>218</v>
      </c>
      <c r="GM11" s="25" t="s">
        <v>219</v>
      </c>
      <c r="GN11" s="25" t="s">
        <v>220</v>
      </c>
      <c r="GO11" s="25" t="s">
        <v>221</v>
      </c>
      <c r="GP11" s="25" t="s">
        <v>222</v>
      </c>
      <c r="GQ11" s="25" t="s">
        <v>223</v>
      </c>
      <c r="GR11" s="25" t="s">
        <v>127</v>
      </c>
      <c r="GS11" s="25" t="s">
        <v>144</v>
      </c>
      <c r="GT11" s="25" t="s">
        <v>145</v>
      </c>
      <c r="GU11" s="25" t="s">
        <v>146</v>
      </c>
      <c r="GV11" s="25" t="s">
        <v>129</v>
      </c>
      <c r="GW11" s="25" t="s">
        <v>130</v>
      </c>
      <c r="GX11" s="25" t="s">
        <v>131</v>
      </c>
      <c r="GY11" s="25" t="s">
        <v>132</v>
      </c>
      <c r="GZ11" s="25" t="s">
        <v>133</v>
      </c>
      <c r="HA11" s="25" t="s">
        <v>134</v>
      </c>
      <c r="HB11" s="25" t="s">
        <v>135</v>
      </c>
      <c r="HC11" s="25" t="s">
        <v>136</v>
      </c>
      <c r="HD11" s="34" t="s">
        <v>124</v>
      </c>
      <c r="HE11" s="34" t="s">
        <v>439</v>
      </c>
      <c r="HF11" s="25" t="s">
        <v>137</v>
      </c>
      <c r="HG11" s="25" t="s">
        <v>138</v>
      </c>
      <c r="HH11" s="25" t="s">
        <v>139</v>
      </c>
      <c r="HI11" s="25" t="s">
        <v>140</v>
      </c>
      <c r="HJ11" s="25" t="s">
        <v>141</v>
      </c>
      <c r="HK11" s="25" t="s">
        <v>142</v>
      </c>
      <c r="HL11" s="25" t="s">
        <v>143</v>
      </c>
      <c r="HM11" s="25" t="s">
        <v>225</v>
      </c>
      <c r="HN11" s="25" t="s">
        <v>148</v>
      </c>
      <c r="HO11" s="25" t="s">
        <v>248</v>
      </c>
      <c r="HP11" s="25" t="s">
        <v>249</v>
      </c>
      <c r="HQ11" s="25" t="s">
        <v>149</v>
      </c>
      <c r="HR11" s="25" t="s">
        <v>254</v>
      </c>
      <c r="HS11" s="25" t="s">
        <v>255</v>
      </c>
      <c r="HT11" s="25" t="s">
        <v>418</v>
      </c>
      <c r="HU11" s="25" t="s">
        <v>419</v>
      </c>
      <c r="HV11" s="25" t="s">
        <v>90</v>
      </c>
      <c r="HW11" s="25" t="s">
        <v>90</v>
      </c>
      <c r="HX11" s="25" t="s">
        <v>496</v>
      </c>
      <c r="HY11" s="25" t="s">
        <v>498</v>
      </c>
      <c r="HZ11" s="25" t="s">
        <v>499</v>
      </c>
      <c r="IA11" s="25" t="s">
        <v>500</v>
      </c>
      <c r="IB11" s="25" t="s">
        <v>501</v>
      </c>
      <c r="IC11" s="34" t="s">
        <v>505</v>
      </c>
      <c r="ID11" s="34" t="s">
        <v>506</v>
      </c>
      <c r="IE11" s="265" t="s">
        <v>743</v>
      </c>
      <c r="IF11" s="265" t="s">
        <v>744</v>
      </c>
      <c r="IG11" s="265" t="s">
        <v>748</v>
      </c>
      <c r="IH11" s="265"/>
      <c r="II11" s="25" t="s">
        <v>96</v>
      </c>
      <c r="IJ11" s="25" t="s">
        <v>105</v>
      </c>
      <c r="IK11" s="25" t="s">
        <v>508</v>
      </c>
      <c r="IL11" s="25" t="s">
        <v>509</v>
      </c>
      <c r="IM11" s="25" t="s">
        <v>511</v>
      </c>
      <c r="IN11" s="25" t="s">
        <v>512</v>
      </c>
      <c r="IO11" s="25" t="s">
        <v>513</v>
      </c>
      <c r="IP11" s="34" t="s">
        <v>514</v>
      </c>
      <c r="IQ11" s="34" t="s">
        <v>518</v>
      </c>
      <c r="IR11" s="25" t="s">
        <v>101</v>
      </c>
      <c r="IS11" s="25" t="s">
        <v>490</v>
      </c>
      <c r="IT11" s="261"/>
      <c r="IU11" s="25" t="s">
        <v>491</v>
      </c>
      <c r="IV11" s="25" t="s">
        <v>494</v>
      </c>
      <c r="IW11" s="25" t="s">
        <v>492</v>
      </c>
      <c r="IX11" s="238" t="s">
        <v>493</v>
      </c>
      <c r="IY11" s="238" t="s">
        <v>520</v>
      </c>
      <c r="IZ11" s="238" t="s">
        <v>521</v>
      </c>
      <c r="JA11" s="34" t="s">
        <v>522</v>
      </c>
      <c r="JB11" s="34" t="s">
        <v>523</v>
      </c>
      <c r="JC11" s="34" t="s">
        <v>524</v>
      </c>
      <c r="JD11" s="25" t="s">
        <v>525</v>
      </c>
      <c r="JE11" s="34" t="s">
        <v>526</v>
      </c>
      <c r="JF11" s="25" t="s">
        <v>527</v>
      </c>
    </row>
    <row r="12" spans="1:16374" s="46" customFormat="1" ht="14.25" thickTop="1" thickBot="1" x14ac:dyDescent="0.25">
      <c r="A12" s="2" t="s">
        <v>12</v>
      </c>
      <c r="B12" s="195" t="s">
        <v>13</v>
      </c>
      <c r="C12" s="195" t="s">
        <v>13</v>
      </c>
      <c r="D12" s="195" t="s">
        <v>13</v>
      </c>
      <c r="E12" s="293" t="s">
        <v>13</v>
      </c>
      <c r="F12" s="293" t="s">
        <v>13</v>
      </c>
      <c r="G12" s="293" t="s">
        <v>13</v>
      </c>
      <c r="H12" s="293" t="s">
        <v>13</v>
      </c>
      <c r="I12" s="293" t="s">
        <v>13</v>
      </c>
      <c r="J12" s="293" t="s">
        <v>13</v>
      </c>
      <c r="K12" s="293" t="s">
        <v>13</v>
      </c>
      <c r="L12" s="293" t="s">
        <v>13</v>
      </c>
      <c r="M12" s="195" t="s">
        <v>13</v>
      </c>
      <c r="N12" s="293" t="s">
        <v>13</v>
      </c>
      <c r="O12" s="293" t="s">
        <v>13</v>
      </c>
      <c r="P12" s="195" t="s">
        <v>34</v>
      </c>
      <c r="Q12" s="293" t="s">
        <v>13</v>
      </c>
      <c r="R12" s="293" t="s">
        <v>13</v>
      </c>
      <c r="S12" s="293" t="s">
        <v>13</v>
      </c>
      <c r="T12" s="293" t="s">
        <v>13</v>
      </c>
      <c r="U12" s="293" t="s">
        <v>13</v>
      </c>
      <c r="V12" s="293" t="s">
        <v>13</v>
      </c>
      <c r="W12" s="293" t="s">
        <v>13</v>
      </c>
      <c r="X12" s="293" t="s">
        <v>34</v>
      </c>
      <c r="Y12" s="293" t="s">
        <v>13</v>
      </c>
      <c r="Z12" s="293" t="s">
        <v>20</v>
      </c>
      <c r="AA12" s="293" t="s">
        <v>13</v>
      </c>
      <c r="AB12" s="293" t="s">
        <v>20</v>
      </c>
      <c r="AC12" s="293" t="s">
        <v>20</v>
      </c>
      <c r="AD12" s="293" t="s">
        <v>13</v>
      </c>
      <c r="AE12" s="293" t="s">
        <v>20</v>
      </c>
      <c r="AF12" s="293" t="s">
        <v>20</v>
      </c>
      <c r="AG12" s="293" t="s">
        <v>13</v>
      </c>
      <c r="AH12" s="293" t="s">
        <v>13</v>
      </c>
      <c r="AI12" s="293" t="s">
        <v>13</v>
      </c>
      <c r="AJ12" s="293" t="s">
        <v>20</v>
      </c>
      <c r="AK12" s="293" t="s">
        <v>20</v>
      </c>
      <c r="AL12" s="293" t="s">
        <v>13</v>
      </c>
      <c r="AM12" s="293" t="s">
        <v>20</v>
      </c>
      <c r="AN12" s="293" t="s">
        <v>20</v>
      </c>
      <c r="AO12" s="293" t="s">
        <v>20</v>
      </c>
      <c r="AP12" s="293" t="s">
        <v>20</v>
      </c>
      <c r="AQ12" s="195" t="s">
        <v>20</v>
      </c>
      <c r="AR12" s="195" t="s">
        <v>20</v>
      </c>
      <c r="AS12" s="195" t="s">
        <v>20</v>
      </c>
      <c r="AT12" s="195" t="s">
        <v>20</v>
      </c>
      <c r="AU12" s="195" t="s">
        <v>20</v>
      </c>
      <c r="AV12" s="195" t="s">
        <v>20</v>
      </c>
      <c r="AW12" s="195" t="s">
        <v>20</v>
      </c>
      <c r="AX12" s="195" t="s">
        <v>20</v>
      </c>
      <c r="AY12" s="293" t="s">
        <v>20</v>
      </c>
      <c r="AZ12" s="195" t="s">
        <v>20</v>
      </c>
      <c r="BA12" s="293" t="s">
        <v>20</v>
      </c>
      <c r="BB12" s="293" t="s">
        <v>20</v>
      </c>
      <c r="BC12" s="293" t="s">
        <v>20</v>
      </c>
      <c r="BD12" s="293" t="s">
        <v>20</v>
      </c>
      <c r="BE12" s="293" t="s">
        <v>20</v>
      </c>
      <c r="BF12" s="293" t="s">
        <v>20</v>
      </c>
      <c r="BG12" s="293" t="s">
        <v>20</v>
      </c>
      <c r="BH12" s="293" t="s">
        <v>20</v>
      </c>
      <c r="BI12" s="293" t="s">
        <v>20</v>
      </c>
      <c r="BJ12" s="293" t="s">
        <v>13</v>
      </c>
      <c r="BK12" s="293" t="s">
        <v>20</v>
      </c>
      <c r="BL12" s="293" t="s">
        <v>20</v>
      </c>
      <c r="BM12" s="293" t="s">
        <v>20</v>
      </c>
      <c r="BN12" s="293" t="s">
        <v>20</v>
      </c>
      <c r="BO12" s="195" t="s">
        <v>20</v>
      </c>
      <c r="BP12" s="195" t="s">
        <v>20</v>
      </c>
      <c r="BQ12" s="195" t="s">
        <v>20</v>
      </c>
      <c r="BR12" s="195" t="s">
        <v>20</v>
      </c>
      <c r="BS12" s="195" t="s">
        <v>20</v>
      </c>
      <c r="BT12" s="195" t="s">
        <v>20</v>
      </c>
      <c r="BU12" s="195" t="s">
        <v>20</v>
      </c>
      <c r="BV12" s="195" t="s">
        <v>20</v>
      </c>
      <c r="BW12" s="195" t="s">
        <v>20</v>
      </c>
      <c r="BX12" s="195" t="s">
        <v>20</v>
      </c>
      <c r="BY12" s="293" t="s">
        <v>20</v>
      </c>
      <c r="BZ12" s="293" t="s">
        <v>20</v>
      </c>
      <c r="CA12" s="293" t="s">
        <v>13</v>
      </c>
      <c r="CB12" s="293" t="s">
        <v>20</v>
      </c>
      <c r="CC12" s="293" t="s">
        <v>20</v>
      </c>
      <c r="CD12" s="293" t="s">
        <v>20</v>
      </c>
      <c r="CE12" s="293" t="s">
        <v>13</v>
      </c>
      <c r="CF12" s="293" t="s">
        <v>20</v>
      </c>
      <c r="CG12" s="293" t="s">
        <v>20</v>
      </c>
      <c r="CH12" s="293" t="s">
        <v>20</v>
      </c>
      <c r="CI12" s="293" t="s">
        <v>20</v>
      </c>
      <c r="CJ12" s="293" t="s">
        <v>20</v>
      </c>
      <c r="CK12" s="294" t="s">
        <v>20</v>
      </c>
      <c r="CL12" s="293" t="s">
        <v>20</v>
      </c>
      <c r="CM12" s="293" t="s">
        <v>20</v>
      </c>
      <c r="CN12" s="293" t="s">
        <v>20</v>
      </c>
      <c r="CO12" s="293" t="s">
        <v>20</v>
      </c>
      <c r="CP12" s="293" t="s">
        <v>20</v>
      </c>
      <c r="CQ12" s="293" t="s">
        <v>20</v>
      </c>
      <c r="CR12" s="293" t="s">
        <v>20</v>
      </c>
      <c r="CS12" s="293" t="s">
        <v>20</v>
      </c>
      <c r="CT12" s="293" t="s">
        <v>20</v>
      </c>
      <c r="CU12" s="293" t="s">
        <v>20</v>
      </c>
      <c r="CV12" s="293" t="s">
        <v>34</v>
      </c>
      <c r="CW12" s="293" t="s">
        <v>20</v>
      </c>
      <c r="CX12" s="195" t="s">
        <v>20</v>
      </c>
      <c r="CY12" s="293" t="s">
        <v>20</v>
      </c>
      <c r="CZ12" s="293" t="s">
        <v>20</v>
      </c>
      <c r="DA12" s="293" t="s">
        <v>20</v>
      </c>
      <c r="DB12" s="293" t="s">
        <v>20</v>
      </c>
      <c r="DC12" s="293" t="s">
        <v>20</v>
      </c>
      <c r="DD12" s="293" t="s">
        <v>20</v>
      </c>
      <c r="DE12" s="293" t="s">
        <v>13</v>
      </c>
      <c r="DF12" s="293" t="s">
        <v>13</v>
      </c>
      <c r="DG12" s="293" t="s">
        <v>34</v>
      </c>
      <c r="DH12" s="293" t="s">
        <v>34</v>
      </c>
      <c r="DI12" s="293" t="s">
        <v>34</v>
      </c>
      <c r="DJ12" s="293" t="s">
        <v>20</v>
      </c>
      <c r="DK12" s="293" t="s">
        <v>20</v>
      </c>
      <c r="DL12" s="293" t="s">
        <v>20</v>
      </c>
      <c r="DM12" s="293" t="s">
        <v>20</v>
      </c>
      <c r="DN12" s="293" t="s">
        <v>20</v>
      </c>
      <c r="DO12" s="293" t="s">
        <v>20</v>
      </c>
      <c r="DP12" s="293" t="s">
        <v>20</v>
      </c>
      <c r="DQ12" s="293" t="s">
        <v>20</v>
      </c>
      <c r="DR12" s="293" t="s">
        <v>20</v>
      </c>
      <c r="DS12" s="195" t="s">
        <v>20</v>
      </c>
      <c r="DT12" s="195" t="s">
        <v>20</v>
      </c>
      <c r="DU12" s="293" t="s">
        <v>20</v>
      </c>
      <c r="DV12" s="293" t="s">
        <v>20</v>
      </c>
      <c r="DW12" s="293" t="s">
        <v>20</v>
      </c>
      <c r="DX12" s="293" t="s">
        <v>20</v>
      </c>
      <c r="DY12" s="293" t="s">
        <v>20</v>
      </c>
      <c r="DZ12" s="293" t="s">
        <v>20</v>
      </c>
      <c r="EA12" s="293" t="s">
        <v>20</v>
      </c>
      <c r="EB12" s="293" t="s">
        <v>20</v>
      </c>
      <c r="EC12" s="293" t="s">
        <v>20</v>
      </c>
      <c r="ED12" s="293" t="s">
        <v>20</v>
      </c>
      <c r="EE12" s="293" t="s">
        <v>20</v>
      </c>
      <c r="EF12" s="293" t="s">
        <v>20</v>
      </c>
      <c r="EG12" s="293" t="s">
        <v>20</v>
      </c>
      <c r="EH12" s="293" t="s">
        <v>20</v>
      </c>
      <c r="EI12" s="293" t="s">
        <v>20</v>
      </c>
      <c r="EJ12" s="293" t="s">
        <v>20</v>
      </c>
      <c r="EK12" s="293" t="s">
        <v>20</v>
      </c>
      <c r="EL12" s="293" t="s">
        <v>20</v>
      </c>
      <c r="EM12" s="293" t="s">
        <v>20</v>
      </c>
      <c r="EN12" s="293" t="s">
        <v>20</v>
      </c>
      <c r="EO12" s="293" t="s">
        <v>20</v>
      </c>
      <c r="EP12" s="293" t="s">
        <v>20</v>
      </c>
      <c r="EQ12" s="293" t="s">
        <v>20</v>
      </c>
      <c r="ER12" s="195" t="s">
        <v>20</v>
      </c>
      <c r="ES12" s="195" t="s">
        <v>20</v>
      </c>
      <c r="ET12" s="195" t="s">
        <v>20</v>
      </c>
      <c r="EU12" s="195" t="s">
        <v>20</v>
      </c>
      <c r="EV12" s="195" t="s">
        <v>20</v>
      </c>
      <c r="EW12" s="294" t="s">
        <v>20</v>
      </c>
      <c r="EX12" s="294" t="s">
        <v>20</v>
      </c>
      <c r="EY12" s="294" t="s">
        <v>20</v>
      </c>
      <c r="EZ12" s="294" t="s">
        <v>20</v>
      </c>
      <c r="FA12" s="293" t="s">
        <v>20</v>
      </c>
      <c r="FB12" s="293" t="s">
        <v>20</v>
      </c>
      <c r="FC12" s="293" t="s">
        <v>91</v>
      </c>
      <c r="FD12" s="293" t="s">
        <v>20</v>
      </c>
      <c r="FE12" s="293" t="s">
        <v>20</v>
      </c>
      <c r="FF12" s="295" t="s">
        <v>339</v>
      </c>
      <c r="FG12" s="295" t="s">
        <v>339</v>
      </c>
      <c r="FH12" s="295" t="s">
        <v>339</v>
      </c>
      <c r="FI12" s="295" t="s">
        <v>339</v>
      </c>
      <c r="FJ12" s="295" t="s">
        <v>339</v>
      </c>
      <c r="FK12" s="295" t="s">
        <v>339</v>
      </c>
      <c r="FL12" s="295" t="s">
        <v>20</v>
      </c>
      <c r="FM12" s="295" t="s">
        <v>20</v>
      </c>
      <c r="FN12" s="295" t="s">
        <v>20</v>
      </c>
      <c r="FO12" s="295" t="s">
        <v>20</v>
      </c>
      <c r="FP12" s="295" t="s">
        <v>20</v>
      </c>
      <c r="FQ12" s="293" t="s">
        <v>13</v>
      </c>
      <c r="FR12" s="293" t="s">
        <v>13</v>
      </c>
      <c r="FS12" s="293" t="s">
        <v>20</v>
      </c>
      <c r="FT12" s="293" t="s">
        <v>20</v>
      </c>
      <c r="FU12" s="293" t="s">
        <v>20</v>
      </c>
      <c r="FV12" s="293" t="s">
        <v>34</v>
      </c>
      <c r="FW12" s="293" t="s">
        <v>34</v>
      </c>
      <c r="FX12" s="293" t="s">
        <v>20</v>
      </c>
      <c r="FY12" s="293" t="s">
        <v>20</v>
      </c>
      <c r="FZ12" s="293" t="s">
        <v>20</v>
      </c>
      <c r="GA12" s="293" t="s">
        <v>20</v>
      </c>
      <c r="GB12" s="293" t="s">
        <v>20</v>
      </c>
      <c r="GC12" s="293" t="s">
        <v>20</v>
      </c>
      <c r="GD12" s="293" t="s">
        <v>20</v>
      </c>
      <c r="GE12" s="293" t="s">
        <v>20</v>
      </c>
      <c r="GF12" s="195" t="s">
        <v>20</v>
      </c>
      <c r="GG12" s="195" t="s">
        <v>20</v>
      </c>
      <c r="GH12" s="195" t="s">
        <v>20</v>
      </c>
      <c r="GI12" s="195" t="s">
        <v>20</v>
      </c>
      <c r="GJ12" s="293" t="s">
        <v>20</v>
      </c>
      <c r="GK12" s="293" t="s">
        <v>20</v>
      </c>
      <c r="GL12" s="293" t="s">
        <v>20</v>
      </c>
      <c r="GM12" s="293" t="s">
        <v>20</v>
      </c>
      <c r="GN12" s="293" t="s">
        <v>20</v>
      </c>
      <c r="GO12" s="293" t="s">
        <v>20</v>
      </c>
      <c r="GP12" s="293" t="s">
        <v>20</v>
      </c>
      <c r="GQ12" s="293" t="s">
        <v>20</v>
      </c>
      <c r="GR12" s="293" t="s">
        <v>20</v>
      </c>
      <c r="GS12" s="293" t="s">
        <v>20</v>
      </c>
      <c r="GT12" s="293" t="s">
        <v>20</v>
      </c>
      <c r="GU12" s="293" t="s">
        <v>20</v>
      </c>
      <c r="GV12" s="293" t="s">
        <v>20</v>
      </c>
      <c r="GW12" s="293" t="s">
        <v>20</v>
      </c>
      <c r="GX12" s="293" t="s">
        <v>20</v>
      </c>
      <c r="GY12" s="293" t="s">
        <v>20</v>
      </c>
      <c r="GZ12" s="293" t="s">
        <v>20</v>
      </c>
      <c r="HA12" s="293" t="s">
        <v>20</v>
      </c>
      <c r="HB12" s="293" t="s">
        <v>20</v>
      </c>
      <c r="HC12" s="293" t="s">
        <v>20</v>
      </c>
      <c r="HD12" s="293" t="s">
        <v>20</v>
      </c>
      <c r="HE12" s="293" t="s">
        <v>20</v>
      </c>
      <c r="HF12" s="293" t="s">
        <v>20</v>
      </c>
      <c r="HG12" s="293" t="s">
        <v>34</v>
      </c>
      <c r="HH12" s="293" t="s">
        <v>13</v>
      </c>
      <c r="HI12" s="293" t="s">
        <v>20</v>
      </c>
      <c r="HJ12" s="293" t="s">
        <v>20</v>
      </c>
      <c r="HK12" s="293" t="s">
        <v>20</v>
      </c>
      <c r="HL12" s="293" t="s">
        <v>20</v>
      </c>
      <c r="HM12" s="293" t="s">
        <v>20</v>
      </c>
      <c r="HN12" s="293" t="s">
        <v>20</v>
      </c>
      <c r="HO12" s="293" t="s">
        <v>20</v>
      </c>
      <c r="HP12" s="293" t="s">
        <v>20</v>
      </c>
      <c r="HQ12" s="293" t="s">
        <v>20</v>
      </c>
      <c r="HR12" s="293" t="s">
        <v>20</v>
      </c>
      <c r="HS12" s="293" t="s">
        <v>20</v>
      </c>
      <c r="HT12" s="293" t="s">
        <v>34</v>
      </c>
      <c r="HU12" s="293" t="s">
        <v>34</v>
      </c>
      <c r="HV12" s="293" t="s">
        <v>20</v>
      </c>
      <c r="HW12" s="293" t="s">
        <v>20</v>
      </c>
      <c r="HX12" s="293" t="s">
        <v>20</v>
      </c>
      <c r="HY12" s="293" t="s">
        <v>20</v>
      </c>
      <c r="HZ12" s="293" t="s">
        <v>20</v>
      </c>
      <c r="IA12" s="293" t="s">
        <v>20</v>
      </c>
      <c r="IB12" s="293" t="s">
        <v>20</v>
      </c>
      <c r="IC12" s="293" t="s">
        <v>20</v>
      </c>
      <c r="ID12" s="293" t="s">
        <v>20</v>
      </c>
      <c r="IE12" s="195" t="s">
        <v>91</v>
      </c>
      <c r="IF12" s="195" t="s">
        <v>91</v>
      </c>
      <c r="IG12" s="195" t="s">
        <v>20</v>
      </c>
      <c r="IH12" s="195" t="s">
        <v>20</v>
      </c>
      <c r="II12" s="293" t="s">
        <v>20</v>
      </c>
      <c r="IJ12" s="293" t="s">
        <v>20</v>
      </c>
      <c r="IK12" s="293" t="s">
        <v>20</v>
      </c>
      <c r="IL12" s="293" t="s">
        <v>20</v>
      </c>
      <c r="IM12" s="293" t="s">
        <v>20</v>
      </c>
      <c r="IN12" s="293" t="s">
        <v>20</v>
      </c>
      <c r="IO12" s="293" t="s">
        <v>20</v>
      </c>
      <c r="IP12" s="293" t="s">
        <v>20</v>
      </c>
      <c r="IQ12" s="293" t="s">
        <v>20</v>
      </c>
      <c r="IR12" s="293" t="s">
        <v>13</v>
      </c>
      <c r="IS12" s="293" t="s">
        <v>13</v>
      </c>
      <c r="IT12" s="293" t="s">
        <v>20</v>
      </c>
      <c r="IU12" s="293" t="s">
        <v>20</v>
      </c>
      <c r="IV12" s="293" t="s">
        <v>20</v>
      </c>
      <c r="IW12" s="293" t="s">
        <v>13</v>
      </c>
      <c r="IX12" s="293" t="s">
        <v>13</v>
      </c>
      <c r="IY12" s="293" t="s">
        <v>20</v>
      </c>
      <c r="IZ12" s="293" t="s">
        <v>20</v>
      </c>
      <c r="JA12" s="293" t="s">
        <v>20</v>
      </c>
      <c r="JB12" s="293" t="s">
        <v>20</v>
      </c>
      <c r="JC12" s="293" t="s">
        <v>20</v>
      </c>
      <c r="JD12" s="293" t="s">
        <v>20</v>
      </c>
      <c r="JE12" s="293" t="s">
        <v>20</v>
      </c>
      <c r="JF12" s="293" t="s">
        <v>20</v>
      </c>
      <c r="JG12" s="195" t="s">
        <v>20</v>
      </c>
      <c r="JH12" s="195" t="s">
        <v>20</v>
      </c>
      <c r="JI12" s="195" t="s">
        <v>20</v>
      </c>
      <c r="JJ12" s="195" t="s">
        <v>20</v>
      </c>
      <c r="JK12" s="195" t="s">
        <v>20</v>
      </c>
      <c r="JL12" s="195" t="s">
        <v>20</v>
      </c>
    </row>
    <row r="13" spans="1:16374" s="64" customFormat="1" ht="14.25" thickTop="1" thickBot="1" x14ac:dyDescent="0.25">
      <c r="A13" s="13" t="s">
        <v>14</v>
      </c>
      <c r="B13" s="197" t="s">
        <v>1</v>
      </c>
      <c r="C13" s="197" t="s">
        <v>2</v>
      </c>
      <c r="D13" s="198" t="s">
        <v>3</v>
      </c>
      <c r="E13" s="198" t="s">
        <v>256</v>
      </c>
      <c r="F13" s="199" t="s">
        <v>4</v>
      </c>
      <c r="G13" s="199" t="s">
        <v>5</v>
      </c>
      <c r="H13" s="199" t="s">
        <v>241</v>
      </c>
      <c r="I13" s="199" t="s">
        <v>242</v>
      </c>
      <c r="J13" s="199" t="s">
        <v>243</v>
      </c>
      <c r="K13" s="199" t="s">
        <v>389</v>
      </c>
      <c r="L13" s="199" t="s">
        <v>390</v>
      </c>
      <c r="M13" s="199" t="s">
        <v>667</v>
      </c>
      <c r="N13" s="199" t="s">
        <v>391</v>
      </c>
      <c r="O13" s="199" t="s">
        <v>392</v>
      </c>
      <c r="P13" s="199" t="s">
        <v>416</v>
      </c>
      <c r="Q13" s="199" t="s">
        <v>411</v>
      </c>
      <c r="R13" s="199" t="s">
        <v>8</v>
      </c>
      <c r="S13" s="199" t="s">
        <v>9</v>
      </c>
      <c r="T13" s="199" t="s">
        <v>397</v>
      </c>
      <c r="U13" s="199" t="s">
        <v>21</v>
      </c>
      <c r="V13" s="199" t="s">
        <v>6</v>
      </c>
      <c r="W13" s="199" t="s">
        <v>7</v>
      </c>
      <c r="X13" s="199" t="s">
        <v>657</v>
      </c>
      <c r="Y13" s="199" t="s">
        <v>399</v>
      </c>
      <c r="Z13" s="199" t="s">
        <v>19</v>
      </c>
      <c r="AA13" s="199" t="s">
        <v>23</v>
      </c>
      <c r="AB13" s="199" t="s">
        <v>24</v>
      </c>
      <c r="AC13" s="199" t="s">
        <v>687</v>
      </c>
      <c r="AD13" s="199" t="s">
        <v>25</v>
      </c>
      <c r="AE13" s="199" t="s">
        <v>467</v>
      </c>
      <c r="AF13" s="199" t="s">
        <v>469</v>
      </c>
      <c r="AG13" s="199" t="s">
        <v>250</v>
      </c>
      <c r="AH13" s="199" t="s">
        <v>406</v>
      </c>
      <c r="AI13" s="199" t="s">
        <v>407</v>
      </c>
      <c r="AJ13" s="199" t="s">
        <v>258</v>
      </c>
      <c r="AK13" s="199" t="s">
        <v>677</v>
      </c>
      <c r="AL13" s="199" t="s">
        <v>359</v>
      </c>
      <c r="AM13" s="199" t="s">
        <v>351</v>
      </c>
      <c r="AN13" s="199" t="s">
        <v>274</v>
      </c>
      <c r="AO13" s="199" t="s">
        <v>275</v>
      </c>
      <c r="AP13" s="199" t="s">
        <v>686</v>
      </c>
      <c r="AQ13" s="199" t="s">
        <v>615</v>
      </c>
      <c r="AR13" s="199" t="s">
        <v>621</v>
      </c>
      <c r="AS13" s="199" t="s">
        <v>620</v>
      </c>
      <c r="AT13" s="199" t="s">
        <v>616</v>
      </c>
      <c r="AU13" s="199" t="s">
        <v>617</v>
      </c>
      <c r="AV13" s="199" t="s">
        <v>693</v>
      </c>
      <c r="AW13" s="199" t="s">
        <v>696</v>
      </c>
      <c r="AX13" s="199" t="s">
        <v>679</v>
      </c>
      <c r="AY13" s="199" t="s">
        <v>41</v>
      </c>
      <c r="AZ13" s="199" t="s">
        <v>614</v>
      </c>
      <c r="BA13" s="199" t="s">
        <v>40</v>
      </c>
      <c r="BB13" s="199" t="s">
        <v>730</v>
      </c>
      <c r="BC13" s="199" t="s">
        <v>350</v>
      </c>
      <c r="BD13" s="199" t="s">
        <v>676</v>
      </c>
      <c r="BE13" s="199" t="s">
        <v>675</v>
      </c>
      <c r="BF13" s="199" t="s">
        <v>678</v>
      </c>
      <c r="BG13" s="199" t="s">
        <v>674</v>
      </c>
      <c r="BH13" s="199" t="s">
        <v>672</v>
      </c>
      <c r="BI13" s="199" t="s">
        <v>673</v>
      </c>
      <c r="BJ13" s="199" t="s">
        <v>383</v>
      </c>
      <c r="BK13" s="199" t="s">
        <v>356</v>
      </c>
      <c r="BL13" s="199" t="s">
        <v>353</v>
      </c>
      <c r="BM13" s="199" t="s">
        <v>742</v>
      </c>
      <c r="BN13" s="199" t="s">
        <v>738</v>
      </c>
      <c r="BO13" s="199" t="s">
        <v>698</v>
      </c>
      <c r="BP13" s="199" t="s">
        <v>701</v>
      </c>
      <c r="BQ13" s="199" t="s">
        <v>711</v>
      </c>
      <c r="BR13" s="199" t="s">
        <v>712</v>
      </c>
      <c r="BS13" s="199" t="s">
        <v>713</v>
      </c>
      <c r="BT13" s="199" t="s">
        <v>714</v>
      </c>
      <c r="BU13" s="199" t="s">
        <v>715</v>
      </c>
      <c r="BV13" s="199" t="s">
        <v>716</v>
      </c>
      <c r="BW13" s="199" t="s">
        <v>612</v>
      </c>
      <c r="BX13" s="199" t="s">
        <v>703</v>
      </c>
      <c r="BY13" s="199" t="s">
        <v>227</v>
      </c>
      <c r="BZ13" s="199" t="s">
        <v>718</v>
      </c>
      <c r="CA13" s="199" t="s">
        <v>358</v>
      </c>
      <c r="CB13" s="199" t="s">
        <v>722</v>
      </c>
      <c r="CC13" s="199" t="s">
        <v>717</v>
      </c>
      <c r="CD13" s="199" t="s">
        <v>357</v>
      </c>
      <c r="CE13" s="199" t="s">
        <v>487</v>
      </c>
      <c r="CF13" s="200" t="s">
        <v>237</v>
      </c>
      <c r="CG13" s="200" t="s">
        <v>239</v>
      </c>
      <c r="CH13" s="200" t="s">
        <v>228</v>
      </c>
      <c r="CI13" s="199" t="s">
        <v>38</v>
      </c>
      <c r="CJ13" s="199" t="s">
        <v>39</v>
      </c>
      <c r="CK13" s="200" t="s">
        <v>324</v>
      </c>
      <c r="CL13" s="200" t="s">
        <v>364</v>
      </c>
      <c r="CM13" s="200" t="s">
        <v>44</v>
      </c>
      <c r="CN13" s="200" t="s">
        <v>580</v>
      </c>
      <c r="CO13" s="200" t="s">
        <v>365</v>
      </c>
      <c r="CP13" s="200" t="s">
        <v>47</v>
      </c>
      <c r="CQ13" s="200" t="s">
        <v>478</v>
      </c>
      <c r="CR13" s="200" t="s">
        <v>53</v>
      </c>
      <c r="CS13" s="200" t="s">
        <v>728</v>
      </c>
      <c r="CT13" s="200" t="s">
        <v>726</v>
      </c>
      <c r="CU13" s="200" t="s">
        <v>48</v>
      </c>
      <c r="CV13" s="200" t="s">
        <v>49</v>
      </c>
      <c r="CW13" s="200" t="s">
        <v>50</v>
      </c>
      <c r="CX13" s="200" t="s">
        <v>753</v>
      </c>
      <c r="CY13" s="200" t="s">
        <v>26</v>
      </c>
      <c r="CZ13" s="200" t="s">
        <v>27</v>
      </c>
      <c r="DA13" s="200" t="s">
        <v>28</v>
      </c>
      <c r="DB13" s="200" t="s">
        <v>29</v>
      </c>
      <c r="DC13" s="200" t="s">
        <v>30</v>
      </c>
      <c r="DD13" s="200" t="s">
        <v>31</v>
      </c>
      <c r="DE13" s="200" t="s">
        <v>427</v>
      </c>
      <c r="DF13" s="200" t="s">
        <v>403</v>
      </c>
      <c r="DG13" s="200" t="s">
        <v>33</v>
      </c>
      <c r="DH13" s="200" t="s">
        <v>35</v>
      </c>
      <c r="DI13" s="200" t="s">
        <v>36</v>
      </c>
      <c r="DJ13" s="200" t="s">
        <v>51</v>
      </c>
      <c r="DK13" s="200" t="s">
        <v>52</v>
      </c>
      <c r="DL13" s="200" t="s">
        <v>54</v>
      </c>
      <c r="DM13" s="200" t="s">
        <v>55</v>
      </c>
      <c r="DN13" s="200" t="s">
        <v>232</v>
      </c>
      <c r="DO13" s="200" t="s">
        <v>233</v>
      </c>
      <c r="DP13" s="200" t="s">
        <v>56</v>
      </c>
      <c r="DQ13" s="200" t="s">
        <v>75</v>
      </c>
      <c r="DR13" s="200" t="s">
        <v>76</v>
      </c>
      <c r="DS13" s="200" t="s">
        <v>367</v>
      </c>
      <c r="DT13" s="200" t="s">
        <v>533</v>
      </c>
      <c r="DU13" s="200" t="s">
        <v>361</v>
      </c>
      <c r="DV13" s="200" t="s">
        <v>362</v>
      </c>
      <c r="DW13" s="200" t="s">
        <v>363</v>
      </c>
      <c r="DX13" s="266" t="s">
        <v>553</v>
      </c>
      <c r="DY13" s="266" t="s">
        <v>554</v>
      </c>
      <c r="DZ13" s="266" t="s">
        <v>555</v>
      </c>
      <c r="EA13" s="266" t="s">
        <v>556</v>
      </c>
      <c r="EB13" s="266" t="s">
        <v>446</v>
      </c>
      <c r="EC13" s="266" t="s">
        <v>557</v>
      </c>
      <c r="ED13" s="266" t="s">
        <v>558</v>
      </c>
      <c r="EE13" s="266" t="s">
        <v>559</v>
      </c>
      <c r="EF13" s="266" t="s">
        <v>560</v>
      </c>
      <c r="EG13" s="266" t="s">
        <v>561</v>
      </c>
      <c r="EH13" s="266" t="s">
        <v>546</v>
      </c>
      <c r="EI13" s="266" t="s">
        <v>547</v>
      </c>
      <c r="EJ13" s="266" t="s">
        <v>548</v>
      </c>
      <c r="EK13" s="266" t="s">
        <v>575</v>
      </c>
      <c r="EL13" s="266" t="s">
        <v>549</v>
      </c>
      <c r="EM13" s="266" t="s">
        <v>562</v>
      </c>
      <c r="EN13" s="266" t="s">
        <v>563</v>
      </c>
      <c r="EO13" s="266" t="s">
        <v>564</v>
      </c>
      <c r="EP13" s="266" t="s">
        <v>571</v>
      </c>
      <c r="EQ13" s="266" t="s">
        <v>573</v>
      </c>
      <c r="ER13" s="263" t="s">
        <v>593</v>
      </c>
      <c r="ES13" s="298" t="s">
        <v>594</v>
      </c>
      <c r="ET13" s="298" t="s">
        <v>595</v>
      </c>
      <c r="EU13" s="298" t="s">
        <v>596</v>
      </c>
      <c r="EV13" s="298" t="s">
        <v>597</v>
      </c>
      <c r="EW13" s="201" t="s">
        <v>318</v>
      </c>
      <c r="EX13" s="201" t="s">
        <v>598</v>
      </c>
      <c r="EY13" s="201" t="s">
        <v>601</v>
      </c>
      <c r="EZ13" s="201" t="s">
        <v>267</v>
      </c>
      <c r="FA13" s="200" t="s">
        <v>63</v>
      </c>
      <c r="FB13" s="200" t="s">
        <v>420</v>
      </c>
      <c r="FC13" s="200" t="s">
        <v>440</v>
      </c>
      <c r="FD13" s="200" t="s">
        <v>434</v>
      </c>
      <c r="FE13" s="200" t="s">
        <v>435</v>
      </c>
      <c r="FF13" s="205" t="s">
        <v>449</v>
      </c>
      <c r="FG13" s="205" t="s">
        <v>340</v>
      </c>
      <c r="FH13" s="205" t="s">
        <v>342</v>
      </c>
      <c r="FI13" s="205" t="s">
        <v>343</v>
      </c>
      <c r="FJ13" s="205" t="s">
        <v>344</v>
      </c>
      <c r="FK13" s="205" t="s">
        <v>345</v>
      </c>
      <c r="FL13" s="205" t="s">
        <v>341</v>
      </c>
      <c r="FM13" s="205" t="s">
        <v>346</v>
      </c>
      <c r="FN13" s="205" t="s">
        <v>347</v>
      </c>
      <c r="FO13" s="205" t="s">
        <v>348</v>
      </c>
      <c r="FP13" s="205" t="s">
        <v>349</v>
      </c>
      <c r="FQ13" s="200" t="s">
        <v>410</v>
      </c>
      <c r="FR13" s="200" t="s">
        <v>447</v>
      </c>
      <c r="FS13" s="200" t="s">
        <v>443</v>
      </c>
      <c r="FT13" s="200" t="s">
        <v>430</v>
      </c>
      <c r="FU13" s="200" t="s">
        <v>432</v>
      </c>
      <c r="FV13" s="200" t="s">
        <v>59</v>
      </c>
      <c r="FW13" s="202" t="s">
        <v>214</v>
      </c>
      <c r="FX13" s="202" t="s">
        <v>422</v>
      </c>
      <c r="FY13" s="202" t="s">
        <v>451</v>
      </c>
      <c r="FZ13" s="202" t="s">
        <v>452</v>
      </c>
      <c r="GA13" s="202" t="s">
        <v>453</v>
      </c>
      <c r="GB13" s="200" t="s">
        <v>60</v>
      </c>
      <c r="GC13" s="202" t="s">
        <v>454</v>
      </c>
      <c r="GD13" s="202" t="s">
        <v>455</v>
      </c>
      <c r="GE13" s="202" t="s">
        <v>456</v>
      </c>
      <c r="GF13" s="301" t="s">
        <v>602</v>
      </c>
      <c r="GG13" s="301" t="s">
        <v>603</v>
      </c>
      <c r="GH13" s="301" t="s">
        <v>604</v>
      </c>
      <c r="GI13" s="301" t="s">
        <v>605</v>
      </c>
      <c r="GJ13" s="202" t="s">
        <v>368</v>
      </c>
      <c r="GK13" s="202" t="s">
        <v>369</v>
      </c>
      <c r="GL13" s="202" t="s">
        <v>370</v>
      </c>
      <c r="GM13" s="202" t="s">
        <v>371</v>
      </c>
      <c r="GN13" s="202" t="s">
        <v>372</v>
      </c>
      <c r="GO13" s="202" t="s">
        <v>373</v>
      </c>
      <c r="GP13" s="202" t="s">
        <v>374</v>
      </c>
      <c r="GQ13" s="202" t="s">
        <v>375</v>
      </c>
      <c r="GR13" s="202" t="s">
        <v>376</v>
      </c>
      <c r="GS13" s="202" t="s">
        <v>377</v>
      </c>
      <c r="GT13" s="202" t="s">
        <v>378</v>
      </c>
      <c r="GU13" s="202" t="s">
        <v>388</v>
      </c>
      <c r="GV13" s="202" t="s">
        <v>379</v>
      </c>
      <c r="GW13" s="202" t="s">
        <v>380</v>
      </c>
      <c r="GX13" s="202" t="s">
        <v>387</v>
      </c>
      <c r="GY13" s="202" t="s">
        <v>381</v>
      </c>
      <c r="GZ13" s="202" t="s">
        <v>62</v>
      </c>
      <c r="HA13" s="202" t="s">
        <v>65</v>
      </c>
      <c r="HB13" s="202" t="s">
        <v>61</v>
      </c>
      <c r="HC13" s="202" t="s">
        <v>64</v>
      </c>
      <c r="HD13" s="200" t="s">
        <v>366</v>
      </c>
      <c r="HE13" s="200" t="s">
        <v>438</v>
      </c>
      <c r="HF13" s="202" t="s">
        <v>382</v>
      </c>
      <c r="HG13" s="200" t="s">
        <v>66</v>
      </c>
      <c r="HH13" s="200" t="s">
        <v>67</v>
      </c>
      <c r="HI13" s="200" t="s">
        <v>68</v>
      </c>
      <c r="HJ13" s="200" t="s">
        <v>70</v>
      </c>
      <c r="HK13" s="200" t="s">
        <v>71</v>
      </c>
      <c r="HL13" s="200" t="s">
        <v>72</v>
      </c>
      <c r="HM13" s="200" t="s">
        <v>224</v>
      </c>
      <c r="HN13" s="200" t="s">
        <v>73</v>
      </c>
      <c r="HO13" s="200" t="s">
        <v>246</v>
      </c>
      <c r="HP13" s="200" t="s">
        <v>247</v>
      </c>
      <c r="HQ13" s="200" t="s">
        <v>74</v>
      </c>
      <c r="HR13" s="200" t="s">
        <v>251</v>
      </c>
      <c r="HS13" s="200" t="s">
        <v>252</v>
      </c>
      <c r="HT13" s="200" t="s">
        <v>423</v>
      </c>
      <c r="HU13" s="200" t="s">
        <v>424</v>
      </c>
      <c r="HV13" s="200" t="s">
        <v>42</v>
      </c>
      <c r="HW13" s="199" t="s">
        <v>43</v>
      </c>
      <c r="HX13" s="202" t="s">
        <v>497</v>
      </c>
      <c r="HY13" s="202" t="s">
        <v>401</v>
      </c>
      <c r="HZ13" s="202" t="s">
        <v>502</v>
      </c>
      <c r="IA13" s="202" t="s">
        <v>503</v>
      </c>
      <c r="IB13" s="202" t="s">
        <v>504</v>
      </c>
      <c r="IC13" s="246" t="s">
        <v>89</v>
      </c>
      <c r="ID13" s="246" t="s">
        <v>507</v>
      </c>
      <c r="IE13" s="202" t="s">
        <v>746</v>
      </c>
      <c r="IF13" s="202" t="s">
        <v>747</v>
      </c>
      <c r="IG13" s="202" t="s">
        <v>745</v>
      </c>
      <c r="IH13" s="202" t="s">
        <v>754</v>
      </c>
      <c r="II13" s="202" t="s">
        <v>45</v>
      </c>
      <c r="IJ13" s="202" t="s">
        <v>46</v>
      </c>
      <c r="IK13" s="202" t="s">
        <v>57</v>
      </c>
      <c r="IL13" s="200" t="s">
        <v>58</v>
      </c>
      <c r="IM13" s="200" t="s">
        <v>515</v>
      </c>
      <c r="IN13" s="202" t="s">
        <v>516</v>
      </c>
      <c r="IO13" s="200" t="s">
        <v>517</v>
      </c>
      <c r="IP13" s="201" t="s">
        <v>95</v>
      </c>
      <c r="IQ13" s="201" t="s">
        <v>519</v>
      </c>
      <c r="IR13" s="200" t="s">
        <v>37</v>
      </c>
      <c r="IS13" s="200" t="s">
        <v>489</v>
      </c>
      <c r="IT13" s="200" t="s">
        <v>631</v>
      </c>
      <c r="IU13" s="200" t="s">
        <v>384</v>
      </c>
      <c r="IV13" s="200" t="s">
        <v>385</v>
      </c>
      <c r="IW13" s="200" t="s">
        <v>386</v>
      </c>
      <c r="IX13" s="201" t="s">
        <v>495</v>
      </c>
      <c r="IY13" s="201" t="s">
        <v>230</v>
      </c>
      <c r="IZ13" s="201" t="s">
        <v>231</v>
      </c>
      <c r="JA13" s="245" t="s">
        <v>97</v>
      </c>
      <c r="JB13" s="200" t="s">
        <v>98</v>
      </c>
      <c r="JC13" s="200" t="s">
        <v>99</v>
      </c>
      <c r="JD13" s="200" t="s">
        <v>528</v>
      </c>
      <c r="JE13" s="200" t="s">
        <v>529</v>
      </c>
      <c r="JF13" s="199" t="s">
        <v>100</v>
      </c>
      <c r="JG13" s="200" t="s">
        <v>649</v>
      </c>
      <c r="JH13" s="200" t="s">
        <v>644</v>
      </c>
      <c r="JI13" s="200" t="s">
        <v>645</v>
      </c>
      <c r="JJ13" s="200" t="s">
        <v>646</v>
      </c>
      <c r="JK13" s="200" t="s">
        <v>647</v>
      </c>
      <c r="JL13" s="200" t="s">
        <v>648</v>
      </c>
      <c r="JM13" s="46"/>
      <c r="JN13" s="46"/>
      <c r="JO13" s="46"/>
      <c r="JP13" s="46"/>
      <c r="JQ13" s="46"/>
      <c r="JR13" s="46"/>
      <c r="JS13" s="46"/>
      <c r="JT13" s="46"/>
      <c r="JU13" s="46"/>
      <c r="JV13" s="46"/>
      <c r="JW13" s="46"/>
      <c r="JX13" s="46"/>
      <c r="JY13" s="46"/>
      <c r="JZ13" s="46"/>
      <c r="KA13" s="46"/>
      <c r="KB13" s="46"/>
      <c r="KC13" s="46"/>
      <c r="KD13" s="46"/>
      <c r="KE13" s="46"/>
      <c r="KF13" s="46"/>
      <c r="KG13" s="46"/>
      <c r="KH13" s="46"/>
      <c r="KI13" s="46"/>
      <c r="KJ13" s="46"/>
      <c r="KK13" s="46"/>
      <c r="KL13" s="46"/>
      <c r="KM13" s="46"/>
      <c r="KN13" s="46"/>
      <c r="KO13" s="46"/>
      <c r="KP13" s="46"/>
      <c r="KQ13" s="46"/>
      <c r="KR13" s="46"/>
      <c r="KS13" s="46"/>
      <c r="KT13" s="46"/>
      <c r="KU13" s="46"/>
      <c r="KV13" s="46"/>
      <c r="KW13" s="46"/>
      <c r="KX13" s="46"/>
      <c r="KY13" s="46"/>
      <c r="KZ13" s="46"/>
      <c r="LA13" s="46"/>
      <c r="LB13" s="46"/>
      <c r="LC13" s="46"/>
      <c r="LD13" s="46"/>
      <c r="LE13" s="46"/>
      <c r="LF13" s="46"/>
      <c r="LG13" s="46"/>
      <c r="LH13" s="46"/>
      <c r="LI13" s="46"/>
      <c r="LJ13" s="46"/>
      <c r="LK13" s="46"/>
      <c r="LL13" s="46"/>
      <c r="LM13" s="46"/>
      <c r="LN13" s="46"/>
      <c r="LO13" s="46"/>
      <c r="LP13" s="46"/>
      <c r="LQ13" s="46"/>
      <c r="LR13" s="46"/>
      <c r="LS13" s="46"/>
      <c r="LT13" s="46"/>
      <c r="LU13" s="46"/>
      <c r="LV13" s="46"/>
      <c r="LW13" s="46"/>
      <c r="LX13" s="46"/>
      <c r="LY13" s="46"/>
      <c r="LZ13" s="46"/>
      <c r="MA13" s="46"/>
      <c r="MB13" s="46"/>
      <c r="MC13" s="46"/>
      <c r="MD13" s="46"/>
      <c r="ME13" s="46"/>
      <c r="MF13" s="46"/>
      <c r="MG13" s="46"/>
      <c r="MH13" s="46"/>
      <c r="MI13" s="46"/>
      <c r="MJ13" s="46"/>
      <c r="MK13" s="46"/>
      <c r="ML13" s="46"/>
      <c r="MM13" s="46"/>
      <c r="MN13" s="46"/>
      <c r="MO13" s="46"/>
      <c r="MP13" s="46"/>
      <c r="MQ13" s="46"/>
      <c r="MR13" s="46"/>
      <c r="MS13" s="46"/>
      <c r="MT13" s="46"/>
      <c r="MU13" s="46"/>
      <c r="MV13" s="46"/>
      <c r="MW13" s="46"/>
      <c r="MX13" s="46"/>
      <c r="MY13" s="46"/>
      <c r="MZ13" s="46"/>
      <c r="NA13" s="46"/>
      <c r="NB13" s="46"/>
      <c r="NC13" s="46"/>
      <c r="ND13" s="46"/>
      <c r="NE13" s="46"/>
      <c r="NF13" s="46"/>
      <c r="NG13" s="46"/>
      <c r="NH13" s="46"/>
      <c r="NI13" s="46"/>
      <c r="NJ13" s="46"/>
      <c r="NK13" s="46"/>
      <c r="NL13" s="46"/>
      <c r="NM13" s="46"/>
      <c r="NN13" s="46"/>
      <c r="NO13" s="46"/>
      <c r="NP13" s="46"/>
      <c r="NQ13" s="46"/>
      <c r="NR13" s="46"/>
      <c r="NS13" s="46"/>
      <c r="NT13" s="46"/>
      <c r="NU13" s="46"/>
      <c r="NV13" s="46"/>
      <c r="NW13" s="46"/>
      <c r="NX13" s="46"/>
      <c r="NY13" s="46"/>
      <c r="NZ13" s="46"/>
      <c r="OA13" s="46"/>
      <c r="OB13" s="46"/>
      <c r="OC13" s="46"/>
      <c r="OD13" s="46"/>
      <c r="OE13" s="46"/>
      <c r="OF13" s="46"/>
      <c r="OG13" s="46"/>
      <c r="OH13" s="46"/>
      <c r="OI13" s="46"/>
      <c r="OJ13" s="46"/>
      <c r="OK13" s="46"/>
      <c r="OL13" s="46"/>
      <c r="OM13" s="46"/>
      <c r="ON13" s="46"/>
      <c r="OO13" s="46"/>
      <c r="OP13" s="46"/>
      <c r="OQ13" s="46"/>
      <c r="OR13" s="46"/>
      <c r="OS13" s="46"/>
      <c r="OT13" s="46"/>
      <c r="OU13" s="46"/>
      <c r="OV13" s="46"/>
      <c r="OW13" s="46"/>
      <c r="OX13" s="46"/>
      <c r="OY13" s="46"/>
      <c r="OZ13" s="46"/>
      <c r="PA13" s="46"/>
      <c r="PB13" s="46"/>
      <c r="PC13" s="46"/>
      <c r="PD13" s="46"/>
      <c r="PE13" s="46"/>
      <c r="PF13" s="46"/>
      <c r="PG13" s="46"/>
      <c r="PH13" s="46"/>
      <c r="PI13" s="46"/>
      <c r="PJ13" s="46"/>
      <c r="PK13" s="46"/>
      <c r="PL13" s="46"/>
      <c r="PM13" s="46"/>
      <c r="PN13" s="46"/>
      <c r="PO13" s="46"/>
      <c r="PP13" s="46"/>
      <c r="PQ13" s="46"/>
      <c r="PR13" s="46"/>
      <c r="PS13" s="46"/>
      <c r="PT13" s="46"/>
      <c r="PU13" s="46"/>
      <c r="PV13" s="46"/>
      <c r="PW13" s="46"/>
      <c r="PX13" s="46"/>
      <c r="PY13" s="46"/>
      <c r="PZ13" s="46"/>
      <c r="QA13" s="46"/>
      <c r="QB13" s="46"/>
      <c r="QC13" s="46"/>
      <c r="QD13" s="46"/>
      <c r="QE13" s="46"/>
      <c r="QF13" s="46"/>
      <c r="QG13" s="46"/>
      <c r="QH13" s="46"/>
      <c r="QI13" s="46"/>
      <c r="QJ13" s="46"/>
      <c r="QK13" s="46"/>
      <c r="QL13" s="46"/>
      <c r="QM13" s="46"/>
      <c r="QN13" s="46"/>
      <c r="QO13" s="46"/>
      <c r="QP13" s="46"/>
      <c r="QQ13" s="46"/>
      <c r="QR13" s="46"/>
      <c r="QS13" s="46"/>
      <c r="QT13" s="46"/>
      <c r="QU13" s="46"/>
      <c r="QV13" s="46"/>
      <c r="QW13" s="46"/>
      <c r="QX13" s="46"/>
      <c r="QY13" s="46"/>
      <c r="QZ13" s="46"/>
      <c r="RA13" s="46"/>
      <c r="RB13" s="46"/>
      <c r="RC13" s="46"/>
      <c r="RD13" s="46"/>
      <c r="RE13" s="46"/>
      <c r="RF13" s="46"/>
      <c r="RG13" s="46"/>
      <c r="RH13" s="46"/>
      <c r="RI13" s="46"/>
      <c r="RJ13" s="46"/>
      <c r="RK13" s="46"/>
      <c r="RL13" s="46"/>
      <c r="RM13" s="46"/>
      <c r="RN13" s="46"/>
      <c r="RO13" s="46"/>
      <c r="RP13" s="46"/>
      <c r="RQ13" s="46"/>
      <c r="RR13" s="46"/>
      <c r="RS13" s="46"/>
      <c r="RT13" s="46"/>
      <c r="RU13" s="46"/>
      <c r="RV13" s="46"/>
      <c r="RW13" s="46"/>
      <c r="RX13" s="46"/>
      <c r="RY13" s="46"/>
      <c r="RZ13" s="46"/>
      <c r="SA13" s="46"/>
      <c r="SB13" s="46"/>
      <c r="SC13" s="46"/>
      <c r="SD13" s="46"/>
      <c r="SE13" s="46"/>
      <c r="SF13" s="46"/>
      <c r="SG13" s="46"/>
      <c r="SH13" s="46"/>
      <c r="SI13" s="46"/>
      <c r="SJ13" s="46"/>
      <c r="SK13" s="46"/>
      <c r="SL13" s="46"/>
      <c r="SM13" s="46"/>
      <c r="SN13" s="46"/>
      <c r="SO13" s="46"/>
      <c r="SP13" s="46"/>
      <c r="SQ13" s="46"/>
      <c r="SR13" s="46"/>
      <c r="SS13" s="46"/>
      <c r="ST13" s="46"/>
      <c r="SU13" s="46"/>
      <c r="SV13" s="46"/>
      <c r="SW13" s="46"/>
      <c r="SX13" s="46"/>
      <c r="SY13" s="46"/>
      <c r="SZ13" s="46"/>
      <c r="TA13" s="46"/>
      <c r="TB13" s="46"/>
      <c r="TC13" s="46"/>
      <c r="TD13" s="46"/>
      <c r="TE13" s="46"/>
      <c r="TF13" s="46"/>
      <c r="TG13" s="46"/>
      <c r="TH13" s="46"/>
      <c r="TI13" s="46"/>
      <c r="TJ13" s="46"/>
      <c r="TK13" s="46"/>
      <c r="TL13" s="46"/>
      <c r="TM13" s="46"/>
      <c r="TN13" s="46"/>
      <c r="TO13" s="46"/>
      <c r="TP13" s="46"/>
      <c r="TQ13" s="46"/>
      <c r="TR13" s="46"/>
      <c r="TS13" s="46"/>
      <c r="TT13" s="46"/>
      <c r="TU13" s="46"/>
      <c r="TV13" s="46"/>
      <c r="TW13" s="46"/>
      <c r="TX13" s="46"/>
      <c r="TY13" s="46"/>
      <c r="TZ13" s="46"/>
      <c r="UA13" s="46"/>
      <c r="UB13" s="46"/>
      <c r="UC13" s="46"/>
      <c r="UD13" s="46"/>
      <c r="UE13" s="46"/>
      <c r="UF13" s="46"/>
      <c r="UG13" s="46"/>
      <c r="UH13" s="46"/>
      <c r="UI13" s="46"/>
      <c r="UJ13" s="46"/>
      <c r="UK13" s="46"/>
      <c r="UL13" s="46"/>
      <c r="UM13" s="46"/>
      <c r="UN13" s="46"/>
      <c r="UO13" s="46"/>
      <c r="UP13" s="46"/>
      <c r="UQ13" s="46"/>
      <c r="UR13" s="46"/>
      <c r="US13" s="46"/>
      <c r="UT13" s="46"/>
      <c r="UU13" s="46"/>
      <c r="UV13" s="46"/>
      <c r="UW13" s="46"/>
      <c r="UX13" s="46"/>
      <c r="UY13" s="46"/>
      <c r="UZ13" s="46"/>
      <c r="VA13" s="46"/>
      <c r="VB13" s="46"/>
      <c r="VC13" s="46"/>
      <c r="VD13" s="46"/>
      <c r="VE13" s="46"/>
      <c r="VF13" s="46"/>
      <c r="VG13" s="46"/>
      <c r="VH13" s="46"/>
      <c r="VI13" s="46"/>
      <c r="VJ13" s="46"/>
      <c r="VK13" s="46"/>
      <c r="VL13" s="46"/>
      <c r="VM13" s="46"/>
      <c r="VN13" s="46"/>
      <c r="VO13" s="46"/>
      <c r="VP13" s="46"/>
      <c r="VQ13" s="46"/>
      <c r="VR13" s="46"/>
      <c r="VS13" s="46"/>
      <c r="VT13" s="46"/>
      <c r="VU13" s="46"/>
      <c r="VV13" s="46"/>
      <c r="VW13" s="46"/>
      <c r="VX13" s="46"/>
      <c r="VY13" s="46"/>
      <c r="VZ13" s="46"/>
      <c r="WA13" s="46"/>
      <c r="WB13" s="46"/>
      <c r="WC13" s="46"/>
      <c r="WD13" s="46"/>
      <c r="WE13" s="46"/>
      <c r="WF13" s="46"/>
      <c r="WG13" s="46"/>
      <c r="WH13" s="46"/>
      <c r="WI13" s="46"/>
      <c r="WJ13" s="46"/>
      <c r="WK13" s="46"/>
      <c r="WL13" s="46"/>
      <c r="WM13" s="46"/>
      <c r="WN13" s="46"/>
      <c r="WO13" s="46"/>
      <c r="WP13" s="46"/>
      <c r="WQ13" s="46"/>
      <c r="WR13" s="46"/>
      <c r="WS13" s="46"/>
      <c r="WT13" s="46"/>
      <c r="WU13" s="46"/>
      <c r="WV13" s="46"/>
      <c r="WW13" s="46"/>
      <c r="WX13" s="46"/>
      <c r="WY13" s="46"/>
      <c r="WZ13" s="46"/>
      <c r="XA13" s="46"/>
      <c r="XB13" s="46"/>
      <c r="XC13" s="46"/>
      <c r="XD13" s="46"/>
      <c r="XE13" s="46"/>
      <c r="XF13" s="46"/>
      <c r="XG13" s="46"/>
      <c r="XH13" s="46"/>
      <c r="XI13" s="46"/>
      <c r="XJ13" s="46"/>
      <c r="XK13" s="46"/>
      <c r="XL13" s="46"/>
      <c r="XM13" s="46"/>
      <c r="XN13" s="46"/>
      <c r="XO13" s="46"/>
      <c r="XP13" s="46"/>
      <c r="XQ13" s="46"/>
      <c r="XR13" s="46"/>
      <c r="XS13" s="46"/>
      <c r="XT13" s="46"/>
      <c r="XU13" s="46"/>
      <c r="XV13" s="46"/>
      <c r="XW13" s="46"/>
      <c r="XX13" s="46"/>
      <c r="XY13" s="46"/>
      <c r="XZ13" s="46"/>
      <c r="YA13" s="46"/>
      <c r="YB13" s="46"/>
      <c r="YC13" s="46"/>
      <c r="YD13" s="46"/>
      <c r="YE13" s="46"/>
      <c r="YF13" s="46"/>
      <c r="YG13" s="46"/>
      <c r="YH13" s="46"/>
      <c r="YI13" s="46"/>
      <c r="YJ13" s="46"/>
      <c r="YK13" s="46"/>
      <c r="YL13" s="46"/>
      <c r="YM13" s="46"/>
      <c r="YN13" s="46"/>
      <c r="YO13" s="46"/>
      <c r="YP13" s="46"/>
      <c r="YQ13" s="46"/>
      <c r="YR13" s="46"/>
      <c r="YS13" s="46"/>
      <c r="YT13" s="46"/>
      <c r="YU13" s="46"/>
      <c r="YV13" s="46"/>
      <c r="YW13" s="46"/>
      <c r="YX13" s="46"/>
      <c r="YY13" s="46"/>
      <c r="YZ13" s="46"/>
      <c r="ZA13" s="46"/>
      <c r="ZB13" s="46"/>
      <c r="ZC13" s="46"/>
      <c r="ZD13" s="46"/>
      <c r="ZE13" s="46"/>
      <c r="ZF13" s="46"/>
      <c r="ZG13" s="46"/>
      <c r="ZH13" s="46"/>
      <c r="ZI13" s="46"/>
      <c r="ZJ13" s="46"/>
      <c r="ZK13" s="46"/>
      <c r="ZL13" s="46"/>
      <c r="ZM13" s="46"/>
      <c r="ZN13" s="46"/>
      <c r="ZO13" s="46"/>
      <c r="ZP13" s="46"/>
      <c r="ZQ13" s="46"/>
      <c r="ZR13" s="46"/>
      <c r="ZS13" s="46"/>
      <c r="ZT13" s="46"/>
      <c r="ZU13" s="46"/>
      <c r="ZV13" s="46"/>
      <c r="ZW13" s="46"/>
      <c r="ZX13" s="46"/>
      <c r="ZY13" s="46"/>
      <c r="ZZ13" s="46"/>
      <c r="AAA13" s="46"/>
      <c r="AAB13" s="46"/>
      <c r="AAC13" s="46"/>
      <c r="AAD13" s="46"/>
      <c r="AAE13" s="46"/>
      <c r="AAF13" s="46"/>
      <c r="AAG13" s="46"/>
      <c r="AAH13" s="46"/>
      <c r="AAI13" s="46"/>
      <c r="AAJ13" s="46"/>
      <c r="AAK13" s="46"/>
      <c r="AAL13" s="46"/>
      <c r="AAM13" s="46"/>
      <c r="AAN13" s="46"/>
      <c r="AAO13" s="46"/>
      <c r="AAP13" s="46"/>
      <c r="AAQ13" s="46"/>
      <c r="AAR13" s="46"/>
      <c r="AAS13" s="46"/>
      <c r="AAT13" s="46"/>
      <c r="AAU13" s="46"/>
      <c r="AAV13" s="46"/>
      <c r="AAW13" s="46"/>
      <c r="AAX13" s="46"/>
      <c r="AAY13" s="46"/>
      <c r="AAZ13" s="46"/>
      <c r="ABA13" s="46"/>
      <c r="ABB13" s="46"/>
      <c r="ABC13" s="46"/>
      <c r="ABD13" s="46"/>
      <c r="ABE13" s="46"/>
      <c r="ABF13" s="46"/>
      <c r="ABG13" s="46"/>
      <c r="ABH13" s="46"/>
      <c r="ABI13" s="46"/>
      <c r="ABJ13" s="46"/>
      <c r="ABK13" s="46"/>
      <c r="ABL13" s="46"/>
      <c r="ABM13" s="46"/>
      <c r="ABN13" s="46"/>
      <c r="ABO13" s="46"/>
      <c r="ABP13" s="46"/>
      <c r="ABQ13" s="46"/>
      <c r="ABR13" s="46"/>
      <c r="ABS13" s="46"/>
      <c r="ABT13" s="46"/>
      <c r="ABU13" s="46"/>
      <c r="ABV13" s="46"/>
      <c r="ABW13" s="46"/>
      <c r="ABX13" s="46"/>
      <c r="ABY13" s="46"/>
      <c r="ABZ13" s="46"/>
      <c r="ACA13" s="46"/>
      <c r="ACB13" s="46"/>
      <c r="ACC13" s="46"/>
      <c r="ACD13" s="46"/>
      <c r="ACE13" s="46"/>
      <c r="ACF13" s="46"/>
      <c r="ACG13" s="46"/>
      <c r="ACH13" s="46"/>
      <c r="ACI13" s="46"/>
      <c r="ACJ13" s="46"/>
      <c r="ACK13" s="46"/>
      <c r="ACL13" s="46"/>
      <c r="ACM13" s="46"/>
      <c r="ACN13" s="46"/>
      <c r="ACO13" s="46"/>
      <c r="ACP13" s="46"/>
      <c r="ACQ13" s="46"/>
      <c r="ACR13" s="46"/>
      <c r="ACS13" s="46"/>
      <c r="ACT13" s="46"/>
      <c r="ACU13" s="46"/>
      <c r="ACV13" s="46"/>
      <c r="ACW13" s="46"/>
      <c r="ACX13" s="46"/>
      <c r="ACY13" s="46"/>
      <c r="ACZ13" s="46"/>
      <c r="ADA13" s="46"/>
      <c r="ADB13" s="46"/>
      <c r="ADC13" s="46"/>
      <c r="ADD13" s="46"/>
      <c r="ADE13" s="46"/>
      <c r="ADF13" s="46"/>
      <c r="ADG13" s="46"/>
      <c r="ADH13" s="46"/>
      <c r="ADI13" s="46"/>
      <c r="ADJ13" s="46"/>
      <c r="ADK13" s="46"/>
      <c r="ADL13" s="46"/>
      <c r="ADM13" s="46"/>
      <c r="ADN13" s="46"/>
      <c r="ADO13" s="46"/>
      <c r="ADP13" s="46"/>
      <c r="ADQ13" s="46"/>
      <c r="ADR13" s="46"/>
      <c r="ADS13" s="46"/>
      <c r="ADT13" s="46"/>
      <c r="ADU13" s="46"/>
      <c r="ADV13" s="46"/>
      <c r="ADW13" s="46"/>
      <c r="ADX13" s="46"/>
      <c r="ADY13" s="46"/>
      <c r="ADZ13" s="46"/>
      <c r="AEA13" s="46"/>
      <c r="AEB13" s="46"/>
      <c r="AEC13" s="46"/>
      <c r="AED13" s="46"/>
      <c r="AEE13" s="46"/>
      <c r="AEF13" s="46"/>
      <c r="AEG13" s="46"/>
      <c r="AEH13" s="46"/>
      <c r="AEI13" s="46"/>
      <c r="AEJ13" s="46"/>
      <c r="AEK13" s="46"/>
      <c r="AEL13" s="46"/>
      <c r="AEM13" s="46"/>
      <c r="AEN13" s="46"/>
      <c r="AEO13" s="46"/>
      <c r="AEP13" s="46"/>
      <c r="AEQ13" s="46"/>
      <c r="AER13" s="46"/>
      <c r="AES13" s="46"/>
      <c r="AET13" s="46"/>
      <c r="AEU13" s="46"/>
      <c r="AEV13" s="46"/>
      <c r="AEW13" s="46"/>
      <c r="AEX13" s="46"/>
      <c r="AEY13" s="46"/>
      <c r="AEZ13" s="46"/>
      <c r="AFA13" s="46"/>
      <c r="AFB13" s="46"/>
      <c r="AFC13" s="46"/>
      <c r="AFD13" s="46"/>
      <c r="AFE13" s="46"/>
      <c r="AFF13" s="46"/>
      <c r="AFG13" s="46"/>
      <c r="AFH13" s="46"/>
      <c r="AFI13" s="46"/>
      <c r="AFJ13" s="46"/>
      <c r="AFK13" s="46"/>
      <c r="AFL13" s="46"/>
      <c r="AFM13" s="46"/>
      <c r="AFN13" s="46"/>
      <c r="AFO13" s="46"/>
      <c r="AFP13" s="46"/>
      <c r="AFQ13" s="46"/>
      <c r="AFR13" s="46"/>
      <c r="AFS13" s="46"/>
      <c r="AFT13" s="46"/>
      <c r="AFU13" s="46"/>
      <c r="AFV13" s="46"/>
      <c r="AFW13" s="46"/>
      <c r="AFX13" s="46"/>
      <c r="AFY13" s="46"/>
      <c r="AFZ13" s="46"/>
      <c r="AGA13" s="46"/>
      <c r="AGB13" s="46"/>
      <c r="AGC13" s="46"/>
      <c r="AGD13" s="46"/>
      <c r="AGE13" s="46"/>
      <c r="AGF13" s="46"/>
      <c r="AGG13" s="46"/>
      <c r="AGH13" s="46"/>
      <c r="AGI13" s="46"/>
      <c r="AGJ13" s="46"/>
      <c r="AGK13" s="46"/>
      <c r="AGL13" s="46"/>
      <c r="AGM13" s="46"/>
      <c r="AGN13" s="46"/>
      <c r="AGO13" s="46"/>
      <c r="AGP13" s="46"/>
      <c r="AGQ13" s="46"/>
      <c r="AGR13" s="46"/>
      <c r="AGS13" s="46"/>
      <c r="AGT13" s="46"/>
      <c r="AGU13" s="46"/>
      <c r="AGV13" s="46"/>
      <c r="AGW13" s="46"/>
      <c r="AGX13" s="46"/>
      <c r="AGY13" s="46"/>
      <c r="AGZ13" s="46"/>
      <c r="AHA13" s="46"/>
      <c r="AHB13" s="46"/>
      <c r="AHC13" s="46"/>
      <c r="AHD13" s="46"/>
      <c r="AHE13" s="46"/>
      <c r="AHF13" s="46"/>
      <c r="AHG13" s="46"/>
      <c r="AHH13" s="46"/>
      <c r="AHI13" s="46"/>
      <c r="AHJ13" s="46"/>
      <c r="AHK13" s="46"/>
      <c r="AHL13" s="46"/>
      <c r="AHM13" s="46"/>
      <c r="AHN13" s="46"/>
      <c r="AHO13" s="46"/>
      <c r="AHP13" s="46"/>
      <c r="AHQ13" s="46"/>
      <c r="AHR13" s="46"/>
      <c r="AHS13" s="46"/>
      <c r="AHT13" s="46"/>
      <c r="AHU13" s="46"/>
      <c r="AHV13" s="46"/>
      <c r="AHW13" s="46"/>
      <c r="AHX13" s="46"/>
      <c r="AHY13" s="46"/>
      <c r="AHZ13" s="46"/>
      <c r="AIA13" s="46"/>
      <c r="AIB13" s="46"/>
      <c r="AIC13" s="46"/>
      <c r="AID13" s="46"/>
      <c r="AIE13" s="46"/>
      <c r="AIF13" s="46"/>
      <c r="AIG13" s="46"/>
      <c r="AIH13" s="46"/>
      <c r="AII13" s="46"/>
      <c r="AIJ13" s="46"/>
      <c r="AIK13" s="46"/>
      <c r="AIL13" s="46"/>
      <c r="AIM13" s="46"/>
      <c r="AIN13" s="46"/>
      <c r="AIO13" s="46"/>
      <c r="AIP13" s="46"/>
      <c r="AIQ13" s="46"/>
      <c r="AIR13" s="46"/>
      <c r="AIS13" s="46"/>
      <c r="AIT13" s="46"/>
      <c r="AIU13" s="46"/>
      <c r="AIV13" s="46"/>
      <c r="AIW13" s="46"/>
      <c r="AIX13" s="46"/>
      <c r="AIY13" s="46"/>
      <c r="AIZ13" s="46"/>
      <c r="AJA13" s="46"/>
      <c r="AJB13" s="46"/>
      <c r="AJC13" s="46"/>
      <c r="AJD13" s="46"/>
      <c r="AJE13" s="46"/>
      <c r="AJF13" s="46"/>
      <c r="AJG13" s="46"/>
      <c r="AJH13" s="46"/>
      <c r="AJI13" s="46"/>
      <c r="AJJ13" s="46"/>
      <c r="AJK13" s="46"/>
      <c r="AJL13" s="46"/>
      <c r="AJM13" s="46"/>
      <c r="AJN13" s="46"/>
      <c r="AJO13" s="46"/>
      <c r="AJP13" s="46"/>
      <c r="AJQ13" s="46"/>
      <c r="AJR13" s="46"/>
      <c r="AJS13" s="46"/>
      <c r="AJT13" s="46"/>
      <c r="AJU13" s="46"/>
      <c r="AJV13" s="46"/>
      <c r="AJW13" s="46"/>
      <c r="AJX13" s="46"/>
      <c r="AJY13" s="46"/>
      <c r="AJZ13" s="46"/>
      <c r="AKA13" s="46"/>
      <c r="AKB13" s="46"/>
      <c r="AKC13" s="46"/>
      <c r="AKD13" s="46"/>
      <c r="AKE13" s="46"/>
      <c r="AKF13" s="46"/>
      <c r="AKG13" s="46"/>
      <c r="AKH13" s="46"/>
      <c r="AKI13" s="46"/>
      <c r="AKJ13" s="46"/>
      <c r="AKK13" s="46"/>
      <c r="AKL13" s="46"/>
      <c r="AKM13" s="46"/>
      <c r="AKN13" s="46"/>
      <c r="AKO13" s="46"/>
      <c r="AKP13" s="46"/>
      <c r="AKQ13" s="46"/>
      <c r="AKR13" s="46"/>
      <c r="AKS13" s="46"/>
      <c r="AKT13" s="46"/>
      <c r="AKU13" s="46"/>
      <c r="AKV13" s="46"/>
      <c r="AKW13" s="46"/>
      <c r="AKX13" s="46"/>
      <c r="AKY13" s="46"/>
      <c r="AKZ13" s="46"/>
      <c r="ALA13" s="46"/>
      <c r="ALB13" s="46"/>
      <c r="ALC13" s="46"/>
      <c r="ALD13" s="46"/>
      <c r="ALE13" s="46"/>
      <c r="ALF13" s="46"/>
      <c r="ALG13" s="46"/>
      <c r="ALH13" s="46"/>
      <c r="ALI13" s="46"/>
      <c r="ALJ13" s="46"/>
      <c r="ALK13" s="46"/>
      <c r="ALL13" s="46"/>
      <c r="ALM13" s="46"/>
      <c r="ALN13" s="46"/>
      <c r="ALO13" s="46"/>
      <c r="ALP13" s="46"/>
      <c r="ALQ13" s="46"/>
      <c r="ALR13" s="46"/>
      <c r="ALS13" s="46"/>
      <c r="ALT13" s="46"/>
      <c r="ALU13" s="46"/>
      <c r="ALV13" s="46"/>
      <c r="ALW13" s="46"/>
      <c r="ALX13" s="46"/>
      <c r="ALY13" s="46"/>
      <c r="ALZ13" s="46"/>
      <c r="AMA13" s="46"/>
      <c r="AMB13" s="46"/>
      <c r="AMC13" s="46"/>
      <c r="AMD13" s="46"/>
      <c r="AME13" s="46"/>
      <c r="AMF13" s="46"/>
      <c r="AMG13" s="46"/>
      <c r="AMH13" s="46"/>
      <c r="AMI13" s="46"/>
      <c r="AMJ13" s="46"/>
      <c r="AMK13" s="46"/>
      <c r="AML13" s="46"/>
      <c r="AMM13" s="46"/>
      <c r="AMN13" s="46"/>
      <c r="AMO13" s="46"/>
      <c r="AMP13" s="46"/>
      <c r="AMQ13" s="46"/>
      <c r="AMR13" s="46"/>
      <c r="AMS13" s="46"/>
      <c r="AMT13" s="46"/>
      <c r="AMU13" s="46"/>
      <c r="AMV13" s="46"/>
      <c r="AMW13" s="46"/>
      <c r="AMX13" s="46"/>
      <c r="AMY13" s="46"/>
      <c r="AMZ13" s="46"/>
      <c r="ANA13" s="46"/>
      <c r="ANB13" s="46"/>
      <c r="ANC13" s="46"/>
      <c r="AND13" s="46"/>
      <c r="ANE13" s="46"/>
      <c r="ANF13" s="46"/>
      <c r="ANG13" s="46"/>
      <c r="ANH13" s="46"/>
      <c r="ANI13" s="46"/>
      <c r="ANJ13" s="46"/>
      <c r="ANK13" s="46"/>
      <c r="ANL13" s="46"/>
      <c r="ANM13" s="46"/>
      <c r="ANN13" s="46"/>
      <c r="ANO13" s="46"/>
      <c r="ANP13" s="46"/>
      <c r="ANQ13" s="46"/>
      <c r="ANR13" s="46"/>
      <c r="ANS13" s="46"/>
      <c r="ANT13" s="46"/>
      <c r="ANU13" s="46"/>
      <c r="ANV13" s="46"/>
      <c r="ANW13" s="46"/>
      <c r="ANX13" s="46"/>
      <c r="ANY13" s="46"/>
      <c r="ANZ13" s="46"/>
      <c r="AOA13" s="46"/>
      <c r="AOB13" s="46"/>
      <c r="AOC13" s="46"/>
      <c r="AOD13" s="46"/>
      <c r="AOE13" s="46"/>
      <c r="AOF13" s="46"/>
      <c r="AOG13" s="46"/>
      <c r="AOH13" s="46"/>
      <c r="AOI13" s="46"/>
      <c r="AOJ13" s="46"/>
      <c r="AOK13" s="46"/>
      <c r="AOL13" s="46"/>
      <c r="AOM13" s="46"/>
      <c r="AON13" s="46"/>
      <c r="AOO13" s="46"/>
      <c r="AOP13" s="46"/>
      <c r="AOQ13" s="46"/>
      <c r="AOR13" s="46"/>
      <c r="AOS13" s="46"/>
      <c r="AOT13" s="46"/>
      <c r="AOU13" s="46"/>
      <c r="AOV13" s="46"/>
      <c r="AOW13" s="46"/>
      <c r="AOX13" s="46"/>
      <c r="AOY13" s="46"/>
      <c r="AOZ13" s="46"/>
      <c r="APA13" s="46"/>
      <c r="APB13" s="46"/>
      <c r="APC13" s="46"/>
      <c r="APD13" s="46"/>
      <c r="APE13" s="46"/>
      <c r="APF13" s="46"/>
      <c r="APG13" s="46"/>
      <c r="APH13" s="46"/>
      <c r="API13" s="46"/>
      <c r="APJ13" s="46"/>
      <c r="APK13" s="46"/>
      <c r="APL13" s="46"/>
      <c r="APM13" s="46"/>
      <c r="APN13" s="46"/>
      <c r="APO13" s="46"/>
      <c r="APP13" s="46"/>
      <c r="APQ13" s="46"/>
      <c r="APR13" s="46"/>
      <c r="APS13" s="46"/>
      <c r="APT13" s="46"/>
      <c r="APU13" s="46"/>
      <c r="APV13" s="46"/>
      <c r="APW13" s="46"/>
      <c r="APX13" s="46"/>
      <c r="APY13" s="46"/>
      <c r="APZ13" s="46"/>
      <c r="AQA13" s="46"/>
      <c r="AQB13" s="46"/>
      <c r="AQC13" s="46"/>
      <c r="AQD13" s="46"/>
      <c r="AQE13" s="46"/>
      <c r="AQF13" s="46"/>
      <c r="AQG13" s="46"/>
      <c r="AQH13" s="46"/>
      <c r="AQI13" s="46"/>
      <c r="AQJ13" s="46"/>
      <c r="AQK13" s="46"/>
      <c r="AQL13" s="46"/>
      <c r="AQM13" s="46"/>
      <c r="AQN13" s="46"/>
      <c r="AQO13" s="46"/>
      <c r="AQP13" s="46"/>
      <c r="AQQ13" s="46"/>
      <c r="AQR13" s="46"/>
      <c r="AQS13" s="46"/>
      <c r="AQT13" s="46"/>
      <c r="AQU13" s="46"/>
      <c r="AQV13" s="46"/>
      <c r="AQW13" s="46"/>
      <c r="AQX13" s="46"/>
      <c r="AQY13" s="46"/>
      <c r="AQZ13" s="46"/>
      <c r="ARA13" s="46"/>
      <c r="ARB13" s="46"/>
      <c r="ARC13" s="46"/>
      <c r="ARD13" s="46"/>
      <c r="ARE13" s="46"/>
      <c r="ARF13" s="46"/>
      <c r="ARG13" s="46"/>
      <c r="ARH13" s="46"/>
      <c r="ARI13" s="46"/>
      <c r="ARJ13" s="46"/>
      <c r="ARK13" s="46"/>
      <c r="ARL13" s="46"/>
      <c r="ARM13" s="46"/>
      <c r="ARN13" s="46"/>
      <c r="ARO13" s="46"/>
      <c r="ARP13" s="46"/>
      <c r="ARQ13" s="46"/>
      <c r="ARR13" s="46"/>
      <c r="ARS13" s="46"/>
      <c r="ART13" s="46"/>
      <c r="ARU13" s="46"/>
      <c r="ARV13" s="46"/>
      <c r="ARW13" s="46"/>
      <c r="ARX13" s="46"/>
      <c r="ARY13" s="46"/>
      <c r="ARZ13" s="46"/>
      <c r="ASA13" s="46"/>
      <c r="ASB13" s="46"/>
      <c r="ASC13" s="46"/>
      <c r="ASD13" s="46"/>
      <c r="ASE13" s="46"/>
      <c r="ASF13" s="46"/>
      <c r="ASG13" s="46"/>
      <c r="ASH13" s="46"/>
      <c r="ASI13" s="46"/>
      <c r="ASJ13" s="46"/>
      <c r="ASK13" s="46"/>
      <c r="ASL13" s="46"/>
      <c r="ASM13" s="46"/>
      <c r="ASN13" s="46"/>
      <c r="ASO13" s="46"/>
      <c r="ASP13" s="46"/>
      <c r="ASQ13" s="46"/>
      <c r="ASR13" s="46"/>
      <c r="ASS13" s="46"/>
      <c r="AST13" s="46"/>
      <c r="ASU13" s="46"/>
      <c r="ASV13" s="46"/>
      <c r="ASW13" s="46"/>
      <c r="ASX13" s="46"/>
      <c r="ASY13" s="46"/>
      <c r="ASZ13" s="46"/>
      <c r="ATA13" s="46"/>
      <c r="ATB13" s="46"/>
      <c r="ATC13" s="46"/>
      <c r="ATD13" s="46"/>
      <c r="ATE13" s="46"/>
      <c r="ATF13" s="46"/>
      <c r="ATG13" s="46"/>
      <c r="ATH13" s="46"/>
      <c r="ATI13" s="46"/>
      <c r="ATJ13" s="46"/>
      <c r="ATK13" s="46"/>
      <c r="ATL13" s="46"/>
      <c r="ATM13" s="46"/>
      <c r="ATN13" s="46"/>
      <c r="ATO13" s="46"/>
      <c r="ATP13" s="46"/>
      <c r="ATQ13" s="46"/>
      <c r="ATR13" s="46"/>
      <c r="ATS13" s="46"/>
      <c r="ATT13" s="46"/>
      <c r="ATU13" s="46"/>
      <c r="ATV13" s="46"/>
      <c r="ATW13" s="46"/>
      <c r="ATX13" s="46"/>
      <c r="ATY13" s="46"/>
      <c r="ATZ13" s="46"/>
      <c r="AUA13" s="46"/>
      <c r="AUB13" s="46"/>
      <c r="AUC13" s="46"/>
      <c r="AUD13" s="46"/>
      <c r="AUE13" s="46"/>
      <c r="AUF13" s="46"/>
      <c r="AUG13" s="46"/>
      <c r="AUH13" s="46"/>
      <c r="AUI13" s="46"/>
      <c r="AUJ13" s="46"/>
      <c r="AUK13" s="46"/>
      <c r="AUL13" s="46"/>
      <c r="AUM13" s="46"/>
      <c r="AUN13" s="46"/>
      <c r="AUO13" s="46"/>
      <c r="AUP13" s="46"/>
      <c r="AUQ13" s="46"/>
      <c r="AUR13" s="46"/>
      <c r="AUS13" s="46"/>
      <c r="AUT13" s="46"/>
      <c r="AUU13" s="46"/>
      <c r="AUV13" s="46"/>
      <c r="AUW13" s="46"/>
      <c r="AUX13" s="46"/>
      <c r="AUY13" s="46"/>
      <c r="AUZ13" s="46"/>
      <c r="AVA13" s="46"/>
      <c r="AVB13" s="46"/>
      <c r="AVC13" s="46"/>
      <c r="AVD13" s="46"/>
      <c r="AVE13" s="46"/>
      <c r="AVF13" s="46"/>
      <c r="AVG13" s="46"/>
      <c r="AVH13" s="46"/>
      <c r="AVI13" s="46"/>
      <c r="AVJ13" s="46"/>
      <c r="AVK13" s="46"/>
      <c r="AVL13" s="46"/>
      <c r="AVM13" s="46"/>
      <c r="AVN13" s="46"/>
      <c r="AVO13" s="46"/>
      <c r="AVP13" s="46"/>
      <c r="AVQ13" s="46"/>
      <c r="AVR13" s="46"/>
      <c r="AVS13" s="46"/>
      <c r="AVT13" s="46"/>
      <c r="AVU13" s="46"/>
      <c r="AVV13" s="46"/>
      <c r="AVW13" s="46"/>
      <c r="AVX13" s="46"/>
      <c r="AVY13" s="46"/>
      <c r="AVZ13" s="46"/>
      <c r="AWA13" s="46"/>
      <c r="AWB13" s="46"/>
      <c r="AWC13" s="46"/>
      <c r="AWD13" s="46"/>
      <c r="AWE13" s="46"/>
      <c r="AWF13" s="46"/>
      <c r="AWG13" s="46"/>
      <c r="AWH13" s="46"/>
      <c r="AWI13" s="46"/>
      <c r="AWJ13" s="46"/>
      <c r="AWK13" s="46"/>
      <c r="AWL13" s="46"/>
      <c r="AWM13" s="46"/>
      <c r="AWN13" s="46"/>
      <c r="AWO13" s="46"/>
      <c r="AWP13" s="46"/>
      <c r="AWQ13" s="46"/>
      <c r="AWR13" s="46"/>
      <c r="AWS13" s="46"/>
      <c r="AWT13" s="46"/>
      <c r="AWU13" s="46"/>
      <c r="AWV13" s="46"/>
      <c r="AWW13" s="46"/>
      <c r="AWX13" s="46"/>
      <c r="AWY13" s="46"/>
      <c r="AWZ13" s="46"/>
      <c r="AXA13" s="46"/>
      <c r="AXB13" s="46"/>
      <c r="AXC13" s="46"/>
      <c r="AXD13" s="46"/>
      <c r="AXE13" s="46"/>
      <c r="AXF13" s="46"/>
      <c r="AXG13" s="46"/>
      <c r="AXH13" s="46"/>
      <c r="AXI13" s="46"/>
      <c r="AXJ13" s="46"/>
      <c r="AXK13" s="46"/>
      <c r="AXL13" s="46"/>
      <c r="AXM13" s="46"/>
      <c r="AXN13" s="46"/>
      <c r="AXO13" s="46"/>
      <c r="AXP13" s="46"/>
      <c r="AXQ13" s="46"/>
      <c r="AXR13" s="46"/>
      <c r="AXS13" s="46"/>
      <c r="AXT13" s="46"/>
      <c r="AXU13" s="46"/>
      <c r="AXV13" s="46"/>
      <c r="AXW13" s="46"/>
      <c r="AXX13" s="46"/>
      <c r="AXY13" s="46"/>
      <c r="AXZ13" s="46"/>
      <c r="AYA13" s="46"/>
      <c r="AYB13" s="46"/>
      <c r="AYC13" s="46"/>
      <c r="AYD13" s="46"/>
      <c r="AYE13" s="46"/>
      <c r="AYF13" s="46"/>
      <c r="AYG13" s="46"/>
      <c r="AYH13" s="46"/>
      <c r="AYI13" s="46"/>
      <c r="AYJ13" s="46"/>
      <c r="AYK13" s="46"/>
      <c r="AYL13" s="46"/>
      <c r="AYM13" s="46"/>
      <c r="AYN13" s="46"/>
      <c r="AYO13" s="46"/>
      <c r="AYP13" s="46"/>
      <c r="AYQ13" s="46"/>
      <c r="AYR13" s="46"/>
      <c r="AYS13" s="46"/>
      <c r="AYT13" s="46"/>
      <c r="AYU13" s="46"/>
      <c r="AYV13" s="46"/>
      <c r="AYW13" s="46"/>
      <c r="AYX13" s="46"/>
      <c r="AYY13" s="46"/>
      <c r="AYZ13" s="46"/>
      <c r="AZA13" s="46"/>
      <c r="AZB13" s="46"/>
      <c r="AZC13" s="46"/>
      <c r="AZD13" s="46"/>
      <c r="AZE13" s="46"/>
      <c r="AZF13" s="46"/>
      <c r="AZG13" s="46"/>
      <c r="AZH13" s="46"/>
      <c r="AZI13" s="46"/>
      <c r="AZJ13" s="46"/>
      <c r="AZK13" s="46"/>
      <c r="AZL13" s="46"/>
      <c r="AZM13" s="46"/>
      <c r="AZN13" s="46"/>
      <c r="AZO13" s="46"/>
      <c r="AZP13" s="46"/>
      <c r="AZQ13" s="46"/>
      <c r="AZR13" s="46"/>
      <c r="AZS13" s="46"/>
      <c r="AZT13" s="46"/>
      <c r="AZU13" s="46"/>
      <c r="AZV13" s="46"/>
      <c r="AZW13" s="46"/>
      <c r="AZX13" s="46"/>
      <c r="AZY13" s="46"/>
      <c r="AZZ13" s="46"/>
      <c r="BAA13" s="46"/>
      <c r="BAB13" s="46"/>
      <c r="BAC13" s="46"/>
      <c r="BAD13" s="46"/>
      <c r="BAE13" s="46"/>
      <c r="BAF13" s="46"/>
      <c r="BAG13" s="46"/>
      <c r="BAH13" s="46"/>
      <c r="BAI13" s="46"/>
      <c r="BAJ13" s="46"/>
      <c r="BAK13" s="46"/>
      <c r="BAL13" s="46"/>
      <c r="BAM13" s="46"/>
      <c r="BAN13" s="46"/>
      <c r="BAO13" s="46"/>
      <c r="BAP13" s="46"/>
      <c r="BAQ13" s="46"/>
      <c r="BAR13" s="46"/>
      <c r="BAS13" s="46"/>
      <c r="BAT13" s="46"/>
      <c r="BAU13" s="46"/>
      <c r="BAV13" s="46"/>
      <c r="BAW13" s="46"/>
      <c r="BAX13" s="46"/>
      <c r="BAY13" s="46"/>
      <c r="BAZ13" s="46"/>
      <c r="BBA13" s="46"/>
      <c r="BBB13" s="46"/>
      <c r="BBC13" s="46"/>
      <c r="BBD13" s="46"/>
      <c r="BBE13" s="46"/>
      <c r="BBF13" s="46"/>
      <c r="BBG13" s="46"/>
      <c r="BBH13" s="46"/>
      <c r="BBI13" s="46"/>
      <c r="BBJ13" s="46"/>
      <c r="BBK13" s="46"/>
      <c r="BBL13" s="46"/>
      <c r="BBM13" s="46"/>
      <c r="BBN13" s="46"/>
      <c r="BBO13" s="46"/>
      <c r="BBP13" s="46"/>
      <c r="BBQ13" s="46"/>
      <c r="BBR13" s="46"/>
      <c r="BBS13" s="46"/>
      <c r="BBT13" s="46"/>
      <c r="BBU13" s="46"/>
      <c r="BBV13" s="46"/>
      <c r="BBW13" s="46"/>
      <c r="BBX13" s="46"/>
      <c r="BBY13" s="46"/>
      <c r="BBZ13" s="46"/>
      <c r="BCA13" s="46"/>
      <c r="BCB13" s="46"/>
      <c r="BCC13" s="46"/>
      <c r="BCD13" s="46"/>
      <c r="BCE13" s="46"/>
      <c r="BCF13" s="46"/>
      <c r="BCG13" s="46"/>
      <c r="BCH13" s="46"/>
      <c r="BCI13" s="46"/>
      <c r="BCJ13" s="46"/>
      <c r="BCK13" s="46"/>
      <c r="BCL13" s="46"/>
      <c r="BCM13" s="46"/>
      <c r="BCN13" s="46"/>
      <c r="BCO13" s="46"/>
      <c r="BCP13" s="46"/>
      <c r="BCQ13" s="46"/>
      <c r="BCR13" s="46"/>
      <c r="BCS13" s="46"/>
      <c r="BCT13" s="46"/>
      <c r="BCU13" s="46"/>
      <c r="BCV13" s="46"/>
      <c r="BCW13" s="46"/>
      <c r="BCX13" s="46"/>
      <c r="BCY13" s="46"/>
      <c r="BCZ13" s="46"/>
      <c r="BDA13" s="46"/>
      <c r="BDB13" s="46"/>
      <c r="BDC13" s="46"/>
      <c r="BDD13" s="46"/>
      <c r="BDE13" s="46"/>
      <c r="BDF13" s="46"/>
      <c r="BDG13" s="46"/>
      <c r="BDH13" s="46"/>
      <c r="BDI13" s="46"/>
      <c r="BDJ13" s="46"/>
      <c r="BDK13" s="46"/>
      <c r="BDL13" s="46"/>
      <c r="BDM13" s="46"/>
      <c r="BDN13" s="46"/>
      <c r="BDO13" s="46"/>
      <c r="BDP13" s="46"/>
      <c r="BDQ13" s="46"/>
      <c r="BDR13" s="46"/>
      <c r="BDS13" s="46"/>
      <c r="BDT13" s="46"/>
      <c r="BDU13" s="46"/>
      <c r="BDV13" s="46"/>
      <c r="BDW13" s="46"/>
      <c r="BDX13" s="46"/>
      <c r="BDY13" s="46"/>
      <c r="BDZ13" s="46"/>
      <c r="BEA13" s="46"/>
      <c r="BEB13" s="46"/>
      <c r="BEC13" s="46"/>
      <c r="BED13" s="46"/>
      <c r="BEE13" s="46"/>
      <c r="BEF13" s="46"/>
      <c r="BEG13" s="46"/>
      <c r="BEH13" s="46"/>
      <c r="BEI13" s="46"/>
      <c r="BEJ13" s="46"/>
      <c r="BEK13" s="46"/>
      <c r="BEL13" s="46"/>
      <c r="BEM13" s="46"/>
      <c r="BEN13" s="46"/>
      <c r="BEO13" s="46"/>
      <c r="BEP13" s="46"/>
      <c r="BEQ13" s="46"/>
      <c r="BER13" s="46"/>
      <c r="BES13" s="46"/>
      <c r="BET13" s="46"/>
      <c r="BEU13" s="46"/>
      <c r="BEV13" s="46"/>
      <c r="BEW13" s="46"/>
      <c r="BEX13" s="46"/>
      <c r="BEY13" s="46"/>
      <c r="BEZ13" s="46"/>
      <c r="BFA13" s="46"/>
      <c r="BFB13" s="46"/>
      <c r="BFC13" s="46"/>
      <c r="BFD13" s="46"/>
      <c r="BFE13" s="46"/>
      <c r="BFF13" s="46"/>
      <c r="BFG13" s="46"/>
      <c r="BFH13" s="46"/>
      <c r="BFI13" s="46"/>
      <c r="BFJ13" s="46"/>
      <c r="BFK13" s="46"/>
      <c r="BFL13" s="46"/>
      <c r="BFM13" s="46"/>
      <c r="BFN13" s="46"/>
      <c r="BFO13" s="46"/>
      <c r="BFP13" s="46"/>
      <c r="BFQ13" s="46"/>
      <c r="BFR13" s="46"/>
      <c r="BFS13" s="46"/>
      <c r="BFT13" s="46"/>
      <c r="BFU13" s="46"/>
      <c r="BFV13" s="46"/>
      <c r="BFW13" s="46"/>
      <c r="BFX13" s="46"/>
      <c r="BFY13" s="46"/>
      <c r="BFZ13" s="46"/>
      <c r="BGA13" s="46"/>
      <c r="BGB13" s="46"/>
      <c r="BGC13" s="46"/>
      <c r="BGD13" s="46"/>
      <c r="BGE13" s="46"/>
      <c r="BGF13" s="46"/>
      <c r="BGG13" s="46"/>
      <c r="BGH13" s="46"/>
      <c r="BGI13" s="46"/>
      <c r="BGJ13" s="46"/>
      <c r="BGK13" s="46"/>
      <c r="BGL13" s="46"/>
      <c r="BGM13" s="46"/>
      <c r="BGN13" s="46"/>
      <c r="BGO13" s="46"/>
      <c r="BGP13" s="46"/>
      <c r="BGQ13" s="46"/>
      <c r="BGR13" s="46"/>
      <c r="BGS13" s="46"/>
      <c r="BGT13" s="46"/>
      <c r="BGU13" s="46"/>
      <c r="BGV13" s="46"/>
      <c r="BGW13" s="46"/>
      <c r="BGX13" s="46"/>
      <c r="BGY13" s="46"/>
      <c r="BGZ13" s="46"/>
      <c r="BHA13" s="46"/>
      <c r="BHB13" s="46"/>
      <c r="BHC13" s="46"/>
      <c r="BHD13" s="46"/>
      <c r="BHE13" s="46"/>
      <c r="BHF13" s="46"/>
      <c r="BHG13" s="46"/>
      <c r="BHH13" s="46"/>
      <c r="BHI13" s="46"/>
      <c r="BHJ13" s="46"/>
      <c r="BHK13" s="46"/>
      <c r="BHL13" s="46"/>
      <c r="BHM13" s="46"/>
      <c r="BHN13" s="46"/>
      <c r="BHO13" s="46"/>
      <c r="BHP13" s="46"/>
      <c r="BHQ13" s="46"/>
      <c r="BHR13" s="46"/>
      <c r="BHS13" s="46"/>
      <c r="BHT13" s="46"/>
      <c r="BHU13" s="46"/>
      <c r="BHV13" s="46"/>
      <c r="BHW13" s="46"/>
      <c r="BHX13" s="46"/>
      <c r="BHY13" s="46"/>
      <c r="BHZ13" s="46"/>
      <c r="BIA13" s="46"/>
      <c r="BIB13" s="46"/>
      <c r="BIC13" s="46"/>
      <c r="BID13" s="46"/>
      <c r="BIE13" s="46"/>
      <c r="BIF13" s="46"/>
      <c r="BIG13" s="46"/>
      <c r="BIH13" s="46"/>
      <c r="BII13" s="46"/>
      <c r="BIJ13" s="46"/>
      <c r="BIK13" s="46"/>
      <c r="BIL13" s="46"/>
      <c r="BIM13" s="46"/>
      <c r="BIN13" s="46"/>
      <c r="BIO13" s="46"/>
      <c r="BIP13" s="46"/>
      <c r="BIQ13" s="46"/>
      <c r="BIR13" s="46"/>
      <c r="BIS13" s="46"/>
      <c r="BIT13" s="46"/>
      <c r="BIU13" s="46"/>
      <c r="BIV13" s="46"/>
      <c r="BIW13" s="46"/>
      <c r="BIX13" s="46"/>
      <c r="BIY13" s="46"/>
      <c r="BIZ13" s="46"/>
      <c r="BJA13" s="46"/>
      <c r="BJB13" s="46"/>
      <c r="BJC13" s="46"/>
      <c r="BJD13" s="46"/>
      <c r="BJE13" s="46"/>
      <c r="BJF13" s="46"/>
      <c r="BJG13" s="46"/>
      <c r="BJH13" s="46"/>
      <c r="BJI13" s="46"/>
      <c r="BJJ13" s="46"/>
      <c r="BJK13" s="46"/>
      <c r="BJL13" s="46"/>
      <c r="BJM13" s="46"/>
      <c r="BJN13" s="46"/>
      <c r="BJO13" s="46"/>
      <c r="BJP13" s="46"/>
      <c r="BJQ13" s="46"/>
      <c r="BJR13" s="46"/>
      <c r="BJS13" s="46"/>
      <c r="BJT13" s="46"/>
      <c r="BJU13" s="46"/>
      <c r="BJV13" s="46"/>
      <c r="BJW13" s="46"/>
      <c r="BJX13" s="46"/>
      <c r="BJY13" s="46"/>
      <c r="BJZ13" s="46"/>
      <c r="BKA13" s="46"/>
      <c r="BKB13" s="46"/>
      <c r="BKC13" s="46"/>
      <c r="BKD13" s="46"/>
      <c r="BKE13" s="46"/>
      <c r="BKF13" s="46"/>
      <c r="BKG13" s="46"/>
      <c r="BKH13" s="46"/>
      <c r="BKI13" s="46"/>
      <c r="BKJ13" s="46"/>
      <c r="BKK13" s="46"/>
      <c r="BKL13" s="46"/>
      <c r="BKM13" s="46"/>
      <c r="BKN13" s="46"/>
      <c r="BKO13" s="46"/>
      <c r="BKP13" s="46"/>
      <c r="BKQ13" s="46"/>
      <c r="BKR13" s="46"/>
      <c r="BKS13" s="46"/>
      <c r="BKT13" s="46"/>
      <c r="BKU13" s="46"/>
      <c r="BKV13" s="46"/>
      <c r="BKW13" s="46"/>
      <c r="BKX13" s="46"/>
      <c r="BKY13" s="46"/>
      <c r="BKZ13" s="46"/>
      <c r="BLA13" s="46"/>
      <c r="BLB13" s="46"/>
      <c r="BLC13" s="46"/>
      <c r="BLD13" s="46"/>
      <c r="BLE13" s="46"/>
      <c r="BLF13" s="46"/>
      <c r="BLG13" s="46"/>
      <c r="BLH13" s="46"/>
      <c r="BLI13" s="46"/>
      <c r="BLJ13" s="46"/>
      <c r="BLK13" s="46"/>
      <c r="BLL13" s="46"/>
      <c r="BLM13" s="46"/>
      <c r="BLN13" s="46"/>
      <c r="BLO13" s="46"/>
      <c r="BLP13" s="46"/>
      <c r="BLQ13" s="46"/>
      <c r="BLR13" s="46"/>
      <c r="BLS13" s="46"/>
      <c r="BLT13" s="46"/>
      <c r="BLU13" s="46"/>
      <c r="BLV13" s="46"/>
      <c r="BLW13" s="46"/>
      <c r="BLX13" s="46"/>
      <c r="BLY13" s="46"/>
      <c r="BLZ13" s="46"/>
      <c r="BMA13" s="46"/>
      <c r="BMB13" s="46"/>
      <c r="BMC13" s="46"/>
      <c r="BMD13" s="46"/>
      <c r="BME13" s="46"/>
      <c r="BMF13" s="46"/>
      <c r="BMG13" s="46"/>
      <c r="BMH13" s="46"/>
      <c r="BMI13" s="46"/>
      <c r="BMJ13" s="46"/>
      <c r="BMK13" s="46"/>
      <c r="BML13" s="46"/>
      <c r="BMM13" s="46"/>
      <c r="BMN13" s="46"/>
      <c r="BMO13" s="46"/>
      <c r="BMP13" s="46"/>
      <c r="BMQ13" s="46"/>
      <c r="BMR13" s="46"/>
      <c r="BMS13" s="46"/>
      <c r="BMT13" s="46"/>
      <c r="BMU13" s="46"/>
      <c r="BMV13" s="46"/>
      <c r="BMW13" s="46"/>
      <c r="BMX13" s="46"/>
      <c r="BMY13" s="46"/>
      <c r="BMZ13" s="46"/>
      <c r="BNA13" s="46"/>
      <c r="BNB13" s="46"/>
      <c r="BNC13" s="46"/>
      <c r="BND13" s="46"/>
      <c r="BNE13" s="46"/>
      <c r="BNF13" s="46"/>
      <c r="BNG13" s="46"/>
      <c r="BNH13" s="46"/>
      <c r="BNI13" s="46"/>
      <c r="BNJ13" s="46"/>
      <c r="BNK13" s="46"/>
      <c r="BNL13" s="46"/>
      <c r="BNM13" s="46"/>
      <c r="BNN13" s="46"/>
      <c r="BNO13" s="46"/>
      <c r="BNP13" s="46"/>
      <c r="BNQ13" s="46"/>
      <c r="BNR13" s="46"/>
      <c r="BNS13" s="46"/>
      <c r="BNT13" s="46"/>
      <c r="BNU13" s="46"/>
      <c r="BNV13" s="46"/>
      <c r="BNW13" s="46"/>
      <c r="BNX13" s="46"/>
      <c r="BNY13" s="46"/>
      <c r="BNZ13" s="46"/>
      <c r="BOA13" s="46"/>
      <c r="BOB13" s="46"/>
      <c r="BOC13" s="46"/>
      <c r="BOD13" s="46"/>
      <c r="BOE13" s="46"/>
      <c r="BOF13" s="46"/>
      <c r="BOG13" s="46"/>
      <c r="BOH13" s="46"/>
      <c r="BOI13" s="46"/>
      <c r="BOJ13" s="46"/>
      <c r="BOK13" s="46"/>
      <c r="BOL13" s="46"/>
      <c r="BOM13" s="46"/>
      <c r="BON13" s="46"/>
      <c r="BOO13" s="46"/>
      <c r="BOP13" s="46"/>
      <c r="BOQ13" s="46"/>
      <c r="BOR13" s="46"/>
      <c r="BOS13" s="46"/>
      <c r="BOT13" s="46"/>
      <c r="BOU13" s="46"/>
      <c r="BOV13" s="46"/>
      <c r="BOW13" s="46"/>
      <c r="BOX13" s="46"/>
      <c r="BOY13" s="46"/>
      <c r="BOZ13" s="46"/>
      <c r="BPA13" s="46"/>
      <c r="BPB13" s="46"/>
      <c r="BPC13" s="46"/>
      <c r="BPD13" s="46"/>
      <c r="BPE13" s="46"/>
      <c r="BPF13" s="46"/>
      <c r="BPG13" s="46"/>
      <c r="BPH13" s="46"/>
      <c r="BPI13" s="46"/>
      <c r="BPJ13" s="46"/>
      <c r="BPK13" s="46"/>
      <c r="BPL13" s="46"/>
      <c r="BPM13" s="46"/>
      <c r="BPN13" s="46"/>
      <c r="BPO13" s="46"/>
      <c r="BPP13" s="46"/>
      <c r="BPQ13" s="46"/>
      <c r="BPR13" s="46"/>
      <c r="BPS13" s="46"/>
      <c r="BPT13" s="46"/>
      <c r="BPU13" s="46"/>
      <c r="BPV13" s="46"/>
      <c r="BPW13" s="46"/>
      <c r="BPX13" s="46"/>
      <c r="BPY13" s="46"/>
      <c r="BPZ13" s="46"/>
      <c r="BQA13" s="46"/>
      <c r="BQB13" s="46"/>
      <c r="BQC13" s="46"/>
      <c r="BQD13" s="46"/>
      <c r="BQE13" s="46"/>
      <c r="BQF13" s="46"/>
      <c r="BQG13" s="46"/>
      <c r="BQH13" s="46"/>
      <c r="BQI13" s="46"/>
      <c r="BQJ13" s="46"/>
      <c r="BQK13" s="46"/>
      <c r="BQL13" s="46"/>
      <c r="BQM13" s="46"/>
      <c r="BQN13" s="46"/>
      <c r="BQO13" s="46"/>
      <c r="BQP13" s="46"/>
      <c r="BQQ13" s="46"/>
      <c r="BQR13" s="46"/>
      <c r="BQS13" s="46"/>
      <c r="BQT13" s="46"/>
      <c r="BQU13" s="46"/>
      <c r="BQV13" s="46"/>
      <c r="BQW13" s="46"/>
      <c r="BQX13" s="46"/>
      <c r="BQY13" s="46"/>
      <c r="BQZ13" s="46"/>
      <c r="BRA13" s="46"/>
      <c r="BRB13" s="46"/>
      <c r="BRC13" s="46"/>
      <c r="BRD13" s="46"/>
      <c r="BRE13" s="46"/>
      <c r="BRF13" s="46"/>
      <c r="BRG13" s="46"/>
      <c r="BRH13" s="46"/>
      <c r="BRI13" s="46"/>
      <c r="BRJ13" s="46"/>
      <c r="BRK13" s="46"/>
      <c r="BRL13" s="46"/>
      <c r="BRM13" s="46"/>
      <c r="BRN13" s="46"/>
      <c r="BRO13" s="46"/>
      <c r="BRP13" s="46"/>
      <c r="BRQ13" s="46"/>
      <c r="BRR13" s="46"/>
      <c r="BRS13" s="46"/>
      <c r="BRT13" s="46"/>
      <c r="BRU13" s="46"/>
      <c r="BRV13" s="46"/>
      <c r="BRW13" s="46"/>
      <c r="BRX13" s="46"/>
      <c r="BRY13" s="46"/>
      <c r="BRZ13" s="46"/>
      <c r="BSA13" s="46"/>
      <c r="BSB13" s="46"/>
      <c r="BSC13" s="46"/>
      <c r="BSD13" s="46"/>
      <c r="BSE13" s="46"/>
      <c r="BSF13" s="46"/>
      <c r="BSG13" s="46"/>
      <c r="BSH13" s="46"/>
      <c r="BSI13" s="46"/>
      <c r="BSJ13" s="46"/>
      <c r="BSK13" s="46"/>
      <c r="BSL13" s="46"/>
      <c r="BSM13" s="46"/>
      <c r="BSN13" s="46"/>
      <c r="BSO13" s="46"/>
      <c r="BSP13" s="46"/>
      <c r="BSQ13" s="46"/>
      <c r="BSR13" s="46"/>
      <c r="BSS13" s="46"/>
      <c r="BST13" s="46"/>
      <c r="BSU13" s="46"/>
      <c r="BSV13" s="46"/>
      <c r="BSW13" s="46"/>
      <c r="BSX13" s="46"/>
      <c r="BSY13" s="46"/>
      <c r="BSZ13" s="46"/>
      <c r="BTA13" s="46"/>
      <c r="BTB13" s="46"/>
      <c r="BTC13" s="46"/>
      <c r="BTD13" s="46"/>
      <c r="BTE13" s="46"/>
      <c r="BTF13" s="46"/>
      <c r="BTG13" s="46"/>
      <c r="BTH13" s="46"/>
      <c r="BTI13" s="46"/>
      <c r="BTJ13" s="46"/>
      <c r="BTK13" s="46"/>
      <c r="BTL13" s="46"/>
      <c r="BTM13" s="46"/>
      <c r="BTN13" s="46"/>
      <c r="BTO13" s="46"/>
      <c r="BTP13" s="46"/>
      <c r="BTQ13" s="46"/>
      <c r="BTR13" s="46"/>
      <c r="BTS13" s="46"/>
      <c r="BTT13" s="46"/>
      <c r="BTU13" s="46"/>
      <c r="BTV13" s="46"/>
      <c r="BTW13" s="46"/>
      <c r="BTX13" s="46"/>
      <c r="BTY13" s="46"/>
      <c r="BTZ13" s="46"/>
      <c r="BUA13" s="46"/>
      <c r="BUB13" s="46"/>
      <c r="BUC13" s="46"/>
      <c r="BUD13" s="46"/>
      <c r="BUE13" s="46"/>
      <c r="BUF13" s="46"/>
      <c r="BUG13" s="46"/>
      <c r="BUH13" s="46"/>
      <c r="BUI13" s="46"/>
      <c r="BUJ13" s="46"/>
      <c r="BUK13" s="46"/>
      <c r="BUL13" s="46"/>
      <c r="BUM13" s="46"/>
      <c r="BUN13" s="46"/>
      <c r="BUO13" s="46"/>
      <c r="BUP13" s="46"/>
      <c r="BUQ13" s="46"/>
      <c r="BUR13" s="46"/>
      <c r="BUS13" s="46"/>
      <c r="BUT13" s="46"/>
      <c r="BUU13" s="46"/>
      <c r="BUV13" s="46"/>
      <c r="BUW13" s="46"/>
      <c r="BUX13" s="46"/>
      <c r="BUY13" s="46"/>
      <c r="BUZ13" s="46"/>
      <c r="BVA13" s="46"/>
      <c r="BVB13" s="46"/>
      <c r="BVC13" s="46"/>
      <c r="BVD13" s="46"/>
      <c r="BVE13" s="46"/>
      <c r="BVF13" s="46"/>
      <c r="BVG13" s="46"/>
      <c r="BVH13" s="46"/>
      <c r="BVI13" s="46"/>
      <c r="BVJ13" s="46"/>
      <c r="BVK13" s="46"/>
      <c r="BVL13" s="46"/>
      <c r="BVM13" s="46"/>
      <c r="BVN13" s="46"/>
      <c r="BVO13" s="46"/>
      <c r="BVP13" s="46"/>
      <c r="BVQ13" s="46"/>
      <c r="BVR13" s="46"/>
      <c r="BVS13" s="46"/>
      <c r="BVT13" s="46"/>
      <c r="BVU13" s="46"/>
      <c r="BVV13" s="46"/>
      <c r="BVW13" s="46"/>
      <c r="BVX13" s="46"/>
      <c r="BVY13" s="46"/>
      <c r="BVZ13" s="46"/>
      <c r="BWA13" s="46"/>
      <c r="BWB13" s="46"/>
      <c r="BWC13" s="46"/>
      <c r="BWD13" s="46"/>
      <c r="BWE13" s="46"/>
      <c r="BWF13" s="46"/>
      <c r="BWG13" s="46"/>
      <c r="BWH13" s="46"/>
      <c r="BWI13" s="46"/>
      <c r="BWJ13" s="46"/>
      <c r="BWK13" s="46"/>
      <c r="BWL13" s="46"/>
      <c r="BWM13" s="46"/>
      <c r="BWN13" s="46"/>
      <c r="BWO13" s="46"/>
      <c r="BWP13" s="46"/>
      <c r="BWQ13" s="46"/>
      <c r="BWR13" s="46"/>
      <c r="BWS13" s="46"/>
      <c r="BWT13" s="46"/>
      <c r="BWU13" s="46"/>
      <c r="BWV13" s="46"/>
      <c r="BWW13" s="46"/>
      <c r="BWX13" s="46"/>
      <c r="BWY13" s="46"/>
      <c r="BWZ13" s="46"/>
      <c r="BXA13" s="46"/>
      <c r="BXB13" s="46"/>
      <c r="BXC13" s="46"/>
      <c r="BXD13" s="46"/>
      <c r="BXE13" s="46"/>
      <c r="BXF13" s="46"/>
      <c r="BXG13" s="46"/>
      <c r="BXH13" s="46"/>
      <c r="BXI13" s="46"/>
      <c r="BXJ13" s="46"/>
      <c r="BXK13" s="46"/>
      <c r="BXL13" s="46"/>
      <c r="BXM13" s="46"/>
      <c r="BXN13" s="46"/>
      <c r="BXO13" s="46"/>
      <c r="BXP13" s="46"/>
      <c r="BXQ13" s="46"/>
      <c r="BXR13" s="46"/>
      <c r="BXS13" s="46"/>
      <c r="BXT13" s="46"/>
      <c r="BXU13" s="46"/>
      <c r="BXV13" s="46"/>
      <c r="BXW13" s="46"/>
      <c r="BXX13" s="46"/>
      <c r="BXY13" s="46"/>
      <c r="BXZ13" s="46"/>
      <c r="BYA13" s="46"/>
      <c r="BYB13" s="46"/>
      <c r="BYC13" s="46"/>
      <c r="BYD13" s="46"/>
      <c r="BYE13" s="46"/>
      <c r="BYF13" s="46"/>
      <c r="BYG13" s="46"/>
      <c r="BYH13" s="46"/>
      <c r="BYI13" s="46"/>
      <c r="BYJ13" s="46"/>
      <c r="BYK13" s="46"/>
      <c r="BYL13" s="46"/>
      <c r="BYM13" s="46"/>
      <c r="BYN13" s="46"/>
      <c r="BYO13" s="46"/>
      <c r="BYP13" s="46"/>
      <c r="BYQ13" s="46"/>
      <c r="BYR13" s="46"/>
      <c r="BYS13" s="46"/>
      <c r="BYT13" s="46"/>
      <c r="BYU13" s="46"/>
      <c r="BYV13" s="46"/>
      <c r="BYW13" s="46"/>
      <c r="BYX13" s="46"/>
      <c r="BYY13" s="46"/>
      <c r="BYZ13" s="46"/>
      <c r="BZA13" s="46"/>
      <c r="BZB13" s="46"/>
      <c r="BZC13" s="46"/>
      <c r="BZD13" s="46"/>
      <c r="BZE13" s="46"/>
      <c r="BZF13" s="46"/>
      <c r="BZG13" s="46"/>
      <c r="BZH13" s="46"/>
      <c r="BZI13" s="46"/>
      <c r="BZJ13" s="46"/>
      <c r="BZK13" s="46"/>
      <c r="BZL13" s="46"/>
      <c r="BZM13" s="46"/>
      <c r="BZN13" s="46"/>
      <c r="BZO13" s="46"/>
      <c r="BZP13" s="46"/>
      <c r="BZQ13" s="46"/>
      <c r="BZR13" s="46"/>
      <c r="BZS13" s="46"/>
      <c r="BZT13" s="46"/>
      <c r="BZU13" s="46"/>
      <c r="BZV13" s="46"/>
      <c r="BZW13" s="46"/>
      <c r="BZX13" s="46"/>
      <c r="BZY13" s="46"/>
      <c r="BZZ13" s="46"/>
      <c r="CAA13" s="46"/>
      <c r="CAB13" s="46"/>
      <c r="CAC13" s="46"/>
      <c r="CAD13" s="46"/>
      <c r="CAE13" s="46"/>
      <c r="CAF13" s="46"/>
      <c r="CAG13" s="46"/>
      <c r="CAH13" s="46"/>
      <c r="CAI13" s="46"/>
      <c r="CAJ13" s="46"/>
      <c r="CAK13" s="46"/>
      <c r="CAL13" s="46"/>
      <c r="CAM13" s="46"/>
      <c r="CAN13" s="46"/>
      <c r="CAO13" s="46"/>
      <c r="CAP13" s="46"/>
      <c r="CAQ13" s="46"/>
      <c r="CAR13" s="46"/>
      <c r="CAS13" s="46"/>
      <c r="CAT13" s="46"/>
      <c r="CAU13" s="46"/>
      <c r="CAV13" s="46"/>
      <c r="CAW13" s="46"/>
      <c r="CAX13" s="46"/>
      <c r="CAY13" s="46"/>
      <c r="CAZ13" s="46"/>
      <c r="CBA13" s="46"/>
      <c r="CBB13" s="46"/>
      <c r="CBC13" s="46"/>
      <c r="CBD13" s="46"/>
      <c r="CBE13" s="46"/>
      <c r="CBF13" s="46"/>
      <c r="CBG13" s="46"/>
      <c r="CBH13" s="46"/>
      <c r="CBI13" s="46"/>
      <c r="CBJ13" s="46"/>
      <c r="CBK13" s="46"/>
      <c r="CBL13" s="46"/>
      <c r="CBM13" s="46"/>
      <c r="CBN13" s="46"/>
      <c r="CBO13" s="46"/>
      <c r="CBP13" s="46"/>
      <c r="CBQ13" s="46"/>
      <c r="CBR13" s="46"/>
      <c r="CBS13" s="46"/>
      <c r="CBT13" s="46"/>
      <c r="CBU13" s="46"/>
      <c r="CBV13" s="46"/>
      <c r="CBW13" s="46"/>
      <c r="CBX13" s="46"/>
      <c r="CBY13" s="46"/>
      <c r="CBZ13" s="46"/>
      <c r="CCA13" s="46"/>
      <c r="CCB13" s="46"/>
      <c r="CCC13" s="46"/>
      <c r="CCD13" s="46"/>
      <c r="CCE13" s="46"/>
      <c r="CCF13" s="46"/>
      <c r="CCG13" s="46"/>
      <c r="CCH13" s="46"/>
      <c r="CCI13" s="46"/>
      <c r="CCJ13" s="46"/>
      <c r="CCK13" s="46"/>
      <c r="CCL13" s="46"/>
      <c r="CCM13" s="46"/>
      <c r="CCN13" s="46"/>
      <c r="CCO13" s="46"/>
      <c r="CCP13" s="46"/>
      <c r="CCQ13" s="46"/>
      <c r="CCR13" s="46"/>
      <c r="CCS13" s="46"/>
      <c r="CCT13" s="46"/>
      <c r="CCU13" s="46"/>
      <c r="CCV13" s="46"/>
      <c r="CCW13" s="46"/>
      <c r="CCX13" s="46"/>
      <c r="CCY13" s="46"/>
      <c r="CCZ13" s="46"/>
      <c r="CDA13" s="46"/>
      <c r="CDB13" s="46"/>
      <c r="CDC13" s="46"/>
      <c r="CDD13" s="46"/>
      <c r="CDE13" s="46"/>
      <c r="CDF13" s="46"/>
      <c r="CDG13" s="46"/>
      <c r="CDH13" s="46"/>
      <c r="CDI13" s="46"/>
      <c r="CDJ13" s="46"/>
      <c r="CDK13" s="46"/>
      <c r="CDL13" s="46"/>
      <c r="CDM13" s="46"/>
      <c r="CDN13" s="46"/>
      <c r="CDO13" s="46"/>
      <c r="CDP13" s="46"/>
      <c r="CDQ13" s="46"/>
      <c r="CDR13" s="46"/>
      <c r="CDS13" s="46"/>
      <c r="CDT13" s="46"/>
      <c r="CDU13" s="46"/>
      <c r="CDV13" s="46"/>
      <c r="CDW13" s="46"/>
      <c r="CDX13" s="46"/>
      <c r="CDY13" s="46"/>
      <c r="CDZ13" s="46"/>
      <c r="CEA13" s="46"/>
      <c r="CEB13" s="46"/>
      <c r="CEC13" s="46"/>
      <c r="CED13" s="46"/>
      <c r="CEE13" s="46"/>
      <c r="CEF13" s="46"/>
      <c r="CEG13" s="46"/>
      <c r="CEH13" s="46"/>
      <c r="CEI13" s="46"/>
      <c r="CEJ13" s="46"/>
      <c r="CEK13" s="46"/>
      <c r="CEL13" s="46"/>
      <c r="CEM13" s="46"/>
      <c r="CEN13" s="46"/>
      <c r="CEO13" s="46"/>
      <c r="CEP13" s="46"/>
      <c r="CEQ13" s="46"/>
      <c r="CER13" s="46"/>
      <c r="CES13" s="46"/>
      <c r="CET13" s="46"/>
      <c r="CEU13" s="46"/>
      <c r="CEV13" s="46"/>
      <c r="CEW13" s="46"/>
      <c r="CEX13" s="46"/>
      <c r="CEY13" s="46"/>
      <c r="CEZ13" s="46"/>
      <c r="CFA13" s="46"/>
      <c r="CFB13" s="46"/>
      <c r="CFC13" s="46"/>
      <c r="CFD13" s="46"/>
      <c r="CFE13" s="46"/>
      <c r="CFF13" s="46"/>
      <c r="CFG13" s="46"/>
      <c r="CFH13" s="46"/>
      <c r="CFI13" s="46"/>
      <c r="CFJ13" s="46"/>
      <c r="CFK13" s="46"/>
      <c r="CFL13" s="46"/>
      <c r="CFM13" s="46"/>
      <c r="CFN13" s="46"/>
      <c r="CFO13" s="46"/>
      <c r="CFP13" s="46"/>
      <c r="CFQ13" s="46"/>
      <c r="CFR13" s="46"/>
      <c r="CFS13" s="46"/>
      <c r="CFT13" s="46"/>
      <c r="CFU13" s="46"/>
      <c r="CFV13" s="46"/>
      <c r="CFW13" s="46"/>
      <c r="CFX13" s="46"/>
      <c r="CFY13" s="46"/>
      <c r="CFZ13" s="46"/>
      <c r="CGA13" s="46"/>
      <c r="CGB13" s="46"/>
      <c r="CGC13" s="46"/>
      <c r="CGD13" s="46"/>
      <c r="CGE13" s="46"/>
      <c r="CGF13" s="46"/>
      <c r="CGG13" s="46"/>
      <c r="CGH13" s="46"/>
      <c r="CGI13" s="46"/>
      <c r="CGJ13" s="46"/>
      <c r="CGK13" s="46"/>
      <c r="CGL13" s="46"/>
      <c r="CGM13" s="46"/>
      <c r="CGN13" s="46"/>
      <c r="CGO13" s="46"/>
      <c r="CGP13" s="46"/>
      <c r="CGQ13" s="46"/>
      <c r="CGR13" s="46"/>
      <c r="CGS13" s="46"/>
      <c r="CGT13" s="46"/>
      <c r="CGU13" s="46"/>
      <c r="CGV13" s="46"/>
      <c r="CGW13" s="46"/>
      <c r="CGX13" s="46"/>
      <c r="CGY13" s="46"/>
      <c r="CGZ13" s="46"/>
      <c r="CHA13" s="46"/>
      <c r="CHB13" s="46"/>
      <c r="CHC13" s="46"/>
      <c r="CHD13" s="46"/>
      <c r="CHE13" s="46"/>
      <c r="CHF13" s="46"/>
      <c r="CHG13" s="46"/>
      <c r="CHH13" s="46"/>
      <c r="CHI13" s="46"/>
      <c r="CHJ13" s="46"/>
      <c r="CHK13" s="46"/>
      <c r="CHL13" s="46"/>
      <c r="CHM13" s="46"/>
      <c r="CHN13" s="46"/>
      <c r="CHO13" s="46"/>
      <c r="CHP13" s="46"/>
      <c r="CHQ13" s="46"/>
      <c r="CHR13" s="46"/>
      <c r="CHS13" s="46"/>
      <c r="CHT13" s="46"/>
      <c r="CHU13" s="46"/>
      <c r="CHV13" s="46"/>
      <c r="CHW13" s="46"/>
      <c r="CHX13" s="46"/>
      <c r="CHY13" s="46"/>
      <c r="CHZ13" s="46"/>
      <c r="CIA13" s="46"/>
      <c r="CIB13" s="46"/>
      <c r="CIC13" s="46"/>
      <c r="CID13" s="46"/>
      <c r="CIE13" s="46"/>
      <c r="CIF13" s="46"/>
      <c r="CIG13" s="46"/>
      <c r="CIH13" s="46"/>
      <c r="CII13" s="46"/>
      <c r="CIJ13" s="46"/>
      <c r="CIK13" s="46"/>
      <c r="CIL13" s="46"/>
      <c r="CIM13" s="46"/>
      <c r="CIN13" s="46"/>
      <c r="CIO13" s="46"/>
      <c r="CIP13" s="46"/>
      <c r="CIQ13" s="46"/>
      <c r="CIR13" s="46"/>
      <c r="CIS13" s="46"/>
      <c r="CIT13" s="46"/>
      <c r="CIU13" s="46"/>
      <c r="CIV13" s="46"/>
      <c r="CIW13" s="46"/>
      <c r="CIX13" s="46"/>
      <c r="CIY13" s="46"/>
      <c r="CIZ13" s="46"/>
      <c r="CJA13" s="46"/>
      <c r="CJB13" s="46"/>
      <c r="CJC13" s="46"/>
      <c r="CJD13" s="46"/>
      <c r="CJE13" s="46"/>
      <c r="CJF13" s="46"/>
      <c r="CJG13" s="46"/>
      <c r="CJH13" s="46"/>
      <c r="CJI13" s="46"/>
      <c r="CJJ13" s="46"/>
      <c r="CJK13" s="46"/>
      <c r="CJL13" s="46"/>
      <c r="CJM13" s="46"/>
      <c r="CJN13" s="46"/>
      <c r="CJO13" s="46"/>
      <c r="CJP13" s="46"/>
      <c r="CJQ13" s="46"/>
      <c r="CJR13" s="46"/>
      <c r="CJS13" s="46"/>
      <c r="CJT13" s="46"/>
      <c r="CJU13" s="46"/>
      <c r="CJV13" s="46"/>
      <c r="CJW13" s="46"/>
      <c r="CJX13" s="46"/>
      <c r="CJY13" s="46"/>
      <c r="CJZ13" s="46"/>
      <c r="CKA13" s="46"/>
      <c r="CKB13" s="46"/>
      <c r="CKC13" s="46"/>
      <c r="CKD13" s="46"/>
      <c r="CKE13" s="46"/>
      <c r="CKF13" s="46"/>
      <c r="CKG13" s="46"/>
      <c r="CKH13" s="46"/>
      <c r="CKI13" s="46"/>
      <c r="CKJ13" s="46"/>
      <c r="CKK13" s="46"/>
      <c r="CKL13" s="46"/>
      <c r="CKM13" s="46"/>
      <c r="CKN13" s="46"/>
      <c r="CKO13" s="46"/>
      <c r="CKP13" s="46"/>
      <c r="CKQ13" s="46"/>
      <c r="CKR13" s="46"/>
      <c r="CKS13" s="46"/>
      <c r="CKT13" s="46"/>
      <c r="CKU13" s="46"/>
      <c r="CKV13" s="46"/>
      <c r="CKW13" s="46"/>
      <c r="CKX13" s="46"/>
      <c r="CKY13" s="46"/>
      <c r="CKZ13" s="46"/>
      <c r="CLA13" s="46"/>
      <c r="CLB13" s="46"/>
      <c r="CLC13" s="46"/>
      <c r="CLD13" s="46"/>
      <c r="CLE13" s="46"/>
      <c r="CLF13" s="46"/>
      <c r="CLG13" s="46"/>
      <c r="CLH13" s="46"/>
      <c r="CLI13" s="46"/>
      <c r="CLJ13" s="46"/>
      <c r="CLK13" s="46"/>
      <c r="CLL13" s="46"/>
      <c r="CLM13" s="46"/>
      <c r="CLN13" s="46"/>
      <c r="CLO13" s="46"/>
      <c r="CLP13" s="46"/>
      <c r="CLQ13" s="46"/>
      <c r="CLR13" s="46"/>
      <c r="CLS13" s="46"/>
      <c r="CLT13" s="46"/>
      <c r="CLU13" s="46"/>
      <c r="CLV13" s="46"/>
      <c r="CLW13" s="46"/>
      <c r="CLX13" s="46"/>
      <c r="CLY13" s="46"/>
      <c r="CLZ13" s="46"/>
      <c r="CMA13" s="46"/>
      <c r="CMB13" s="46"/>
      <c r="CMC13" s="46"/>
      <c r="CMD13" s="46"/>
      <c r="CME13" s="46"/>
      <c r="CMF13" s="46"/>
      <c r="CMG13" s="46"/>
      <c r="CMH13" s="46"/>
      <c r="CMI13" s="46"/>
      <c r="CMJ13" s="46"/>
      <c r="CMK13" s="46"/>
      <c r="CML13" s="46"/>
      <c r="CMM13" s="46"/>
      <c r="CMN13" s="46"/>
      <c r="CMO13" s="46"/>
      <c r="CMP13" s="46"/>
      <c r="CMQ13" s="46"/>
      <c r="CMR13" s="46"/>
      <c r="CMS13" s="46"/>
      <c r="CMT13" s="46"/>
      <c r="CMU13" s="46"/>
      <c r="CMV13" s="46"/>
      <c r="CMW13" s="46"/>
      <c r="CMX13" s="46"/>
      <c r="CMY13" s="46"/>
      <c r="CMZ13" s="46"/>
      <c r="CNA13" s="46"/>
      <c r="CNB13" s="46"/>
      <c r="CNC13" s="46"/>
      <c r="CND13" s="46"/>
      <c r="CNE13" s="46"/>
      <c r="CNF13" s="46"/>
      <c r="CNG13" s="46"/>
      <c r="CNH13" s="46"/>
      <c r="CNI13" s="46"/>
      <c r="CNJ13" s="46"/>
      <c r="CNK13" s="46"/>
      <c r="CNL13" s="46"/>
      <c r="CNM13" s="46"/>
      <c r="CNN13" s="46"/>
      <c r="CNO13" s="46"/>
      <c r="CNP13" s="46"/>
      <c r="CNQ13" s="46"/>
      <c r="CNR13" s="46"/>
      <c r="CNS13" s="46"/>
      <c r="CNT13" s="46"/>
      <c r="CNU13" s="46"/>
      <c r="CNV13" s="46"/>
      <c r="CNW13" s="46"/>
      <c r="CNX13" s="46"/>
      <c r="CNY13" s="46"/>
      <c r="CNZ13" s="46"/>
      <c r="COA13" s="46"/>
      <c r="COB13" s="46"/>
      <c r="COC13" s="46"/>
      <c r="COD13" s="46"/>
      <c r="COE13" s="46"/>
      <c r="COF13" s="46"/>
      <c r="COG13" s="46"/>
      <c r="COH13" s="46"/>
      <c r="COI13" s="46"/>
      <c r="COJ13" s="46"/>
      <c r="COK13" s="46"/>
      <c r="COL13" s="46"/>
      <c r="COM13" s="46"/>
      <c r="CON13" s="46"/>
      <c r="COO13" s="46"/>
      <c r="COP13" s="46"/>
      <c r="COQ13" s="46"/>
      <c r="COR13" s="46"/>
      <c r="COS13" s="46"/>
      <c r="COT13" s="46"/>
      <c r="COU13" s="46"/>
      <c r="COV13" s="46"/>
      <c r="COW13" s="46"/>
      <c r="COX13" s="46"/>
      <c r="COY13" s="46"/>
      <c r="COZ13" s="46"/>
      <c r="CPA13" s="46"/>
      <c r="CPB13" s="46"/>
      <c r="CPC13" s="46"/>
      <c r="CPD13" s="46"/>
      <c r="CPE13" s="46"/>
      <c r="CPF13" s="46"/>
      <c r="CPG13" s="46"/>
      <c r="CPH13" s="46"/>
      <c r="CPI13" s="46"/>
      <c r="CPJ13" s="46"/>
      <c r="CPK13" s="46"/>
      <c r="CPL13" s="46"/>
      <c r="CPM13" s="46"/>
      <c r="CPN13" s="46"/>
      <c r="CPO13" s="46"/>
      <c r="CPP13" s="46"/>
      <c r="CPQ13" s="46"/>
      <c r="CPR13" s="46"/>
      <c r="CPS13" s="46"/>
      <c r="CPT13" s="46"/>
      <c r="CPU13" s="46"/>
      <c r="CPV13" s="46"/>
      <c r="CPW13" s="46"/>
      <c r="CPX13" s="46"/>
      <c r="CPY13" s="46"/>
      <c r="CPZ13" s="46"/>
      <c r="CQA13" s="46"/>
      <c r="CQB13" s="46"/>
      <c r="CQC13" s="46"/>
      <c r="CQD13" s="46"/>
      <c r="CQE13" s="46"/>
      <c r="CQF13" s="46"/>
      <c r="CQG13" s="46"/>
      <c r="CQH13" s="46"/>
      <c r="CQI13" s="46"/>
      <c r="CQJ13" s="46"/>
      <c r="CQK13" s="46"/>
      <c r="CQL13" s="46"/>
      <c r="CQM13" s="46"/>
      <c r="CQN13" s="46"/>
      <c r="CQO13" s="46"/>
      <c r="CQP13" s="46"/>
      <c r="CQQ13" s="46"/>
      <c r="CQR13" s="46"/>
      <c r="CQS13" s="46"/>
      <c r="CQT13" s="46"/>
      <c r="CQU13" s="46"/>
      <c r="CQV13" s="46"/>
      <c r="CQW13" s="46"/>
      <c r="CQX13" s="46"/>
      <c r="CQY13" s="46"/>
      <c r="CQZ13" s="46"/>
      <c r="CRA13" s="46"/>
      <c r="CRB13" s="46"/>
      <c r="CRC13" s="46"/>
      <c r="CRD13" s="46"/>
      <c r="CRE13" s="46"/>
      <c r="CRF13" s="46"/>
      <c r="CRG13" s="46"/>
      <c r="CRH13" s="46"/>
      <c r="CRI13" s="46"/>
      <c r="CRJ13" s="46"/>
      <c r="CRK13" s="46"/>
      <c r="CRL13" s="46"/>
      <c r="CRM13" s="46"/>
      <c r="CRN13" s="46"/>
      <c r="CRO13" s="46"/>
      <c r="CRP13" s="46"/>
      <c r="CRQ13" s="46"/>
      <c r="CRR13" s="46"/>
      <c r="CRS13" s="46"/>
      <c r="CRT13" s="46"/>
      <c r="CRU13" s="46"/>
      <c r="CRV13" s="46"/>
      <c r="CRW13" s="46"/>
      <c r="CRX13" s="46"/>
      <c r="CRY13" s="46"/>
      <c r="CRZ13" s="46"/>
      <c r="CSA13" s="46"/>
      <c r="CSB13" s="46"/>
      <c r="CSC13" s="46"/>
      <c r="CSD13" s="46"/>
      <c r="CSE13" s="46"/>
      <c r="CSF13" s="46"/>
      <c r="CSG13" s="46"/>
      <c r="CSH13" s="46"/>
      <c r="CSI13" s="46"/>
      <c r="CSJ13" s="46"/>
      <c r="CSK13" s="46"/>
      <c r="CSL13" s="46"/>
      <c r="CSM13" s="46"/>
      <c r="CSN13" s="46"/>
      <c r="CSO13" s="46"/>
      <c r="CSP13" s="46"/>
      <c r="CSQ13" s="46"/>
      <c r="CSR13" s="46"/>
      <c r="CSS13" s="46"/>
      <c r="CST13" s="46"/>
      <c r="CSU13" s="46"/>
      <c r="CSV13" s="46"/>
      <c r="CSW13" s="46"/>
      <c r="CSX13" s="46"/>
      <c r="CSY13" s="46"/>
      <c r="CSZ13" s="46"/>
      <c r="CTA13" s="46"/>
      <c r="CTB13" s="46"/>
      <c r="CTC13" s="46"/>
      <c r="CTD13" s="46"/>
      <c r="CTE13" s="46"/>
      <c r="CTF13" s="46"/>
      <c r="CTG13" s="46"/>
      <c r="CTH13" s="46"/>
      <c r="CTI13" s="46"/>
      <c r="CTJ13" s="46"/>
      <c r="CTK13" s="46"/>
      <c r="CTL13" s="46"/>
      <c r="CTM13" s="46"/>
      <c r="CTN13" s="46"/>
      <c r="CTO13" s="46"/>
      <c r="CTP13" s="46"/>
      <c r="CTQ13" s="46"/>
      <c r="CTR13" s="46"/>
      <c r="CTS13" s="46"/>
      <c r="CTT13" s="46"/>
      <c r="CTU13" s="46"/>
      <c r="CTV13" s="46"/>
      <c r="CTW13" s="46"/>
      <c r="CTX13" s="46"/>
      <c r="CTY13" s="46"/>
      <c r="CTZ13" s="46"/>
      <c r="CUA13" s="46"/>
      <c r="CUB13" s="46"/>
      <c r="CUC13" s="46"/>
      <c r="CUD13" s="46"/>
      <c r="CUE13" s="46"/>
      <c r="CUF13" s="46"/>
      <c r="CUG13" s="46"/>
      <c r="CUH13" s="46"/>
      <c r="CUI13" s="46"/>
      <c r="CUJ13" s="46"/>
      <c r="CUK13" s="46"/>
      <c r="CUL13" s="46"/>
      <c r="CUM13" s="46"/>
      <c r="CUN13" s="46"/>
      <c r="CUO13" s="46"/>
      <c r="CUP13" s="46"/>
      <c r="CUQ13" s="46"/>
      <c r="CUR13" s="46"/>
      <c r="CUS13" s="46"/>
      <c r="CUT13" s="46"/>
      <c r="CUU13" s="46"/>
      <c r="CUV13" s="46"/>
      <c r="CUW13" s="46"/>
      <c r="CUX13" s="46"/>
      <c r="CUY13" s="46"/>
      <c r="CUZ13" s="46"/>
      <c r="CVA13" s="46"/>
      <c r="CVB13" s="46"/>
      <c r="CVC13" s="46"/>
      <c r="CVD13" s="46"/>
      <c r="CVE13" s="46"/>
      <c r="CVF13" s="46"/>
      <c r="CVG13" s="46"/>
      <c r="CVH13" s="46"/>
      <c r="CVI13" s="46"/>
      <c r="CVJ13" s="46"/>
      <c r="CVK13" s="46"/>
      <c r="CVL13" s="46"/>
      <c r="CVM13" s="46"/>
      <c r="CVN13" s="46"/>
      <c r="CVO13" s="46"/>
      <c r="CVP13" s="46"/>
      <c r="CVQ13" s="46"/>
      <c r="CVR13" s="46"/>
      <c r="CVS13" s="46"/>
      <c r="CVT13" s="46"/>
      <c r="CVU13" s="46"/>
      <c r="CVV13" s="46"/>
      <c r="CVW13" s="46"/>
      <c r="CVX13" s="46"/>
      <c r="CVY13" s="46"/>
      <c r="CVZ13" s="46"/>
      <c r="CWA13" s="46"/>
      <c r="CWB13" s="46"/>
      <c r="CWC13" s="46"/>
      <c r="CWD13" s="46"/>
      <c r="CWE13" s="46"/>
      <c r="CWF13" s="46"/>
      <c r="CWG13" s="46"/>
      <c r="CWH13" s="46"/>
      <c r="CWI13" s="46"/>
      <c r="CWJ13" s="46"/>
      <c r="CWK13" s="46"/>
      <c r="CWL13" s="46"/>
      <c r="CWM13" s="46"/>
      <c r="CWN13" s="46"/>
      <c r="CWO13" s="46"/>
      <c r="CWP13" s="46"/>
      <c r="CWQ13" s="46"/>
      <c r="CWR13" s="46"/>
      <c r="CWS13" s="46"/>
      <c r="CWT13" s="46"/>
      <c r="CWU13" s="46"/>
      <c r="CWV13" s="46"/>
      <c r="CWW13" s="46"/>
      <c r="CWX13" s="46"/>
      <c r="CWY13" s="46"/>
      <c r="CWZ13" s="46"/>
      <c r="CXA13" s="46"/>
      <c r="CXB13" s="46"/>
      <c r="CXC13" s="46"/>
      <c r="CXD13" s="46"/>
      <c r="CXE13" s="46"/>
      <c r="CXF13" s="46"/>
      <c r="CXG13" s="46"/>
      <c r="CXH13" s="46"/>
      <c r="CXI13" s="46"/>
      <c r="CXJ13" s="46"/>
      <c r="CXK13" s="46"/>
      <c r="CXL13" s="46"/>
      <c r="CXM13" s="46"/>
      <c r="CXN13" s="46"/>
      <c r="CXO13" s="46"/>
      <c r="CXP13" s="46"/>
      <c r="CXQ13" s="46"/>
      <c r="CXR13" s="46"/>
      <c r="CXS13" s="46"/>
      <c r="CXT13" s="46"/>
      <c r="CXU13" s="46"/>
      <c r="CXV13" s="46"/>
      <c r="CXW13" s="46"/>
      <c r="CXX13" s="46"/>
      <c r="CXY13" s="46"/>
      <c r="CXZ13" s="46"/>
      <c r="CYA13" s="46"/>
      <c r="CYB13" s="46"/>
      <c r="CYC13" s="46"/>
      <c r="CYD13" s="46"/>
      <c r="CYE13" s="46"/>
      <c r="CYF13" s="46"/>
      <c r="CYG13" s="46"/>
      <c r="CYH13" s="46"/>
      <c r="CYI13" s="46"/>
      <c r="CYJ13" s="46"/>
      <c r="CYK13" s="46"/>
      <c r="CYL13" s="46"/>
      <c r="CYM13" s="46"/>
      <c r="CYN13" s="46"/>
      <c r="CYO13" s="46"/>
      <c r="CYP13" s="46"/>
      <c r="CYQ13" s="46"/>
      <c r="CYR13" s="46"/>
      <c r="CYS13" s="46"/>
      <c r="CYT13" s="46"/>
      <c r="CYU13" s="46"/>
      <c r="CYV13" s="46"/>
      <c r="CYW13" s="46"/>
      <c r="CYX13" s="46"/>
      <c r="CYY13" s="46"/>
      <c r="CYZ13" s="46"/>
      <c r="CZA13" s="46"/>
      <c r="CZB13" s="46"/>
      <c r="CZC13" s="46"/>
      <c r="CZD13" s="46"/>
      <c r="CZE13" s="46"/>
      <c r="CZF13" s="46"/>
      <c r="CZG13" s="46"/>
      <c r="CZH13" s="46"/>
      <c r="CZI13" s="46"/>
      <c r="CZJ13" s="46"/>
      <c r="CZK13" s="46"/>
      <c r="CZL13" s="46"/>
      <c r="CZM13" s="46"/>
      <c r="CZN13" s="46"/>
      <c r="CZO13" s="46"/>
      <c r="CZP13" s="46"/>
      <c r="CZQ13" s="46"/>
      <c r="CZR13" s="46"/>
      <c r="CZS13" s="46"/>
      <c r="CZT13" s="46"/>
      <c r="CZU13" s="46"/>
      <c r="CZV13" s="46"/>
      <c r="CZW13" s="46"/>
      <c r="CZX13" s="46"/>
      <c r="CZY13" s="46"/>
      <c r="CZZ13" s="46"/>
      <c r="DAA13" s="46"/>
      <c r="DAB13" s="46"/>
      <c r="DAC13" s="46"/>
      <c r="DAD13" s="46"/>
      <c r="DAE13" s="46"/>
      <c r="DAF13" s="46"/>
      <c r="DAG13" s="46"/>
      <c r="DAH13" s="46"/>
      <c r="DAI13" s="46"/>
      <c r="DAJ13" s="46"/>
      <c r="DAK13" s="46"/>
      <c r="DAL13" s="46"/>
      <c r="DAM13" s="46"/>
      <c r="DAN13" s="46"/>
      <c r="DAO13" s="46"/>
      <c r="DAP13" s="46"/>
      <c r="DAQ13" s="46"/>
      <c r="DAR13" s="46"/>
      <c r="DAS13" s="46"/>
      <c r="DAT13" s="46"/>
      <c r="DAU13" s="46"/>
      <c r="DAV13" s="46"/>
      <c r="DAW13" s="46"/>
      <c r="DAX13" s="46"/>
      <c r="DAY13" s="46"/>
      <c r="DAZ13" s="46"/>
      <c r="DBA13" s="46"/>
      <c r="DBB13" s="46"/>
      <c r="DBC13" s="46"/>
      <c r="DBD13" s="46"/>
      <c r="DBE13" s="46"/>
      <c r="DBF13" s="46"/>
      <c r="DBG13" s="46"/>
      <c r="DBH13" s="46"/>
      <c r="DBI13" s="46"/>
      <c r="DBJ13" s="46"/>
      <c r="DBK13" s="46"/>
      <c r="DBL13" s="46"/>
      <c r="DBM13" s="46"/>
      <c r="DBN13" s="46"/>
      <c r="DBO13" s="46"/>
      <c r="DBP13" s="46"/>
      <c r="DBQ13" s="46"/>
      <c r="DBR13" s="46"/>
      <c r="DBS13" s="46"/>
      <c r="DBT13" s="46"/>
      <c r="DBU13" s="46"/>
      <c r="DBV13" s="46"/>
      <c r="DBW13" s="46"/>
      <c r="DBX13" s="46"/>
      <c r="DBY13" s="46"/>
      <c r="DBZ13" s="46"/>
      <c r="DCA13" s="46"/>
      <c r="DCB13" s="46"/>
      <c r="DCC13" s="46"/>
      <c r="DCD13" s="46"/>
      <c r="DCE13" s="46"/>
      <c r="DCF13" s="46"/>
      <c r="DCG13" s="46"/>
      <c r="DCH13" s="46"/>
      <c r="DCI13" s="46"/>
      <c r="DCJ13" s="46"/>
      <c r="DCK13" s="46"/>
      <c r="DCL13" s="46"/>
      <c r="DCM13" s="46"/>
      <c r="DCN13" s="46"/>
      <c r="DCO13" s="46"/>
      <c r="DCP13" s="46"/>
      <c r="DCQ13" s="46"/>
      <c r="DCR13" s="46"/>
      <c r="DCS13" s="46"/>
      <c r="DCT13" s="46"/>
      <c r="DCU13" s="46"/>
      <c r="DCV13" s="46"/>
      <c r="DCW13" s="46"/>
      <c r="DCX13" s="46"/>
      <c r="DCY13" s="46"/>
      <c r="DCZ13" s="46"/>
      <c r="DDA13" s="46"/>
      <c r="DDB13" s="46"/>
      <c r="DDC13" s="46"/>
      <c r="DDD13" s="46"/>
      <c r="DDE13" s="46"/>
      <c r="DDF13" s="46"/>
      <c r="DDG13" s="46"/>
      <c r="DDH13" s="46"/>
      <c r="DDI13" s="46"/>
      <c r="DDJ13" s="46"/>
      <c r="DDK13" s="46"/>
      <c r="DDL13" s="46"/>
      <c r="DDM13" s="46"/>
      <c r="DDN13" s="46"/>
      <c r="DDO13" s="46"/>
      <c r="DDP13" s="46"/>
      <c r="DDQ13" s="46"/>
      <c r="DDR13" s="46"/>
      <c r="DDS13" s="46"/>
      <c r="DDT13" s="46"/>
      <c r="DDU13" s="46"/>
      <c r="DDV13" s="46"/>
      <c r="DDW13" s="46"/>
      <c r="DDX13" s="46"/>
      <c r="DDY13" s="46"/>
      <c r="DDZ13" s="46"/>
      <c r="DEA13" s="46"/>
      <c r="DEB13" s="46"/>
      <c r="DEC13" s="46"/>
      <c r="DED13" s="46"/>
      <c r="DEE13" s="46"/>
      <c r="DEF13" s="46"/>
      <c r="DEG13" s="46"/>
      <c r="DEH13" s="46"/>
      <c r="DEI13" s="46"/>
      <c r="DEJ13" s="46"/>
      <c r="DEK13" s="46"/>
      <c r="DEL13" s="46"/>
      <c r="DEM13" s="46"/>
      <c r="DEN13" s="46"/>
      <c r="DEO13" s="46"/>
      <c r="DEP13" s="46"/>
      <c r="DEQ13" s="46"/>
      <c r="DER13" s="46"/>
      <c r="DES13" s="46"/>
      <c r="DET13" s="46"/>
      <c r="DEU13" s="46"/>
      <c r="DEV13" s="46"/>
      <c r="DEW13" s="46"/>
      <c r="DEX13" s="46"/>
      <c r="DEY13" s="46"/>
      <c r="DEZ13" s="46"/>
      <c r="DFA13" s="46"/>
      <c r="DFB13" s="46"/>
      <c r="DFC13" s="46"/>
      <c r="DFD13" s="46"/>
      <c r="DFE13" s="46"/>
      <c r="DFF13" s="46"/>
      <c r="DFG13" s="46"/>
      <c r="DFH13" s="46"/>
      <c r="DFI13" s="46"/>
      <c r="DFJ13" s="46"/>
      <c r="DFK13" s="46"/>
      <c r="DFL13" s="46"/>
      <c r="DFM13" s="46"/>
      <c r="DFN13" s="46"/>
      <c r="DFO13" s="46"/>
      <c r="DFP13" s="46"/>
      <c r="DFQ13" s="46"/>
      <c r="DFR13" s="46"/>
      <c r="DFS13" s="46"/>
      <c r="DFT13" s="46"/>
      <c r="DFU13" s="46"/>
      <c r="DFV13" s="46"/>
      <c r="DFW13" s="46"/>
      <c r="DFX13" s="46"/>
      <c r="DFY13" s="46"/>
      <c r="DFZ13" s="46"/>
      <c r="DGA13" s="46"/>
      <c r="DGB13" s="46"/>
      <c r="DGC13" s="46"/>
      <c r="DGD13" s="46"/>
      <c r="DGE13" s="46"/>
      <c r="DGF13" s="46"/>
      <c r="DGG13" s="46"/>
      <c r="DGH13" s="46"/>
      <c r="DGI13" s="46"/>
      <c r="DGJ13" s="46"/>
      <c r="DGK13" s="46"/>
      <c r="DGL13" s="46"/>
      <c r="DGM13" s="46"/>
      <c r="DGN13" s="46"/>
      <c r="DGO13" s="46"/>
      <c r="DGP13" s="46"/>
      <c r="DGQ13" s="46"/>
      <c r="DGR13" s="46"/>
      <c r="DGS13" s="46"/>
      <c r="DGT13" s="46"/>
      <c r="DGU13" s="46"/>
      <c r="DGV13" s="46"/>
      <c r="DGW13" s="46"/>
      <c r="DGX13" s="46"/>
      <c r="DGY13" s="46"/>
      <c r="DGZ13" s="46"/>
      <c r="DHA13" s="46"/>
      <c r="DHB13" s="46"/>
      <c r="DHC13" s="46"/>
      <c r="DHD13" s="46"/>
      <c r="DHE13" s="46"/>
      <c r="DHF13" s="46"/>
      <c r="DHG13" s="46"/>
      <c r="DHH13" s="46"/>
      <c r="DHI13" s="46"/>
      <c r="DHJ13" s="46"/>
      <c r="DHK13" s="46"/>
      <c r="DHL13" s="46"/>
      <c r="DHM13" s="46"/>
      <c r="DHN13" s="46"/>
      <c r="DHO13" s="46"/>
      <c r="DHP13" s="46"/>
      <c r="DHQ13" s="46"/>
      <c r="DHR13" s="46"/>
      <c r="DHS13" s="46"/>
      <c r="DHT13" s="46"/>
      <c r="DHU13" s="46"/>
      <c r="DHV13" s="46"/>
      <c r="DHW13" s="46"/>
      <c r="DHX13" s="46"/>
      <c r="DHY13" s="46"/>
      <c r="DHZ13" s="46"/>
      <c r="DIA13" s="46"/>
      <c r="DIB13" s="46"/>
      <c r="DIC13" s="46"/>
      <c r="DID13" s="46"/>
      <c r="DIE13" s="46"/>
      <c r="DIF13" s="46"/>
      <c r="DIG13" s="46"/>
      <c r="DIH13" s="46"/>
      <c r="DII13" s="46"/>
      <c r="DIJ13" s="46"/>
      <c r="DIK13" s="46"/>
      <c r="DIL13" s="46"/>
      <c r="DIM13" s="46"/>
      <c r="DIN13" s="46"/>
      <c r="DIO13" s="46"/>
      <c r="DIP13" s="46"/>
      <c r="DIQ13" s="46"/>
      <c r="DIR13" s="46"/>
      <c r="DIS13" s="46"/>
      <c r="DIT13" s="46"/>
      <c r="DIU13" s="46"/>
      <c r="DIV13" s="46"/>
      <c r="DIW13" s="46"/>
      <c r="DIX13" s="46"/>
      <c r="DIY13" s="46"/>
      <c r="DIZ13" s="46"/>
      <c r="DJA13" s="46"/>
      <c r="DJB13" s="46"/>
      <c r="DJC13" s="46"/>
      <c r="DJD13" s="46"/>
      <c r="DJE13" s="46"/>
      <c r="DJF13" s="46"/>
      <c r="DJG13" s="46"/>
      <c r="DJH13" s="46"/>
      <c r="DJI13" s="46"/>
      <c r="DJJ13" s="46"/>
      <c r="DJK13" s="46"/>
      <c r="DJL13" s="46"/>
      <c r="DJM13" s="46"/>
      <c r="DJN13" s="46"/>
      <c r="DJO13" s="46"/>
      <c r="DJP13" s="46"/>
      <c r="DJQ13" s="46"/>
      <c r="DJR13" s="46"/>
      <c r="DJS13" s="46"/>
      <c r="DJT13" s="46"/>
      <c r="DJU13" s="46"/>
      <c r="DJV13" s="46"/>
      <c r="DJW13" s="46"/>
      <c r="DJX13" s="46"/>
      <c r="DJY13" s="46"/>
      <c r="DJZ13" s="46"/>
      <c r="DKA13" s="46"/>
      <c r="DKB13" s="46"/>
      <c r="DKC13" s="46"/>
      <c r="DKD13" s="46"/>
      <c r="DKE13" s="46"/>
      <c r="DKF13" s="46"/>
      <c r="DKG13" s="46"/>
      <c r="DKH13" s="46"/>
      <c r="DKI13" s="46"/>
      <c r="DKJ13" s="46"/>
      <c r="DKK13" s="46"/>
      <c r="DKL13" s="46"/>
      <c r="DKM13" s="46"/>
      <c r="DKN13" s="46"/>
      <c r="DKO13" s="46"/>
      <c r="DKP13" s="46"/>
      <c r="DKQ13" s="46"/>
      <c r="DKR13" s="46"/>
      <c r="DKS13" s="46"/>
      <c r="DKT13" s="46"/>
      <c r="DKU13" s="46"/>
      <c r="DKV13" s="46"/>
      <c r="DKW13" s="46"/>
      <c r="DKX13" s="46"/>
      <c r="DKY13" s="46"/>
      <c r="DKZ13" s="46"/>
      <c r="DLA13" s="46"/>
      <c r="DLB13" s="46"/>
      <c r="DLC13" s="46"/>
      <c r="DLD13" s="46"/>
      <c r="DLE13" s="46"/>
      <c r="DLF13" s="46"/>
      <c r="DLG13" s="46"/>
      <c r="DLH13" s="46"/>
      <c r="DLI13" s="46"/>
      <c r="DLJ13" s="46"/>
      <c r="DLK13" s="46"/>
      <c r="DLL13" s="46"/>
      <c r="DLM13" s="46"/>
      <c r="DLN13" s="46"/>
      <c r="DLO13" s="46"/>
      <c r="DLP13" s="46"/>
      <c r="DLQ13" s="46"/>
      <c r="DLR13" s="46"/>
      <c r="DLS13" s="46"/>
      <c r="DLT13" s="46"/>
      <c r="DLU13" s="46"/>
      <c r="DLV13" s="46"/>
      <c r="DLW13" s="46"/>
      <c r="DLX13" s="46"/>
      <c r="DLY13" s="46"/>
      <c r="DLZ13" s="46"/>
      <c r="DMA13" s="46"/>
      <c r="DMB13" s="46"/>
      <c r="DMC13" s="46"/>
      <c r="DMD13" s="46"/>
      <c r="DME13" s="46"/>
      <c r="DMF13" s="46"/>
      <c r="DMG13" s="46"/>
      <c r="DMH13" s="46"/>
      <c r="DMI13" s="46"/>
      <c r="DMJ13" s="46"/>
      <c r="DMK13" s="46"/>
      <c r="DML13" s="46"/>
      <c r="DMM13" s="46"/>
      <c r="DMN13" s="46"/>
      <c r="DMO13" s="46"/>
      <c r="DMP13" s="46"/>
      <c r="DMQ13" s="46"/>
      <c r="DMR13" s="46"/>
      <c r="DMS13" s="46"/>
      <c r="DMT13" s="46"/>
      <c r="DMU13" s="46"/>
      <c r="DMV13" s="46"/>
      <c r="DMW13" s="46"/>
      <c r="DMX13" s="46"/>
      <c r="DMY13" s="46"/>
      <c r="DMZ13" s="46"/>
      <c r="DNA13" s="46"/>
      <c r="DNB13" s="46"/>
      <c r="DNC13" s="46"/>
      <c r="DND13" s="46"/>
      <c r="DNE13" s="46"/>
      <c r="DNF13" s="46"/>
      <c r="DNG13" s="46"/>
      <c r="DNH13" s="46"/>
      <c r="DNI13" s="46"/>
      <c r="DNJ13" s="46"/>
      <c r="DNK13" s="46"/>
      <c r="DNL13" s="46"/>
      <c r="DNM13" s="46"/>
      <c r="DNN13" s="46"/>
      <c r="DNO13" s="46"/>
      <c r="DNP13" s="46"/>
      <c r="DNQ13" s="46"/>
      <c r="DNR13" s="46"/>
      <c r="DNS13" s="46"/>
      <c r="DNT13" s="46"/>
      <c r="DNU13" s="46"/>
      <c r="DNV13" s="46"/>
      <c r="DNW13" s="46"/>
      <c r="DNX13" s="46"/>
      <c r="DNY13" s="46"/>
      <c r="DNZ13" s="46"/>
      <c r="DOA13" s="46"/>
      <c r="DOB13" s="46"/>
      <c r="DOC13" s="46"/>
      <c r="DOD13" s="46"/>
      <c r="DOE13" s="46"/>
      <c r="DOF13" s="46"/>
      <c r="DOG13" s="46"/>
      <c r="DOH13" s="46"/>
      <c r="DOI13" s="46"/>
      <c r="DOJ13" s="46"/>
      <c r="DOK13" s="46"/>
      <c r="DOL13" s="46"/>
      <c r="DOM13" s="46"/>
      <c r="DON13" s="46"/>
      <c r="DOO13" s="46"/>
      <c r="DOP13" s="46"/>
      <c r="DOQ13" s="46"/>
      <c r="DOR13" s="46"/>
      <c r="DOS13" s="46"/>
      <c r="DOT13" s="46"/>
      <c r="DOU13" s="46"/>
      <c r="DOV13" s="46"/>
      <c r="DOW13" s="46"/>
      <c r="DOX13" s="46"/>
      <c r="DOY13" s="46"/>
      <c r="DOZ13" s="46"/>
      <c r="DPA13" s="46"/>
      <c r="DPB13" s="46"/>
      <c r="DPC13" s="46"/>
      <c r="DPD13" s="46"/>
      <c r="DPE13" s="46"/>
      <c r="DPF13" s="46"/>
      <c r="DPG13" s="46"/>
      <c r="DPH13" s="46"/>
      <c r="DPI13" s="46"/>
      <c r="DPJ13" s="46"/>
      <c r="DPK13" s="46"/>
      <c r="DPL13" s="46"/>
      <c r="DPM13" s="46"/>
      <c r="DPN13" s="46"/>
      <c r="DPO13" s="46"/>
      <c r="DPP13" s="46"/>
      <c r="DPQ13" s="46"/>
      <c r="DPR13" s="46"/>
      <c r="DPS13" s="46"/>
      <c r="DPT13" s="46"/>
      <c r="DPU13" s="46"/>
      <c r="DPV13" s="46"/>
      <c r="DPW13" s="46"/>
      <c r="DPX13" s="46"/>
      <c r="DPY13" s="46"/>
      <c r="DPZ13" s="46"/>
      <c r="DQA13" s="46"/>
      <c r="DQB13" s="46"/>
      <c r="DQC13" s="46"/>
      <c r="DQD13" s="46"/>
      <c r="DQE13" s="46"/>
      <c r="DQF13" s="46"/>
      <c r="DQG13" s="46"/>
      <c r="DQH13" s="46"/>
      <c r="DQI13" s="46"/>
      <c r="DQJ13" s="46"/>
      <c r="DQK13" s="46"/>
      <c r="DQL13" s="46"/>
      <c r="DQM13" s="46"/>
      <c r="DQN13" s="46"/>
      <c r="DQO13" s="46"/>
      <c r="DQP13" s="46"/>
      <c r="DQQ13" s="46"/>
      <c r="DQR13" s="46"/>
      <c r="DQS13" s="46"/>
      <c r="DQT13" s="46"/>
      <c r="DQU13" s="46"/>
      <c r="DQV13" s="46"/>
      <c r="DQW13" s="46"/>
      <c r="DQX13" s="46"/>
      <c r="DQY13" s="46"/>
      <c r="DQZ13" s="46"/>
      <c r="DRA13" s="46"/>
      <c r="DRB13" s="46"/>
      <c r="DRC13" s="46"/>
      <c r="DRD13" s="46"/>
      <c r="DRE13" s="46"/>
      <c r="DRF13" s="46"/>
      <c r="DRG13" s="46"/>
      <c r="DRH13" s="46"/>
      <c r="DRI13" s="46"/>
      <c r="DRJ13" s="46"/>
      <c r="DRK13" s="46"/>
      <c r="DRL13" s="46"/>
      <c r="DRM13" s="46"/>
      <c r="DRN13" s="46"/>
      <c r="DRO13" s="46"/>
      <c r="DRP13" s="46"/>
      <c r="DRQ13" s="46"/>
      <c r="DRR13" s="46"/>
      <c r="DRS13" s="46"/>
      <c r="DRT13" s="46"/>
      <c r="DRU13" s="46"/>
      <c r="DRV13" s="46"/>
      <c r="DRW13" s="46"/>
      <c r="DRX13" s="46"/>
      <c r="DRY13" s="46"/>
      <c r="DRZ13" s="46"/>
      <c r="DSA13" s="46"/>
      <c r="DSB13" s="46"/>
      <c r="DSC13" s="46"/>
      <c r="DSD13" s="46"/>
      <c r="DSE13" s="46"/>
      <c r="DSF13" s="46"/>
      <c r="DSG13" s="46"/>
      <c r="DSH13" s="46"/>
      <c r="DSI13" s="46"/>
      <c r="DSJ13" s="46"/>
      <c r="DSK13" s="46"/>
      <c r="DSL13" s="46"/>
      <c r="DSM13" s="46"/>
      <c r="DSN13" s="46"/>
      <c r="DSO13" s="46"/>
      <c r="DSP13" s="46"/>
      <c r="DSQ13" s="46"/>
      <c r="DSR13" s="46"/>
      <c r="DSS13" s="46"/>
      <c r="DST13" s="46"/>
      <c r="DSU13" s="46"/>
      <c r="DSV13" s="46"/>
      <c r="DSW13" s="46"/>
      <c r="DSX13" s="46"/>
      <c r="DSY13" s="46"/>
      <c r="DSZ13" s="46"/>
      <c r="DTA13" s="46"/>
      <c r="DTB13" s="46"/>
      <c r="DTC13" s="46"/>
      <c r="DTD13" s="46"/>
      <c r="DTE13" s="46"/>
      <c r="DTF13" s="46"/>
      <c r="DTG13" s="46"/>
      <c r="DTH13" s="46"/>
      <c r="DTI13" s="46"/>
      <c r="DTJ13" s="46"/>
      <c r="DTK13" s="46"/>
      <c r="DTL13" s="46"/>
      <c r="DTM13" s="46"/>
      <c r="DTN13" s="46"/>
      <c r="DTO13" s="46"/>
      <c r="DTP13" s="46"/>
      <c r="DTQ13" s="46"/>
      <c r="DTR13" s="46"/>
      <c r="DTS13" s="46"/>
      <c r="DTT13" s="46"/>
      <c r="DTU13" s="46"/>
      <c r="DTV13" s="46"/>
      <c r="DTW13" s="46"/>
      <c r="DTX13" s="46"/>
      <c r="DTY13" s="46"/>
      <c r="DTZ13" s="46"/>
      <c r="DUA13" s="46"/>
      <c r="DUB13" s="46"/>
      <c r="DUC13" s="46"/>
      <c r="DUD13" s="46"/>
      <c r="DUE13" s="46"/>
      <c r="DUF13" s="46"/>
      <c r="DUG13" s="46"/>
      <c r="DUH13" s="46"/>
      <c r="DUI13" s="46"/>
      <c r="DUJ13" s="46"/>
      <c r="DUK13" s="46"/>
      <c r="DUL13" s="46"/>
      <c r="DUM13" s="46"/>
      <c r="DUN13" s="46"/>
      <c r="DUO13" s="46"/>
      <c r="DUP13" s="46"/>
      <c r="DUQ13" s="46"/>
      <c r="DUR13" s="46"/>
      <c r="DUS13" s="46"/>
      <c r="DUT13" s="46"/>
      <c r="DUU13" s="46"/>
      <c r="DUV13" s="46"/>
      <c r="DUW13" s="46"/>
      <c r="DUX13" s="46"/>
      <c r="DUY13" s="46"/>
      <c r="DUZ13" s="46"/>
      <c r="DVA13" s="46"/>
      <c r="DVB13" s="46"/>
      <c r="DVC13" s="46"/>
      <c r="DVD13" s="46"/>
      <c r="DVE13" s="46"/>
      <c r="DVF13" s="46"/>
      <c r="DVG13" s="46"/>
      <c r="DVH13" s="46"/>
      <c r="DVI13" s="46"/>
      <c r="DVJ13" s="46"/>
      <c r="DVK13" s="46"/>
      <c r="DVL13" s="46"/>
      <c r="DVM13" s="46"/>
      <c r="DVN13" s="46"/>
      <c r="DVO13" s="46"/>
      <c r="DVP13" s="46"/>
      <c r="DVQ13" s="46"/>
      <c r="DVR13" s="46"/>
      <c r="DVS13" s="46"/>
      <c r="DVT13" s="46"/>
      <c r="DVU13" s="46"/>
      <c r="DVV13" s="46"/>
      <c r="DVW13" s="46"/>
      <c r="DVX13" s="46"/>
      <c r="DVY13" s="46"/>
      <c r="DVZ13" s="46"/>
      <c r="DWA13" s="46"/>
      <c r="DWB13" s="46"/>
      <c r="DWC13" s="46"/>
      <c r="DWD13" s="46"/>
      <c r="DWE13" s="46"/>
      <c r="DWF13" s="46"/>
      <c r="DWG13" s="46"/>
      <c r="DWH13" s="46"/>
      <c r="DWI13" s="46"/>
      <c r="DWJ13" s="46"/>
      <c r="DWK13" s="46"/>
      <c r="DWL13" s="46"/>
      <c r="DWM13" s="46"/>
      <c r="DWN13" s="46"/>
      <c r="DWO13" s="46"/>
      <c r="DWP13" s="46"/>
      <c r="DWQ13" s="46"/>
      <c r="DWR13" s="46"/>
      <c r="DWS13" s="46"/>
      <c r="DWT13" s="46"/>
      <c r="DWU13" s="46"/>
      <c r="DWV13" s="46"/>
      <c r="DWW13" s="46"/>
      <c r="DWX13" s="46"/>
      <c r="DWY13" s="46"/>
      <c r="DWZ13" s="46"/>
      <c r="DXA13" s="46"/>
      <c r="DXB13" s="46"/>
      <c r="DXC13" s="46"/>
      <c r="DXD13" s="46"/>
      <c r="DXE13" s="46"/>
      <c r="DXF13" s="46"/>
      <c r="DXG13" s="46"/>
      <c r="DXH13" s="46"/>
      <c r="DXI13" s="46"/>
      <c r="DXJ13" s="46"/>
      <c r="DXK13" s="46"/>
      <c r="DXL13" s="46"/>
      <c r="DXM13" s="46"/>
      <c r="DXN13" s="46"/>
      <c r="DXO13" s="46"/>
      <c r="DXP13" s="46"/>
      <c r="DXQ13" s="46"/>
      <c r="DXR13" s="46"/>
      <c r="DXS13" s="46"/>
      <c r="DXT13" s="46"/>
      <c r="DXU13" s="46"/>
      <c r="DXV13" s="46"/>
      <c r="DXW13" s="46"/>
      <c r="DXX13" s="46"/>
      <c r="DXY13" s="46"/>
      <c r="DXZ13" s="46"/>
      <c r="DYA13" s="46"/>
      <c r="DYB13" s="46"/>
      <c r="DYC13" s="46"/>
      <c r="DYD13" s="46"/>
      <c r="DYE13" s="46"/>
      <c r="DYF13" s="46"/>
      <c r="DYG13" s="46"/>
      <c r="DYH13" s="46"/>
      <c r="DYI13" s="46"/>
      <c r="DYJ13" s="46"/>
      <c r="DYK13" s="46"/>
      <c r="DYL13" s="46"/>
      <c r="DYM13" s="46"/>
      <c r="DYN13" s="46"/>
      <c r="DYO13" s="46"/>
      <c r="DYP13" s="46"/>
      <c r="DYQ13" s="46"/>
      <c r="DYR13" s="46"/>
      <c r="DYS13" s="46"/>
      <c r="DYT13" s="46"/>
      <c r="DYU13" s="46"/>
      <c r="DYV13" s="46"/>
      <c r="DYW13" s="46"/>
      <c r="DYX13" s="46"/>
      <c r="DYY13" s="46"/>
      <c r="DYZ13" s="46"/>
      <c r="DZA13" s="46"/>
      <c r="DZB13" s="46"/>
      <c r="DZC13" s="46"/>
      <c r="DZD13" s="46"/>
      <c r="DZE13" s="46"/>
      <c r="DZF13" s="46"/>
      <c r="DZG13" s="46"/>
      <c r="DZH13" s="46"/>
      <c r="DZI13" s="46"/>
      <c r="DZJ13" s="46"/>
      <c r="DZK13" s="46"/>
      <c r="DZL13" s="46"/>
      <c r="DZM13" s="46"/>
      <c r="DZN13" s="46"/>
      <c r="DZO13" s="46"/>
      <c r="DZP13" s="46"/>
      <c r="DZQ13" s="46"/>
      <c r="DZR13" s="46"/>
      <c r="DZS13" s="46"/>
      <c r="DZT13" s="46"/>
      <c r="DZU13" s="46"/>
      <c r="DZV13" s="46"/>
      <c r="DZW13" s="46"/>
      <c r="DZX13" s="46"/>
      <c r="DZY13" s="46"/>
      <c r="DZZ13" s="46"/>
      <c r="EAA13" s="46"/>
      <c r="EAB13" s="46"/>
      <c r="EAC13" s="46"/>
      <c r="EAD13" s="46"/>
      <c r="EAE13" s="46"/>
      <c r="EAF13" s="46"/>
      <c r="EAG13" s="46"/>
      <c r="EAH13" s="46"/>
      <c r="EAI13" s="46"/>
      <c r="EAJ13" s="46"/>
      <c r="EAK13" s="46"/>
      <c r="EAL13" s="46"/>
      <c r="EAM13" s="46"/>
      <c r="EAN13" s="46"/>
      <c r="EAO13" s="46"/>
      <c r="EAP13" s="46"/>
      <c r="EAQ13" s="46"/>
      <c r="EAR13" s="46"/>
      <c r="EAS13" s="46"/>
      <c r="EAT13" s="46"/>
      <c r="EAU13" s="46"/>
      <c r="EAV13" s="46"/>
      <c r="EAW13" s="46"/>
      <c r="EAX13" s="46"/>
      <c r="EAY13" s="46"/>
      <c r="EAZ13" s="46"/>
      <c r="EBA13" s="46"/>
      <c r="EBB13" s="46"/>
      <c r="EBC13" s="46"/>
      <c r="EBD13" s="46"/>
      <c r="EBE13" s="46"/>
      <c r="EBF13" s="46"/>
      <c r="EBG13" s="46"/>
      <c r="EBH13" s="46"/>
      <c r="EBI13" s="46"/>
      <c r="EBJ13" s="46"/>
      <c r="EBK13" s="46"/>
      <c r="EBL13" s="46"/>
      <c r="EBM13" s="46"/>
      <c r="EBN13" s="46"/>
      <c r="EBO13" s="46"/>
      <c r="EBP13" s="46"/>
      <c r="EBQ13" s="46"/>
      <c r="EBR13" s="46"/>
      <c r="EBS13" s="46"/>
      <c r="EBT13" s="46"/>
      <c r="EBU13" s="46"/>
      <c r="EBV13" s="46"/>
      <c r="EBW13" s="46"/>
      <c r="EBX13" s="46"/>
      <c r="EBY13" s="46"/>
      <c r="EBZ13" s="46"/>
      <c r="ECA13" s="46"/>
      <c r="ECB13" s="46"/>
      <c r="ECC13" s="46"/>
      <c r="ECD13" s="46"/>
      <c r="ECE13" s="46"/>
      <c r="ECF13" s="46"/>
      <c r="ECG13" s="46"/>
      <c r="ECH13" s="46"/>
      <c r="ECI13" s="46"/>
      <c r="ECJ13" s="46"/>
      <c r="ECK13" s="46"/>
      <c r="ECL13" s="46"/>
      <c r="ECM13" s="46"/>
      <c r="ECN13" s="46"/>
      <c r="ECO13" s="46"/>
      <c r="ECP13" s="46"/>
      <c r="ECQ13" s="46"/>
      <c r="ECR13" s="46"/>
      <c r="ECS13" s="46"/>
      <c r="ECT13" s="46"/>
      <c r="ECU13" s="46"/>
      <c r="ECV13" s="46"/>
      <c r="ECW13" s="46"/>
      <c r="ECX13" s="46"/>
      <c r="ECY13" s="46"/>
      <c r="ECZ13" s="46"/>
      <c r="EDA13" s="46"/>
      <c r="EDB13" s="46"/>
      <c r="EDC13" s="46"/>
      <c r="EDD13" s="46"/>
      <c r="EDE13" s="46"/>
      <c r="EDF13" s="46"/>
      <c r="EDG13" s="46"/>
      <c r="EDH13" s="46"/>
      <c r="EDI13" s="46"/>
      <c r="EDJ13" s="46"/>
      <c r="EDK13" s="46"/>
      <c r="EDL13" s="46"/>
      <c r="EDM13" s="46"/>
      <c r="EDN13" s="46"/>
      <c r="EDO13" s="46"/>
      <c r="EDP13" s="46"/>
      <c r="EDQ13" s="46"/>
      <c r="EDR13" s="46"/>
      <c r="EDS13" s="46"/>
      <c r="EDT13" s="46"/>
      <c r="EDU13" s="46"/>
      <c r="EDV13" s="46"/>
      <c r="EDW13" s="46"/>
      <c r="EDX13" s="46"/>
      <c r="EDY13" s="46"/>
      <c r="EDZ13" s="46"/>
      <c r="EEA13" s="46"/>
      <c r="EEB13" s="46"/>
      <c r="EEC13" s="46"/>
      <c r="EED13" s="46"/>
      <c r="EEE13" s="46"/>
      <c r="EEF13" s="46"/>
      <c r="EEG13" s="46"/>
      <c r="EEH13" s="46"/>
      <c r="EEI13" s="46"/>
      <c r="EEJ13" s="46"/>
      <c r="EEK13" s="46"/>
      <c r="EEL13" s="46"/>
      <c r="EEM13" s="46"/>
      <c r="EEN13" s="46"/>
      <c r="EEO13" s="46"/>
      <c r="EEP13" s="46"/>
      <c r="EEQ13" s="46"/>
      <c r="EER13" s="46"/>
      <c r="EES13" s="46"/>
      <c r="EET13" s="46"/>
      <c r="EEU13" s="46"/>
      <c r="EEV13" s="46"/>
      <c r="EEW13" s="46"/>
      <c r="EEX13" s="46"/>
      <c r="EEY13" s="46"/>
      <c r="EEZ13" s="46"/>
      <c r="EFA13" s="46"/>
      <c r="EFB13" s="46"/>
      <c r="EFC13" s="46"/>
      <c r="EFD13" s="46"/>
      <c r="EFE13" s="46"/>
      <c r="EFF13" s="46"/>
      <c r="EFG13" s="46"/>
      <c r="EFH13" s="46"/>
      <c r="EFI13" s="46"/>
      <c r="EFJ13" s="46"/>
      <c r="EFK13" s="46"/>
      <c r="EFL13" s="46"/>
      <c r="EFM13" s="46"/>
      <c r="EFN13" s="46"/>
      <c r="EFO13" s="46"/>
      <c r="EFP13" s="46"/>
      <c r="EFQ13" s="46"/>
      <c r="EFR13" s="46"/>
      <c r="EFS13" s="46"/>
      <c r="EFT13" s="46"/>
      <c r="EFU13" s="46"/>
      <c r="EFV13" s="46"/>
      <c r="EFW13" s="46"/>
      <c r="EFX13" s="46"/>
      <c r="EFY13" s="46"/>
      <c r="EFZ13" s="46"/>
      <c r="EGA13" s="46"/>
      <c r="EGB13" s="46"/>
      <c r="EGC13" s="46"/>
      <c r="EGD13" s="46"/>
      <c r="EGE13" s="46"/>
      <c r="EGF13" s="46"/>
      <c r="EGG13" s="46"/>
      <c r="EGH13" s="46"/>
      <c r="EGI13" s="46"/>
      <c r="EGJ13" s="46"/>
      <c r="EGK13" s="46"/>
      <c r="EGL13" s="46"/>
      <c r="EGM13" s="46"/>
      <c r="EGN13" s="46"/>
      <c r="EGO13" s="46"/>
      <c r="EGP13" s="46"/>
      <c r="EGQ13" s="46"/>
      <c r="EGR13" s="46"/>
      <c r="EGS13" s="46"/>
      <c r="EGT13" s="46"/>
      <c r="EGU13" s="46"/>
      <c r="EGV13" s="46"/>
      <c r="EGW13" s="46"/>
      <c r="EGX13" s="46"/>
      <c r="EGY13" s="46"/>
      <c r="EGZ13" s="46"/>
      <c r="EHA13" s="46"/>
      <c r="EHB13" s="46"/>
      <c r="EHC13" s="46"/>
      <c r="EHD13" s="46"/>
      <c r="EHE13" s="46"/>
      <c r="EHF13" s="46"/>
      <c r="EHG13" s="46"/>
      <c r="EHH13" s="46"/>
      <c r="EHI13" s="46"/>
      <c r="EHJ13" s="46"/>
      <c r="EHK13" s="46"/>
      <c r="EHL13" s="46"/>
      <c r="EHM13" s="46"/>
      <c r="EHN13" s="46"/>
      <c r="EHO13" s="46"/>
      <c r="EHP13" s="46"/>
      <c r="EHQ13" s="46"/>
      <c r="EHR13" s="46"/>
      <c r="EHS13" s="46"/>
      <c r="EHT13" s="46"/>
      <c r="EHU13" s="46"/>
      <c r="EHV13" s="46"/>
      <c r="EHW13" s="46"/>
      <c r="EHX13" s="46"/>
      <c r="EHY13" s="46"/>
      <c r="EHZ13" s="46"/>
      <c r="EIA13" s="46"/>
      <c r="EIB13" s="46"/>
      <c r="EIC13" s="46"/>
      <c r="EID13" s="46"/>
      <c r="EIE13" s="46"/>
      <c r="EIF13" s="46"/>
      <c r="EIG13" s="46"/>
      <c r="EIH13" s="46"/>
      <c r="EII13" s="46"/>
      <c r="EIJ13" s="46"/>
      <c r="EIK13" s="46"/>
      <c r="EIL13" s="46"/>
      <c r="EIM13" s="46"/>
      <c r="EIN13" s="46"/>
      <c r="EIO13" s="46"/>
      <c r="EIP13" s="46"/>
      <c r="EIQ13" s="46"/>
      <c r="EIR13" s="46"/>
      <c r="EIS13" s="46"/>
      <c r="EIT13" s="46"/>
      <c r="EIU13" s="46"/>
      <c r="EIV13" s="46"/>
      <c r="EIW13" s="46"/>
      <c r="EIX13" s="46"/>
      <c r="EIY13" s="46"/>
      <c r="EIZ13" s="46"/>
      <c r="EJA13" s="46"/>
      <c r="EJB13" s="46"/>
      <c r="EJC13" s="46"/>
      <c r="EJD13" s="46"/>
      <c r="EJE13" s="46"/>
      <c r="EJF13" s="46"/>
      <c r="EJG13" s="46"/>
      <c r="EJH13" s="46"/>
      <c r="EJI13" s="46"/>
      <c r="EJJ13" s="46"/>
      <c r="EJK13" s="46"/>
      <c r="EJL13" s="46"/>
      <c r="EJM13" s="46"/>
      <c r="EJN13" s="46"/>
      <c r="EJO13" s="46"/>
      <c r="EJP13" s="46"/>
      <c r="EJQ13" s="46"/>
      <c r="EJR13" s="46"/>
      <c r="EJS13" s="46"/>
      <c r="EJT13" s="46"/>
      <c r="EJU13" s="46"/>
      <c r="EJV13" s="46"/>
      <c r="EJW13" s="46"/>
      <c r="EJX13" s="46"/>
      <c r="EJY13" s="46"/>
      <c r="EJZ13" s="46"/>
      <c r="EKA13" s="46"/>
      <c r="EKB13" s="46"/>
      <c r="EKC13" s="46"/>
      <c r="EKD13" s="46"/>
      <c r="EKE13" s="46"/>
      <c r="EKF13" s="46"/>
      <c r="EKG13" s="46"/>
      <c r="EKH13" s="46"/>
      <c r="EKI13" s="46"/>
      <c r="EKJ13" s="46"/>
      <c r="EKK13" s="46"/>
      <c r="EKL13" s="46"/>
      <c r="EKM13" s="46"/>
      <c r="EKN13" s="46"/>
      <c r="EKO13" s="46"/>
      <c r="EKP13" s="46"/>
      <c r="EKQ13" s="46"/>
      <c r="EKR13" s="46"/>
      <c r="EKS13" s="46"/>
      <c r="EKT13" s="46"/>
      <c r="EKU13" s="46"/>
      <c r="EKV13" s="46"/>
      <c r="EKW13" s="46"/>
      <c r="EKX13" s="46"/>
      <c r="EKY13" s="46"/>
      <c r="EKZ13" s="46"/>
      <c r="ELA13" s="46"/>
      <c r="ELB13" s="46"/>
      <c r="ELC13" s="46"/>
      <c r="ELD13" s="46"/>
      <c r="ELE13" s="46"/>
      <c r="ELF13" s="46"/>
      <c r="ELG13" s="46"/>
      <c r="ELH13" s="46"/>
      <c r="ELI13" s="46"/>
      <c r="ELJ13" s="46"/>
      <c r="ELK13" s="46"/>
      <c r="ELL13" s="46"/>
      <c r="ELM13" s="46"/>
      <c r="ELN13" s="46"/>
      <c r="ELO13" s="46"/>
      <c r="ELP13" s="46"/>
      <c r="ELQ13" s="46"/>
      <c r="ELR13" s="46"/>
      <c r="ELS13" s="46"/>
      <c r="ELT13" s="46"/>
      <c r="ELU13" s="46"/>
      <c r="ELV13" s="46"/>
      <c r="ELW13" s="46"/>
      <c r="ELX13" s="46"/>
      <c r="ELY13" s="46"/>
      <c r="ELZ13" s="46"/>
      <c r="EMA13" s="46"/>
      <c r="EMB13" s="46"/>
      <c r="EMC13" s="46"/>
      <c r="EMD13" s="46"/>
      <c r="EME13" s="46"/>
      <c r="EMF13" s="46"/>
      <c r="EMG13" s="46"/>
      <c r="EMH13" s="46"/>
      <c r="EMI13" s="46"/>
      <c r="EMJ13" s="46"/>
      <c r="EMK13" s="46"/>
      <c r="EML13" s="46"/>
      <c r="EMM13" s="46"/>
      <c r="EMN13" s="46"/>
      <c r="EMO13" s="46"/>
      <c r="EMP13" s="46"/>
      <c r="EMQ13" s="46"/>
      <c r="EMR13" s="46"/>
      <c r="EMS13" s="46"/>
      <c r="EMT13" s="46"/>
      <c r="EMU13" s="46"/>
      <c r="EMV13" s="46"/>
      <c r="EMW13" s="46"/>
      <c r="EMX13" s="46"/>
      <c r="EMY13" s="46"/>
      <c r="EMZ13" s="46"/>
      <c r="ENA13" s="46"/>
      <c r="ENB13" s="46"/>
      <c r="ENC13" s="46"/>
      <c r="END13" s="46"/>
      <c r="ENE13" s="46"/>
      <c r="ENF13" s="46"/>
      <c r="ENG13" s="46"/>
      <c r="ENH13" s="46"/>
      <c r="ENI13" s="46"/>
      <c r="ENJ13" s="46"/>
      <c r="ENK13" s="46"/>
      <c r="ENL13" s="46"/>
      <c r="ENM13" s="46"/>
      <c r="ENN13" s="46"/>
      <c r="ENO13" s="46"/>
      <c r="ENP13" s="46"/>
      <c r="ENQ13" s="46"/>
      <c r="ENR13" s="46"/>
      <c r="ENS13" s="46"/>
      <c r="ENT13" s="46"/>
      <c r="ENU13" s="46"/>
      <c r="ENV13" s="46"/>
      <c r="ENW13" s="46"/>
      <c r="ENX13" s="46"/>
      <c r="ENY13" s="46"/>
      <c r="ENZ13" s="46"/>
      <c r="EOA13" s="46"/>
      <c r="EOB13" s="46"/>
      <c r="EOC13" s="46"/>
      <c r="EOD13" s="46"/>
      <c r="EOE13" s="46"/>
      <c r="EOF13" s="46"/>
      <c r="EOG13" s="46"/>
      <c r="EOH13" s="46"/>
      <c r="EOI13" s="46"/>
      <c r="EOJ13" s="46"/>
      <c r="EOK13" s="46"/>
      <c r="EOL13" s="46"/>
      <c r="EOM13" s="46"/>
      <c r="EON13" s="46"/>
      <c r="EOO13" s="46"/>
      <c r="EOP13" s="46"/>
      <c r="EOQ13" s="46"/>
      <c r="EOR13" s="46"/>
      <c r="EOS13" s="46"/>
      <c r="EOT13" s="46"/>
      <c r="EOU13" s="46"/>
      <c r="EOV13" s="46"/>
      <c r="EOW13" s="46"/>
      <c r="EOX13" s="46"/>
      <c r="EOY13" s="46"/>
      <c r="EOZ13" s="46"/>
      <c r="EPA13" s="46"/>
      <c r="EPB13" s="46"/>
      <c r="EPC13" s="46"/>
      <c r="EPD13" s="46"/>
      <c r="EPE13" s="46"/>
      <c r="EPF13" s="46"/>
      <c r="EPG13" s="46"/>
      <c r="EPH13" s="46"/>
      <c r="EPI13" s="46"/>
      <c r="EPJ13" s="46"/>
      <c r="EPK13" s="46"/>
      <c r="EPL13" s="46"/>
      <c r="EPM13" s="46"/>
      <c r="EPN13" s="46"/>
      <c r="EPO13" s="46"/>
      <c r="EPP13" s="46"/>
      <c r="EPQ13" s="46"/>
      <c r="EPR13" s="46"/>
      <c r="EPS13" s="46"/>
      <c r="EPT13" s="46"/>
      <c r="EPU13" s="46"/>
      <c r="EPV13" s="46"/>
      <c r="EPW13" s="46"/>
      <c r="EPX13" s="46"/>
      <c r="EPY13" s="46"/>
      <c r="EPZ13" s="46"/>
      <c r="EQA13" s="46"/>
      <c r="EQB13" s="46"/>
      <c r="EQC13" s="46"/>
      <c r="EQD13" s="46"/>
      <c r="EQE13" s="46"/>
      <c r="EQF13" s="46"/>
      <c r="EQG13" s="46"/>
      <c r="EQH13" s="46"/>
      <c r="EQI13" s="46"/>
      <c r="EQJ13" s="46"/>
      <c r="EQK13" s="46"/>
      <c r="EQL13" s="46"/>
      <c r="EQM13" s="46"/>
      <c r="EQN13" s="46"/>
      <c r="EQO13" s="46"/>
      <c r="EQP13" s="46"/>
      <c r="EQQ13" s="46"/>
      <c r="EQR13" s="46"/>
      <c r="EQS13" s="46"/>
      <c r="EQT13" s="46"/>
      <c r="EQU13" s="46"/>
      <c r="EQV13" s="46"/>
      <c r="EQW13" s="46"/>
      <c r="EQX13" s="46"/>
      <c r="EQY13" s="46"/>
      <c r="EQZ13" s="46"/>
      <c r="ERA13" s="46"/>
      <c r="ERB13" s="46"/>
      <c r="ERC13" s="46"/>
      <c r="ERD13" s="46"/>
      <c r="ERE13" s="46"/>
      <c r="ERF13" s="46"/>
      <c r="ERG13" s="46"/>
      <c r="ERH13" s="46"/>
      <c r="ERI13" s="46"/>
      <c r="ERJ13" s="46"/>
      <c r="ERK13" s="46"/>
      <c r="ERL13" s="46"/>
      <c r="ERM13" s="46"/>
      <c r="ERN13" s="46"/>
      <c r="ERO13" s="46"/>
      <c r="ERP13" s="46"/>
      <c r="ERQ13" s="46"/>
      <c r="ERR13" s="46"/>
      <c r="ERS13" s="46"/>
      <c r="ERT13" s="46"/>
      <c r="ERU13" s="46"/>
      <c r="ERV13" s="46"/>
      <c r="ERW13" s="46"/>
      <c r="ERX13" s="46"/>
      <c r="ERY13" s="46"/>
      <c r="ERZ13" s="46"/>
      <c r="ESA13" s="46"/>
      <c r="ESB13" s="46"/>
      <c r="ESC13" s="46"/>
      <c r="ESD13" s="46"/>
      <c r="ESE13" s="46"/>
      <c r="ESF13" s="46"/>
      <c r="ESG13" s="46"/>
      <c r="ESH13" s="46"/>
      <c r="ESI13" s="46"/>
      <c r="ESJ13" s="46"/>
      <c r="ESK13" s="46"/>
      <c r="ESL13" s="46"/>
      <c r="ESM13" s="46"/>
      <c r="ESN13" s="46"/>
      <c r="ESO13" s="46"/>
      <c r="ESP13" s="46"/>
      <c r="ESQ13" s="46"/>
      <c r="ESR13" s="46"/>
      <c r="ESS13" s="46"/>
      <c r="EST13" s="46"/>
      <c r="ESU13" s="46"/>
      <c r="ESV13" s="46"/>
      <c r="ESW13" s="46"/>
      <c r="ESX13" s="46"/>
      <c r="ESY13" s="46"/>
      <c r="ESZ13" s="46"/>
      <c r="ETA13" s="46"/>
      <c r="ETB13" s="46"/>
      <c r="ETC13" s="46"/>
      <c r="ETD13" s="46"/>
      <c r="ETE13" s="46"/>
      <c r="ETF13" s="46"/>
      <c r="ETG13" s="46"/>
      <c r="ETH13" s="46"/>
      <c r="ETI13" s="46"/>
      <c r="ETJ13" s="46"/>
      <c r="ETK13" s="46"/>
      <c r="ETL13" s="46"/>
      <c r="ETM13" s="46"/>
      <c r="ETN13" s="46"/>
      <c r="ETO13" s="46"/>
      <c r="ETP13" s="46"/>
      <c r="ETQ13" s="46"/>
      <c r="ETR13" s="46"/>
      <c r="ETS13" s="46"/>
      <c r="ETT13" s="46"/>
      <c r="ETU13" s="46"/>
      <c r="ETV13" s="46"/>
      <c r="ETW13" s="46"/>
      <c r="ETX13" s="46"/>
      <c r="ETY13" s="46"/>
      <c r="ETZ13" s="46"/>
      <c r="EUA13" s="46"/>
      <c r="EUB13" s="46"/>
      <c r="EUC13" s="46"/>
      <c r="EUD13" s="46"/>
      <c r="EUE13" s="46"/>
      <c r="EUF13" s="46"/>
      <c r="EUG13" s="46"/>
      <c r="EUH13" s="46"/>
      <c r="EUI13" s="46"/>
      <c r="EUJ13" s="46"/>
      <c r="EUK13" s="46"/>
      <c r="EUL13" s="46"/>
      <c r="EUM13" s="46"/>
      <c r="EUN13" s="46"/>
      <c r="EUO13" s="46"/>
      <c r="EUP13" s="46"/>
      <c r="EUQ13" s="46"/>
      <c r="EUR13" s="46"/>
      <c r="EUS13" s="46"/>
      <c r="EUT13" s="46"/>
      <c r="EUU13" s="46"/>
      <c r="EUV13" s="46"/>
      <c r="EUW13" s="46"/>
      <c r="EUX13" s="46"/>
      <c r="EUY13" s="46"/>
      <c r="EUZ13" s="46"/>
      <c r="EVA13" s="46"/>
      <c r="EVB13" s="46"/>
      <c r="EVC13" s="46"/>
      <c r="EVD13" s="46"/>
      <c r="EVE13" s="46"/>
      <c r="EVF13" s="46"/>
      <c r="EVG13" s="46"/>
      <c r="EVH13" s="46"/>
      <c r="EVI13" s="46"/>
      <c r="EVJ13" s="46"/>
      <c r="EVK13" s="46"/>
      <c r="EVL13" s="46"/>
      <c r="EVM13" s="46"/>
      <c r="EVN13" s="46"/>
      <c r="EVO13" s="46"/>
      <c r="EVP13" s="46"/>
      <c r="EVQ13" s="46"/>
      <c r="EVR13" s="46"/>
      <c r="EVS13" s="46"/>
      <c r="EVT13" s="46"/>
      <c r="EVU13" s="46"/>
      <c r="EVV13" s="46"/>
      <c r="EVW13" s="46"/>
      <c r="EVX13" s="46"/>
      <c r="EVY13" s="46"/>
      <c r="EVZ13" s="46"/>
      <c r="EWA13" s="46"/>
      <c r="EWB13" s="46"/>
      <c r="EWC13" s="46"/>
      <c r="EWD13" s="46"/>
      <c r="EWE13" s="46"/>
      <c r="EWF13" s="46"/>
      <c r="EWG13" s="46"/>
      <c r="EWH13" s="46"/>
      <c r="EWI13" s="46"/>
      <c r="EWJ13" s="46"/>
      <c r="EWK13" s="46"/>
      <c r="EWL13" s="46"/>
      <c r="EWM13" s="46"/>
      <c r="EWN13" s="46"/>
      <c r="EWO13" s="46"/>
      <c r="EWP13" s="46"/>
      <c r="EWQ13" s="46"/>
      <c r="EWR13" s="46"/>
      <c r="EWS13" s="46"/>
      <c r="EWT13" s="46"/>
      <c r="EWU13" s="46"/>
      <c r="EWV13" s="46"/>
      <c r="EWW13" s="46"/>
      <c r="EWX13" s="46"/>
      <c r="EWY13" s="46"/>
      <c r="EWZ13" s="46"/>
      <c r="EXA13" s="46"/>
      <c r="EXB13" s="46"/>
      <c r="EXC13" s="46"/>
      <c r="EXD13" s="46"/>
      <c r="EXE13" s="46"/>
      <c r="EXF13" s="46"/>
      <c r="EXG13" s="46"/>
      <c r="EXH13" s="46"/>
      <c r="EXI13" s="46"/>
      <c r="EXJ13" s="46"/>
      <c r="EXK13" s="46"/>
      <c r="EXL13" s="46"/>
      <c r="EXM13" s="46"/>
      <c r="EXN13" s="46"/>
      <c r="EXO13" s="46"/>
      <c r="EXP13" s="46"/>
      <c r="EXQ13" s="46"/>
      <c r="EXR13" s="46"/>
      <c r="EXS13" s="46"/>
      <c r="EXT13" s="46"/>
      <c r="EXU13" s="46"/>
      <c r="EXV13" s="46"/>
      <c r="EXW13" s="46"/>
      <c r="EXX13" s="46"/>
      <c r="EXY13" s="46"/>
      <c r="EXZ13" s="46"/>
      <c r="EYA13" s="46"/>
      <c r="EYB13" s="46"/>
      <c r="EYC13" s="46"/>
      <c r="EYD13" s="46"/>
      <c r="EYE13" s="46"/>
      <c r="EYF13" s="46"/>
      <c r="EYG13" s="46"/>
      <c r="EYH13" s="46"/>
      <c r="EYI13" s="46"/>
      <c r="EYJ13" s="46"/>
      <c r="EYK13" s="46"/>
      <c r="EYL13" s="46"/>
      <c r="EYM13" s="46"/>
      <c r="EYN13" s="46"/>
      <c r="EYO13" s="46"/>
      <c r="EYP13" s="46"/>
      <c r="EYQ13" s="46"/>
      <c r="EYR13" s="46"/>
      <c r="EYS13" s="46"/>
      <c r="EYT13" s="46"/>
      <c r="EYU13" s="46"/>
      <c r="EYV13" s="46"/>
      <c r="EYW13" s="46"/>
      <c r="EYX13" s="46"/>
      <c r="EYY13" s="46"/>
      <c r="EYZ13" s="46"/>
      <c r="EZA13" s="46"/>
      <c r="EZB13" s="46"/>
      <c r="EZC13" s="46"/>
      <c r="EZD13" s="46"/>
      <c r="EZE13" s="46"/>
      <c r="EZF13" s="46"/>
      <c r="EZG13" s="46"/>
      <c r="EZH13" s="46"/>
      <c r="EZI13" s="46"/>
      <c r="EZJ13" s="46"/>
      <c r="EZK13" s="46"/>
      <c r="EZL13" s="46"/>
      <c r="EZM13" s="46"/>
      <c r="EZN13" s="46"/>
      <c r="EZO13" s="46"/>
      <c r="EZP13" s="46"/>
      <c r="EZQ13" s="46"/>
      <c r="EZR13" s="46"/>
      <c r="EZS13" s="46"/>
      <c r="EZT13" s="46"/>
      <c r="EZU13" s="46"/>
      <c r="EZV13" s="46"/>
      <c r="EZW13" s="46"/>
      <c r="EZX13" s="46"/>
      <c r="EZY13" s="46"/>
      <c r="EZZ13" s="46"/>
      <c r="FAA13" s="46"/>
      <c r="FAB13" s="46"/>
      <c r="FAC13" s="46"/>
      <c r="FAD13" s="46"/>
      <c r="FAE13" s="46"/>
      <c r="FAF13" s="46"/>
      <c r="FAG13" s="46"/>
      <c r="FAH13" s="46"/>
      <c r="FAI13" s="46"/>
      <c r="FAJ13" s="46"/>
      <c r="FAK13" s="46"/>
      <c r="FAL13" s="46"/>
      <c r="FAM13" s="46"/>
      <c r="FAN13" s="46"/>
      <c r="FAO13" s="46"/>
      <c r="FAP13" s="46"/>
      <c r="FAQ13" s="46"/>
      <c r="FAR13" s="46"/>
      <c r="FAS13" s="46"/>
      <c r="FAT13" s="46"/>
      <c r="FAU13" s="46"/>
      <c r="FAV13" s="46"/>
      <c r="FAW13" s="46"/>
      <c r="FAX13" s="46"/>
      <c r="FAY13" s="46"/>
      <c r="FAZ13" s="46"/>
      <c r="FBA13" s="46"/>
      <c r="FBB13" s="46"/>
      <c r="FBC13" s="46"/>
      <c r="FBD13" s="46"/>
      <c r="FBE13" s="46"/>
      <c r="FBF13" s="46"/>
      <c r="FBG13" s="46"/>
      <c r="FBH13" s="46"/>
      <c r="FBI13" s="46"/>
      <c r="FBJ13" s="46"/>
      <c r="FBK13" s="46"/>
      <c r="FBL13" s="46"/>
      <c r="FBM13" s="46"/>
      <c r="FBN13" s="46"/>
      <c r="FBO13" s="46"/>
      <c r="FBP13" s="46"/>
      <c r="FBQ13" s="46"/>
      <c r="FBR13" s="46"/>
      <c r="FBS13" s="46"/>
      <c r="FBT13" s="46"/>
      <c r="FBU13" s="46"/>
      <c r="FBV13" s="46"/>
      <c r="FBW13" s="46"/>
      <c r="FBX13" s="46"/>
      <c r="FBY13" s="46"/>
      <c r="FBZ13" s="46"/>
      <c r="FCA13" s="46"/>
      <c r="FCB13" s="46"/>
      <c r="FCC13" s="46"/>
      <c r="FCD13" s="46"/>
      <c r="FCE13" s="46"/>
      <c r="FCF13" s="46"/>
      <c r="FCG13" s="46"/>
      <c r="FCH13" s="46"/>
      <c r="FCI13" s="46"/>
      <c r="FCJ13" s="46"/>
      <c r="FCK13" s="46"/>
      <c r="FCL13" s="46"/>
      <c r="FCM13" s="46"/>
      <c r="FCN13" s="46"/>
      <c r="FCO13" s="46"/>
      <c r="FCP13" s="46"/>
      <c r="FCQ13" s="46"/>
      <c r="FCR13" s="46"/>
      <c r="FCS13" s="46"/>
      <c r="FCT13" s="46"/>
      <c r="FCU13" s="46"/>
      <c r="FCV13" s="46"/>
      <c r="FCW13" s="46"/>
      <c r="FCX13" s="46"/>
      <c r="FCY13" s="46"/>
      <c r="FCZ13" s="46"/>
      <c r="FDA13" s="46"/>
      <c r="FDB13" s="46"/>
      <c r="FDC13" s="46"/>
      <c r="FDD13" s="46"/>
      <c r="FDE13" s="46"/>
      <c r="FDF13" s="46"/>
      <c r="FDG13" s="46"/>
      <c r="FDH13" s="46"/>
      <c r="FDI13" s="46"/>
      <c r="FDJ13" s="46"/>
      <c r="FDK13" s="46"/>
      <c r="FDL13" s="46"/>
      <c r="FDM13" s="46"/>
      <c r="FDN13" s="46"/>
      <c r="FDO13" s="46"/>
      <c r="FDP13" s="46"/>
      <c r="FDQ13" s="46"/>
      <c r="FDR13" s="46"/>
      <c r="FDS13" s="46"/>
      <c r="FDT13" s="46"/>
      <c r="FDU13" s="46"/>
      <c r="FDV13" s="46"/>
      <c r="FDW13" s="46"/>
      <c r="FDX13" s="46"/>
      <c r="FDY13" s="46"/>
      <c r="FDZ13" s="46"/>
      <c r="FEA13" s="46"/>
      <c r="FEB13" s="46"/>
      <c r="FEC13" s="46"/>
      <c r="FED13" s="46"/>
      <c r="FEE13" s="46"/>
      <c r="FEF13" s="46"/>
      <c r="FEG13" s="46"/>
      <c r="FEH13" s="46"/>
      <c r="FEI13" s="46"/>
      <c r="FEJ13" s="46"/>
      <c r="FEK13" s="46"/>
      <c r="FEL13" s="46"/>
      <c r="FEM13" s="46"/>
      <c r="FEN13" s="46"/>
      <c r="FEO13" s="46"/>
      <c r="FEP13" s="46"/>
      <c r="FEQ13" s="46"/>
      <c r="FER13" s="46"/>
      <c r="FES13" s="46"/>
      <c r="FET13" s="46"/>
      <c r="FEU13" s="46"/>
      <c r="FEV13" s="46"/>
      <c r="FEW13" s="46"/>
      <c r="FEX13" s="46"/>
      <c r="FEY13" s="46"/>
      <c r="FEZ13" s="46"/>
      <c r="FFA13" s="46"/>
      <c r="FFB13" s="46"/>
      <c r="FFC13" s="46"/>
      <c r="FFD13" s="46"/>
      <c r="FFE13" s="46"/>
      <c r="FFF13" s="46"/>
      <c r="FFG13" s="46"/>
      <c r="FFH13" s="46"/>
      <c r="FFI13" s="46"/>
      <c r="FFJ13" s="46"/>
      <c r="FFK13" s="46"/>
      <c r="FFL13" s="46"/>
      <c r="FFM13" s="46"/>
      <c r="FFN13" s="46"/>
      <c r="FFO13" s="46"/>
      <c r="FFP13" s="46"/>
      <c r="FFQ13" s="46"/>
      <c r="FFR13" s="46"/>
      <c r="FFS13" s="46"/>
      <c r="FFT13" s="46"/>
      <c r="FFU13" s="46"/>
      <c r="FFV13" s="46"/>
      <c r="FFW13" s="46"/>
      <c r="FFX13" s="46"/>
      <c r="FFY13" s="46"/>
      <c r="FFZ13" s="46"/>
      <c r="FGA13" s="46"/>
      <c r="FGB13" s="46"/>
      <c r="FGC13" s="46"/>
      <c r="FGD13" s="46"/>
      <c r="FGE13" s="46"/>
      <c r="FGF13" s="46"/>
      <c r="FGG13" s="46"/>
      <c r="FGH13" s="46"/>
      <c r="FGI13" s="46"/>
      <c r="FGJ13" s="46"/>
      <c r="FGK13" s="46"/>
      <c r="FGL13" s="46"/>
      <c r="FGM13" s="46"/>
      <c r="FGN13" s="46"/>
      <c r="FGO13" s="46"/>
      <c r="FGP13" s="46"/>
      <c r="FGQ13" s="46"/>
      <c r="FGR13" s="46"/>
      <c r="FGS13" s="46"/>
      <c r="FGT13" s="46"/>
      <c r="FGU13" s="46"/>
      <c r="FGV13" s="46"/>
      <c r="FGW13" s="46"/>
      <c r="FGX13" s="46"/>
      <c r="FGY13" s="46"/>
      <c r="FGZ13" s="46"/>
      <c r="FHA13" s="46"/>
      <c r="FHB13" s="46"/>
      <c r="FHC13" s="46"/>
      <c r="FHD13" s="46"/>
      <c r="FHE13" s="46"/>
      <c r="FHF13" s="46"/>
      <c r="FHG13" s="46"/>
      <c r="FHH13" s="46"/>
      <c r="FHI13" s="46"/>
      <c r="FHJ13" s="46"/>
      <c r="FHK13" s="46"/>
      <c r="FHL13" s="46"/>
      <c r="FHM13" s="46"/>
      <c r="FHN13" s="46"/>
      <c r="FHO13" s="46"/>
      <c r="FHP13" s="46"/>
      <c r="FHQ13" s="46"/>
      <c r="FHR13" s="46"/>
      <c r="FHS13" s="46"/>
      <c r="FHT13" s="46"/>
      <c r="FHU13" s="46"/>
      <c r="FHV13" s="46"/>
      <c r="FHW13" s="46"/>
      <c r="FHX13" s="46"/>
      <c r="FHY13" s="46"/>
      <c r="FHZ13" s="46"/>
      <c r="FIA13" s="46"/>
      <c r="FIB13" s="46"/>
      <c r="FIC13" s="46"/>
      <c r="FID13" s="46"/>
      <c r="FIE13" s="46"/>
      <c r="FIF13" s="46"/>
      <c r="FIG13" s="46"/>
      <c r="FIH13" s="46"/>
      <c r="FII13" s="46"/>
      <c r="FIJ13" s="46"/>
      <c r="FIK13" s="46"/>
      <c r="FIL13" s="46"/>
      <c r="FIM13" s="46"/>
      <c r="FIN13" s="46"/>
      <c r="FIO13" s="46"/>
      <c r="FIP13" s="46"/>
      <c r="FIQ13" s="46"/>
      <c r="FIR13" s="46"/>
      <c r="FIS13" s="46"/>
      <c r="FIT13" s="46"/>
      <c r="FIU13" s="46"/>
      <c r="FIV13" s="46"/>
      <c r="FIW13" s="46"/>
      <c r="FIX13" s="46"/>
      <c r="FIY13" s="46"/>
      <c r="FIZ13" s="46"/>
      <c r="FJA13" s="46"/>
      <c r="FJB13" s="46"/>
      <c r="FJC13" s="46"/>
      <c r="FJD13" s="46"/>
      <c r="FJE13" s="46"/>
      <c r="FJF13" s="46"/>
      <c r="FJG13" s="46"/>
      <c r="FJH13" s="46"/>
      <c r="FJI13" s="46"/>
      <c r="FJJ13" s="46"/>
      <c r="FJK13" s="46"/>
      <c r="FJL13" s="46"/>
      <c r="FJM13" s="46"/>
      <c r="FJN13" s="46"/>
      <c r="FJO13" s="46"/>
      <c r="FJP13" s="46"/>
      <c r="FJQ13" s="46"/>
      <c r="FJR13" s="46"/>
      <c r="FJS13" s="46"/>
      <c r="FJT13" s="46"/>
      <c r="FJU13" s="46"/>
      <c r="FJV13" s="46"/>
      <c r="FJW13" s="46"/>
      <c r="FJX13" s="46"/>
      <c r="FJY13" s="46"/>
      <c r="FJZ13" s="46"/>
      <c r="FKA13" s="46"/>
      <c r="FKB13" s="46"/>
      <c r="FKC13" s="46"/>
      <c r="FKD13" s="46"/>
      <c r="FKE13" s="46"/>
      <c r="FKF13" s="46"/>
      <c r="FKG13" s="46"/>
      <c r="FKH13" s="46"/>
      <c r="FKI13" s="46"/>
      <c r="FKJ13" s="46"/>
      <c r="FKK13" s="46"/>
      <c r="FKL13" s="46"/>
      <c r="FKM13" s="46"/>
      <c r="FKN13" s="46"/>
      <c r="FKO13" s="46"/>
      <c r="FKP13" s="46"/>
      <c r="FKQ13" s="46"/>
      <c r="FKR13" s="46"/>
      <c r="FKS13" s="46"/>
      <c r="FKT13" s="46"/>
      <c r="FKU13" s="46"/>
      <c r="FKV13" s="46"/>
      <c r="FKW13" s="46"/>
      <c r="FKX13" s="46"/>
      <c r="FKY13" s="46"/>
      <c r="FKZ13" s="46"/>
      <c r="FLA13" s="46"/>
      <c r="FLB13" s="46"/>
      <c r="FLC13" s="46"/>
      <c r="FLD13" s="46"/>
      <c r="FLE13" s="46"/>
      <c r="FLF13" s="46"/>
      <c r="FLG13" s="46"/>
      <c r="FLH13" s="46"/>
      <c r="FLI13" s="46"/>
      <c r="FLJ13" s="46"/>
      <c r="FLK13" s="46"/>
      <c r="FLL13" s="46"/>
      <c r="FLM13" s="46"/>
      <c r="FLN13" s="46"/>
      <c r="FLO13" s="46"/>
      <c r="FLP13" s="46"/>
      <c r="FLQ13" s="46"/>
      <c r="FLR13" s="46"/>
      <c r="FLS13" s="46"/>
      <c r="FLT13" s="46"/>
      <c r="FLU13" s="46"/>
      <c r="FLV13" s="46"/>
      <c r="FLW13" s="46"/>
      <c r="FLX13" s="46"/>
      <c r="FLY13" s="46"/>
      <c r="FLZ13" s="46"/>
      <c r="FMA13" s="46"/>
      <c r="FMB13" s="46"/>
      <c r="FMC13" s="46"/>
      <c r="FMD13" s="46"/>
      <c r="FME13" s="46"/>
      <c r="FMF13" s="46"/>
      <c r="FMG13" s="46"/>
      <c r="FMH13" s="46"/>
      <c r="FMI13" s="46"/>
      <c r="FMJ13" s="46"/>
      <c r="FMK13" s="46"/>
      <c r="FML13" s="46"/>
      <c r="FMM13" s="46"/>
      <c r="FMN13" s="46"/>
      <c r="FMO13" s="46"/>
      <c r="FMP13" s="46"/>
      <c r="FMQ13" s="46"/>
      <c r="FMR13" s="46"/>
      <c r="FMS13" s="46"/>
      <c r="FMT13" s="46"/>
      <c r="FMU13" s="46"/>
      <c r="FMV13" s="46"/>
      <c r="FMW13" s="46"/>
      <c r="FMX13" s="46"/>
      <c r="FMY13" s="46"/>
      <c r="FMZ13" s="46"/>
      <c r="FNA13" s="46"/>
      <c r="FNB13" s="46"/>
      <c r="FNC13" s="46"/>
      <c r="FND13" s="46"/>
      <c r="FNE13" s="46"/>
      <c r="FNF13" s="46"/>
      <c r="FNG13" s="46"/>
      <c r="FNH13" s="46"/>
      <c r="FNI13" s="46"/>
      <c r="FNJ13" s="46"/>
      <c r="FNK13" s="46"/>
      <c r="FNL13" s="46"/>
      <c r="FNM13" s="46"/>
      <c r="FNN13" s="46"/>
      <c r="FNO13" s="46"/>
      <c r="FNP13" s="46"/>
      <c r="FNQ13" s="46"/>
      <c r="FNR13" s="46"/>
      <c r="FNS13" s="46"/>
      <c r="FNT13" s="46"/>
      <c r="FNU13" s="46"/>
      <c r="FNV13" s="46"/>
      <c r="FNW13" s="46"/>
      <c r="FNX13" s="46"/>
      <c r="FNY13" s="46"/>
      <c r="FNZ13" s="46"/>
      <c r="FOA13" s="46"/>
      <c r="FOB13" s="46"/>
      <c r="FOC13" s="46"/>
      <c r="FOD13" s="46"/>
      <c r="FOE13" s="46"/>
      <c r="FOF13" s="46"/>
      <c r="FOG13" s="46"/>
      <c r="FOH13" s="46"/>
      <c r="FOI13" s="46"/>
      <c r="FOJ13" s="46"/>
      <c r="FOK13" s="46"/>
      <c r="FOL13" s="46"/>
      <c r="FOM13" s="46"/>
      <c r="FON13" s="46"/>
      <c r="FOO13" s="46"/>
      <c r="FOP13" s="46"/>
      <c r="FOQ13" s="46"/>
      <c r="FOR13" s="46"/>
      <c r="FOS13" s="46"/>
      <c r="FOT13" s="46"/>
      <c r="FOU13" s="46"/>
      <c r="FOV13" s="46"/>
      <c r="FOW13" s="46"/>
      <c r="FOX13" s="46"/>
      <c r="FOY13" s="46"/>
      <c r="FOZ13" s="46"/>
      <c r="FPA13" s="46"/>
      <c r="FPB13" s="46"/>
      <c r="FPC13" s="46"/>
      <c r="FPD13" s="46"/>
      <c r="FPE13" s="46"/>
      <c r="FPF13" s="46"/>
      <c r="FPG13" s="46"/>
      <c r="FPH13" s="46"/>
      <c r="FPI13" s="46"/>
      <c r="FPJ13" s="46"/>
      <c r="FPK13" s="46"/>
      <c r="FPL13" s="46"/>
      <c r="FPM13" s="46"/>
      <c r="FPN13" s="46"/>
      <c r="FPO13" s="46"/>
      <c r="FPP13" s="46"/>
      <c r="FPQ13" s="46"/>
      <c r="FPR13" s="46"/>
      <c r="FPS13" s="46"/>
      <c r="FPT13" s="46"/>
      <c r="FPU13" s="46"/>
      <c r="FPV13" s="46"/>
      <c r="FPW13" s="46"/>
      <c r="FPX13" s="46"/>
      <c r="FPY13" s="46"/>
      <c r="FPZ13" s="46"/>
      <c r="FQA13" s="46"/>
      <c r="FQB13" s="46"/>
      <c r="FQC13" s="46"/>
      <c r="FQD13" s="46"/>
      <c r="FQE13" s="46"/>
      <c r="FQF13" s="46"/>
      <c r="FQG13" s="46"/>
      <c r="FQH13" s="46"/>
      <c r="FQI13" s="46"/>
      <c r="FQJ13" s="46"/>
      <c r="FQK13" s="46"/>
      <c r="FQL13" s="46"/>
      <c r="FQM13" s="46"/>
      <c r="FQN13" s="46"/>
      <c r="FQO13" s="46"/>
      <c r="FQP13" s="46"/>
      <c r="FQQ13" s="46"/>
      <c r="FQR13" s="46"/>
      <c r="FQS13" s="46"/>
      <c r="FQT13" s="46"/>
      <c r="FQU13" s="46"/>
      <c r="FQV13" s="46"/>
      <c r="FQW13" s="46"/>
      <c r="FQX13" s="46"/>
      <c r="FQY13" s="46"/>
      <c r="FQZ13" s="46"/>
      <c r="FRA13" s="46"/>
      <c r="FRB13" s="46"/>
      <c r="FRC13" s="46"/>
      <c r="FRD13" s="46"/>
      <c r="FRE13" s="46"/>
      <c r="FRF13" s="46"/>
      <c r="FRG13" s="46"/>
      <c r="FRH13" s="46"/>
      <c r="FRI13" s="46"/>
      <c r="FRJ13" s="46"/>
      <c r="FRK13" s="46"/>
      <c r="FRL13" s="46"/>
      <c r="FRM13" s="46"/>
      <c r="FRN13" s="46"/>
      <c r="FRO13" s="46"/>
      <c r="FRP13" s="46"/>
      <c r="FRQ13" s="46"/>
      <c r="FRR13" s="46"/>
      <c r="FRS13" s="46"/>
      <c r="FRT13" s="46"/>
      <c r="FRU13" s="46"/>
      <c r="FRV13" s="46"/>
      <c r="FRW13" s="46"/>
      <c r="FRX13" s="46"/>
      <c r="FRY13" s="46"/>
      <c r="FRZ13" s="46"/>
      <c r="FSA13" s="46"/>
      <c r="FSB13" s="46"/>
      <c r="FSC13" s="46"/>
      <c r="FSD13" s="46"/>
      <c r="FSE13" s="46"/>
      <c r="FSF13" s="46"/>
      <c r="FSG13" s="46"/>
      <c r="FSH13" s="46"/>
      <c r="FSI13" s="46"/>
      <c r="FSJ13" s="46"/>
      <c r="FSK13" s="46"/>
      <c r="FSL13" s="46"/>
      <c r="FSM13" s="46"/>
      <c r="FSN13" s="46"/>
      <c r="FSO13" s="46"/>
      <c r="FSP13" s="46"/>
      <c r="FSQ13" s="46"/>
      <c r="FSR13" s="46"/>
      <c r="FSS13" s="46"/>
      <c r="FST13" s="46"/>
      <c r="FSU13" s="46"/>
      <c r="FSV13" s="46"/>
      <c r="FSW13" s="46"/>
      <c r="FSX13" s="46"/>
      <c r="FSY13" s="46"/>
      <c r="FSZ13" s="46"/>
      <c r="FTA13" s="46"/>
      <c r="FTB13" s="46"/>
      <c r="FTC13" s="46"/>
      <c r="FTD13" s="46"/>
      <c r="FTE13" s="46"/>
      <c r="FTF13" s="46"/>
      <c r="FTG13" s="46"/>
      <c r="FTH13" s="46"/>
      <c r="FTI13" s="46"/>
      <c r="FTJ13" s="46"/>
      <c r="FTK13" s="46"/>
      <c r="FTL13" s="46"/>
      <c r="FTM13" s="46"/>
      <c r="FTN13" s="46"/>
      <c r="FTO13" s="46"/>
      <c r="FTP13" s="46"/>
      <c r="FTQ13" s="46"/>
      <c r="FTR13" s="46"/>
      <c r="FTS13" s="46"/>
      <c r="FTT13" s="46"/>
      <c r="FTU13" s="46"/>
      <c r="FTV13" s="46"/>
      <c r="FTW13" s="46"/>
      <c r="FTX13" s="46"/>
      <c r="FTY13" s="46"/>
      <c r="FTZ13" s="46"/>
      <c r="FUA13" s="46"/>
      <c r="FUB13" s="46"/>
      <c r="FUC13" s="46"/>
      <c r="FUD13" s="46"/>
      <c r="FUE13" s="46"/>
      <c r="FUF13" s="46"/>
      <c r="FUG13" s="46"/>
      <c r="FUH13" s="46"/>
      <c r="FUI13" s="46"/>
      <c r="FUJ13" s="46"/>
      <c r="FUK13" s="46"/>
      <c r="FUL13" s="46"/>
      <c r="FUM13" s="46"/>
      <c r="FUN13" s="46"/>
      <c r="FUO13" s="46"/>
      <c r="FUP13" s="46"/>
      <c r="FUQ13" s="46"/>
      <c r="FUR13" s="46"/>
      <c r="FUS13" s="46"/>
      <c r="FUT13" s="46"/>
      <c r="FUU13" s="46"/>
      <c r="FUV13" s="46"/>
      <c r="FUW13" s="46"/>
      <c r="FUX13" s="46"/>
      <c r="FUY13" s="46"/>
      <c r="FUZ13" s="46"/>
      <c r="FVA13" s="46"/>
      <c r="FVB13" s="46"/>
      <c r="FVC13" s="46"/>
      <c r="FVD13" s="46"/>
      <c r="FVE13" s="46"/>
      <c r="FVF13" s="46"/>
      <c r="FVG13" s="46"/>
      <c r="FVH13" s="46"/>
      <c r="FVI13" s="46"/>
      <c r="FVJ13" s="46"/>
      <c r="FVK13" s="46"/>
      <c r="FVL13" s="46"/>
      <c r="FVM13" s="46"/>
      <c r="FVN13" s="46"/>
      <c r="FVO13" s="46"/>
      <c r="FVP13" s="46"/>
      <c r="FVQ13" s="46"/>
      <c r="FVR13" s="46"/>
      <c r="FVS13" s="46"/>
      <c r="FVT13" s="46"/>
      <c r="FVU13" s="46"/>
      <c r="FVV13" s="46"/>
      <c r="FVW13" s="46"/>
      <c r="FVX13" s="46"/>
      <c r="FVY13" s="46"/>
      <c r="FVZ13" s="46"/>
      <c r="FWA13" s="46"/>
      <c r="FWB13" s="46"/>
      <c r="FWC13" s="46"/>
      <c r="FWD13" s="46"/>
      <c r="FWE13" s="46"/>
      <c r="FWF13" s="46"/>
      <c r="FWG13" s="46"/>
      <c r="FWH13" s="46"/>
      <c r="FWI13" s="46"/>
      <c r="FWJ13" s="46"/>
      <c r="FWK13" s="46"/>
      <c r="FWL13" s="46"/>
      <c r="FWM13" s="46"/>
      <c r="FWN13" s="46"/>
      <c r="FWO13" s="46"/>
      <c r="FWP13" s="46"/>
      <c r="FWQ13" s="46"/>
      <c r="FWR13" s="46"/>
      <c r="FWS13" s="46"/>
      <c r="FWT13" s="46"/>
      <c r="FWU13" s="46"/>
      <c r="FWV13" s="46"/>
      <c r="FWW13" s="46"/>
      <c r="FWX13" s="46"/>
      <c r="FWY13" s="46"/>
      <c r="FWZ13" s="46"/>
      <c r="FXA13" s="46"/>
      <c r="FXB13" s="46"/>
      <c r="FXC13" s="46"/>
      <c r="FXD13" s="46"/>
      <c r="FXE13" s="46"/>
      <c r="FXF13" s="46"/>
      <c r="FXG13" s="46"/>
      <c r="FXH13" s="46"/>
      <c r="FXI13" s="46"/>
      <c r="FXJ13" s="46"/>
      <c r="FXK13" s="46"/>
      <c r="FXL13" s="46"/>
      <c r="FXM13" s="46"/>
      <c r="FXN13" s="46"/>
      <c r="FXO13" s="46"/>
      <c r="FXP13" s="46"/>
      <c r="FXQ13" s="46"/>
      <c r="FXR13" s="46"/>
      <c r="FXS13" s="46"/>
      <c r="FXT13" s="46"/>
      <c r="FXU13" s="46"/>
      <c r="FXV13" s="46"/>
      <c r="FXW13" s="46"/>
      <c r="FXX13" s="46"/>
      <c r="FXY13" s="46"/>
      <c r="FXZ13" s="46"/>
      <c r="FYA13" s="46"/>
      <c r="FYB13" s="46"/>
      <c r="FYC13" s="46"/>
      <c r="FYD13" s="46"/>
      <c r="FYE13" s="46"/>
      <c r="FYF13" s="46"/>
      <c r="FYG13" s="46"/>
      <c r="FYH13" s="46"/>
      <c r="FYI13" s="46"/>
      <c r="FYJ13" s="46"/>
      <c r="FYK13" s="46"/>
      <c r="FYL13" s="46"/>
      <c r="FYM13" s="46"/>
      <c r="FYN13" s="46"/>
      <c r="FYO13" s="46"/>
      <c r="FYP13" s="46"/>
      <c r="FYQ13" s="46"/>
      <c r="FYR13" s="46"/>
      <c r="FYS13" s="46"/>
      <c r="FYT13" s="46"/>
      <c r="FYU13" s="46"/>
      <c r="FYV13" s="46"/>
      <c r="FYW13" s="46"/>
      <c r="FYX13" s="46"/>
      <c r="FYY13" s="46"/>
      <c r="FYZ13" s="46"/>
      <c r="FZA13" s="46"/>
      <c r="FZB13" s="46"/>
      <c r="FZC13" s="46"/>
      <c r="FZD13" s="46"/>
      <c r="FZE13" s="46"/>
      <c r="FZF13" s="46"/>
      <c r="FZG13" s="46"/>
      <c r="FZH13" s="46"/>
      <c r="FZI13" s="46"/>
      <c r="FZJ13" s="46"/>
      <c r="FZK13" s="46"/>
      <c r="FZL13" s="46"/>
      <c r="FZM13" s="46"/>
      <c r="FZN13" s="46"/>
      <c r="FZO13" s="46"/>
      <c r="FZP13" s="46"/>
      <c r="FZQ13" s="46"/>
      <c r="FZR13" s="46"/>
      <c r="FZS13" s="46"/>
      <c r="FZT13" s="46"/>
      <c r="FZU13" s="46"/>
      <c r="FZV13" s="46"/>
      <c r="FZW13" s="46"/>
      <c r="FZX13" s="46"/>
      <c r="FZY13" s="46"/>
      <c r="FZZ13" s="46"/>
      <c r="GAA13" s="46"/>
      <c r="GAB13" s="46"/>
      <c r="GAC13" s="46"/>
      <c r="GAD13" s="46"/>
      <c r="GAE13" s="46"/>
      <c r="GAF13" s="46"/>
      <c r="GAG13" s="46"/>
      <c r="GAH13" s="46"/>
      <c r="GAI13" s="46"/>
      <c r="GAJ13" s="46"/>
      <c r="GAK13" s="46"/>
      <c r="GAL13" s="46"/>
      <c r="GAM13" s="46"/>
      <c r="GAN13" s="46"/>
      <c r="GAO13" s="46"/>
      <c r="GAP13" s="46"/>
      <c r="GAQ13" s="46"/>
      <c r="GAR13" s="46"/>
      <c r="GAS13" s="46"/>
      <c r="GAT13" s="46"/>
      <c r="GAU13" s="46"/>
      <c r="GAV13" s="46"/>
      <c r="GAW13" s="46"/>
      <c r="GAX13" s="46"/>
      <c r="GAY13" s="46"/>
      <c r="GAZ13" s="46"/>
      <c r="GBA13" s="46"/>
      <c r="GBB13" s="46"/>
      <c r="GBC13" s="46"/>
      <c r="GBD13" s="46"/>
      <c r="GBE13" s="46"/>
      <c r="GBF13" s="46"/>
      <c r="GBG13" s="46"/>
      <c r="GBH13" s="46"/>
      <c r="GBI13" s="46"/>
      <c r="GBJ13" s="46"/>
      <c r="GBK13" s="46"/>
      <c r="GBL13" s="46"/>
      <c r="GBM13" s="46"/>
      <c r="GBN13" s="46"/>
      <c r="GBO13" s="46"/>
      <c r="GBP13" s="46"/>
      <c r="GBQ13" s="46"/>
      <c r="GBR13" s="46"/>
      <c r="GBS13" s="46"/>
      <c r="GBT13" s="46"/>
      <c r="GBU13" s="46"/>
      <c r="GBV13" s="46"/>
      <c r="GBW13" s="46"/>
      <c r="GBX13" s="46"/>
      <c r="GBY13" s="46"/>
      <c r="GBZ13" s="46"/>
      <c r="GCA13" s="46"/>
      <c r="GCB13" s="46"/>
      <c r="GCC13" s="46"/>
      <c r="GCD13" s="46"/>
      <c r="GCE13" s="46"/>
      <c r="GCF13" s="46"/>
      <c r="GCG13" s="46"/>
      <c r="GCH13" s="46"/>
      <c r="GCI13" s="46"/>
      <c r="GCJ13" s="46"/>
      <c r="GCK13" s="46"/>
      <c r="GCL13" s="46"/>
      <c r="GCM13" s="46"/>
      <c r="GCN13" s="46"/>
      <c r="GCO13" s="46"/>
      <c r="GCP13" s="46"/>
      <c r="GCQ13" s="46"/>
      <c r="GCR13" s="46"/>
      <c r="GCS13" s="46"/>
      <c r="GCT13" s="46"/>
      <c r="GCU13" s="46"/>
      <c r="GCV13" s="46"/>
      <c r="GCW13" s="46"/>
      <c r="GCX13" s="46"/>
      <c r="GCY13" s="46"/>
      <c r="GCZ13" s="46"/>
      <c r="GDA13" s="46"/>
      <c r="GDB13" s="46"/>
      <c r="GDC13" s="46"/>
      <c r="GDD13" s="46"/>
      <c r="GDE13" s="46"/>
      <c r="GDF13" s="46"/>
      <c r="GDG13" s="46"/>
      <c r="GDH13" s="46"/>
      <c r="GDI13" s="46"/>
      <c r="GDJ13" s="46"/>
      <c r="GDK13" s="46"/>
      <c r="GDL13" s="46"/>
      <c r="GDM13" s="46"/>
      <c r="GDN13" s="46"/>
      <c r="GDO13" s="46"/>
      <c r="GDP13" s="46"/>
      <c r="GDQ13" s="46"/>
      <c r="GDR13" s="46"/>
      <c r="GDS13" s="46"/>
      <c r="GDT13" s="46"/>
      <c r="GDU13" s="46"/>
      <c r="GDV13" s="46"/>
      <c r="GDW13" s="46"/>
      <c r="GDX13" s="46"/>
      <c r="GDY13" s="46"/>
      <c r="GDZ13" s="46"/>
      <c r="GEA13" s="46"/>
      <c r="GEB13" s="46"/>
      <c r="GEC13" s="46"/>
      <c r="GED13" s="46"/>
      <c r="GEE13" s="46"/>
      <c r="GEF13" s="46"/>
      <c r="GEG13" s="46"/>
      <c r="GEH13" s="46"/>
      <c r="GEI13" s="46"/>
      <c r="GEJ13" s="46"/>
      <c r="GEK13" s="46"/>
      <c r="GEL13" s="46"/>
      <c r="GEM13" s="46"/>
      <c r="GEN13" s="46"/>
      <c r="GEO13" s="46"/>
      <c r="GEP13" s="46"/>
      <c r="GEQ13" s="46"/>
      <c r="GER13" s="46"/>
      <c r="GES13" s="46"/>
      <c r="GET13" s="46"/>
      <c r="GEU13" s="46"/>
      <c r="GEV13" s="46"/>
      <c r="GEW13" s="46"/>
      <c r="GEX13" s="46"/>
      <c r="GEY13" s="46"/>
      <c r="GEZ13" s="46"/>
      <c r="GFA13" s="46"/>
      <c r="GFB13" s="46"/>
      <c r="GFC13" s="46"/>
      <c r="GFD13" s="46"/>
      <c r="GFE13" s="46"/>
      <c r="GFF13" s="46"/>
      <c r="GFG13" s="46"/>
      <c r="GFH13" s="46"/>
      <c r="GFI13" s="46"/>
      <c r="GFJ13" s="46"/>
      <c r="GFK13" s="46"/>
      <c r="GFL13" s="46"/>
      <c r="GFM13" s="46"/>
      <c r="GFN13" s="46"/>
      <c r="GFO13" s="46"/>
      <c r="GFP13" s="46"/>
      <c r="GFQ13" s="46"/>
      <c r="GFR13" s="46"/>
      <c r="GFS13" s="46"/>
      <c r="GFT13" s="46"/>
      <c r="GFU13" s="46"/>
      <c r="GFV13" s="46"/>
      <c r="GFW13" s="46"/>
      <c r="GFX13" s="46"/>
      <c r="GFY13" s="46"/>
      <c r="GFZ13" s="46"/>
      <c r="GGA13" s="46"/>
      <c r="GGB13" s="46"/>
      <c r="GGC13" s="46"/>
      <c r="GGD13" s="46"/>
      <c r="GGE13" s="46"/>
      <c r="GGF13" s="46"/>
      <c r="GGG13" s="46"/>
      <c r="GGH13" s="46"/>
      <c r="GGI13" s="46"/>
      <c r="GGJ13" s="46"/>
      <c r="GGK13" s="46"/>
      <c r="GGL13" s="46"/>
      <c r="GGM13" s="46"/>
      <c r="GGN13" s="46"/>
      <c r="GGO13" s="46"/>
      <c r="GGP13" s="46"/>
      <c r="GGQ13" s="46"/>
      <c r="GGR13" s="46"/>
      <c r="GGS13" s="46"/>
      <c r="GGT13" s="46"/>
      <c r="GGU13" s="46"/>
      <c r="GGV13" s="46"/>
      <c r="GGW13" s="46"/>
      <c r="GGX13" s="46"/>
      <c r="GGY13" s="46"/>
      <c r="GGZ13" s="46"/>
      <c r="GHA13" s="46"/>
      <c r="GHB13" s="46"/>
      <c r="GHC13" s="46"/>
      <c r="GHD13" s="46"/>
      <c r="GHE13" s="46"/>
      <c r="GHF13" s="46"/>
      <c r="GHG13" s="46"/>
      <c r="GHH13" s="46"/>
      <c r="GHI13" s="46"/>
      <c r="GHJ13" s="46"/>
      <c r="GHK13" s="46"/>
      <c r="GHL13" s="46"/>
      <c r="GHM13" s="46"/>
      <c r="GHN13" s="46"/>
      <c r="GHO13" s="46"/>
      <c r="GHP13" s="46"/>
      <c r="GHQ13" s="46"/>
      <c r="GHR13" s="46"/>
      <c r="GHS13" s="46"/>
      <c r="GHT13" s="46"/>
      <c r="GHU13" s="46"/>
      <c r="GHV13" s="46"/>
      <c r="GHW13" s="46"/>
      <c r="GHX13" s="46"/>
      <c r="GHY13" s="46"/>
      <c r="GHZ13" s="46"/>
      <c r="GIA13" s="46"/>
      <c r="GIB13" s="46"/>
      <c r="GIC13" s="46"/>
      <c r="GID13" s="46"/>
      <c r="GIE13" s="46"/>
      <c r="GIF13" s="46"/>
      <c r="GIG13" s="46"/>
      <c r="GIH13" s="46"/>
      <c r="GII13" s="46"/>
      <c r="GIJ13" s="46"/>
      <c r="GIK13" s="46"/>
      <c r="GIL13" s="46"/>
      <c r="GIM13" s="46"/>
      <c r="GIN13" s="46"/>
      <c r="GIO13" s="46"/>
      <c r="GIP13" s="46"/>
      <c r="GIQ13" s="46"/>
      <c r="GIR13" s="46"/>
      <c r="GIS13" s="46"/>
      <c r="GIT13" s="46"/>
      <c r="GIU13" s="46"/>
      <c r="GIV13" s="46"/>
      <c r="GIW13" s="46"/>
      <c r="GIX13" s="46"/>
      <c r="GIY13" s="46"/>
      <c r="GIZ13" s="46"/>
      <c r="GJA13" s="46"/>
      <c r="GJB13" s="46"/>
      <c r="GJC13" s="46"/>
      <c r="GJD13" s="46"/>
      <c r="GJE13" s="46"/>
      <c r="GJF13" s="46"/>
      <c r="GJG13" s="46"/>
      <c r="GJH13" s="46"/>
      <c r="GJI13" s="46"/>
      <c r="GJJ13" s="46"/>
      <c r="GJK13" s="46"/>
      <c r="GJL13" s="46"/>
      <c r="GJM13" s="46"/>
      <c r="GJN13" s="46"/>
      <c r="GJO13" s="46"/>
      <c r="GJP13" s="46"/>
      <c r="GJQ13" s="46"/>
      <c r="GJR13" s="46"/>
      <c r="GJS13" s="46"/>
      <c r="GJT13" s="46"/>
      <c r="GJU13" s="46"/>
      <c r="GJV13" s="46"/>
      <c r="GJW13" s="46"/>
      <c r="GJX13" s="46"/>
      <c r="GJY13" s="46"/>
      <c r="GJZ13" s="46"/>
      <c r="GKA13" s="46"/>
      <c r="GKB13" s="46"/>
      <c r="GKC13" s="46"/>
      <c r="GKD13" s="46"/>
      <c r="GKE13" s="46"/>
      <c r="GKF13" s="46"/>
      <c r="GKG13" s="46"/>
      <c r="GKH13" s="46"/>
      <c r="GKI13" s="46"/>
      <c r="GKJ13" s="46"/>
      <c r="GKK13" s="46"/>
      <c r="GKL13" s="46"/>
      <c r="GKM13" s="46"/>
      <c r="GKN13" s="46"/>
      <c r="GKO13" s="46"/>
      <c r="GKP13" s="46"/>
      <c r="GKQ13" s="46"/>
      <c r="GKR13" s="46"/>
      <c r="GKS13" s="46"/>
      <c r="GKT13" s="46"/>
      <c r="GKU13" s="46"/>
      <c r="GKV13" s="46"/>
      <c r="GKW13" s="46"/>
      <c r="GKX13" s="46"/>
      <c r="GKY13" s="46"/>
      <c r="GKZ13" s="46"/>
      <c r="GLA13" s="46"/>
      <c r="GLB13" s="46"/>
      <c r="GLC13" s="46"/>
      <c r="GLD13" s="46"/>
      <c r="GLE13" s="46"/>
      <c r="GLF13" s="46"/>
      <c r="GLG13" s="46"/>
      <c r="GLH13" s="46"/>
      <c r="GLI13" s="46"/>
      <c r="GLJ13" s="46"/>
      <c r="GLK13" s="46"/>
      <c r="GLL13" s="46"/>
      <c r="GLM13" s="46"/>
      <c r="GLN13" s="46"/>
      <c r="GLO13" s="46"/>
      <c r="GLP13" s="46"/>
      <c r="GLQ13" s="46"/>
      <c r="GLR13" s="46"/>
      <c r="GLS13" s="46"/>
      <c r="GLT13" s="46"/>
      <c r="GLU13" s="46"/>
      <c r="GLV13" s="46"/>
      <c r="GLW13" s="46"/>
      <c r="GLX13" s="46"/>
      <c r="GLY13" s="46"/>
      <c r="GLZ13" s="46"/>
      <c r="GMA13" s="46"/>
      <c r="GMB13" s="46"/>
      <c r="GMC13" s="46"/>
      <c r="GMD13" s="46"/>
      <c r="GME13" s="46"/>
      <c r="GMF13" s="46"/>
      <c r="GMG13" s="46"/>
      <c r="GMH13" s="46"/>
      <c r="GMI13" s="46"/>
      <c r="GMJ13" s="46"/>
      <c r="GMK13" s="46"/>
      <c r="GML13" s="46"/>
      <c r="GMM13" s="46"/>
      <c r="GMN13" s="46"/>
      <c r="GMO13" s="46"/>
      <c r="GMP13" s="46"/>
      <c r="GMQ13" s="46"/>
      <c r="GMR13" s="46"/>
      <c r="GMS13" s="46"/>
      <c r="GMT13" s="46"/>
      <c r="GMU13" s="46"/>
      <c r="GMV13" s="46"/>
      <c r="GMW13" s="46"/>
      <c r="GMX13" s="46"/>
      <c r="GMY13" s="46"/>
      <c r="GMZ13" s="46"/>
      <c r="GNA13" s="46"/>
      <c r="GNB13" s="46"/>
      <c r="GNC13" s="46"/>
      <c r="GND13" s="46"/>
      <c r="GNE13" s="46"/>
      <c r="GNF13" s="46"/>
      <c r="GNG13" s="46"/>
      <c r="GNH13" s="46"/>
      <c r="GNI13" s="46"/>
      <c r="GNJ13" s="46"/>
      <c r="GNK13" s="46"/>
      <c r="GNL13" s="46"/>
      <c r="GNM13" s="46"/>
      <c r="GNN13" s="46"/>
      <c r="GNO13" s="46"/>
      <c r="GNP13" s="46"/>
      <c r="GNQ13" s="46"/>
      <c r="GNR13" s="46"/>
      <c r="GNS13" s="46"/>
      <c r="GNT13" s="46"/>
      <c r="GNU13" s="46"/>
      <c r="GNV13" s="46"/>
      <c r="GNW13" s="46"/>
      <c r="GNX13" s="46"/>
      <c r="GNY13" s="46"/>
      <c r="GNZ13" s="46"/>
      <c r="GOA13" s="46"/>
      <c r="GOB13" s="46"/>
      <c r="GOC13" s="46"/>
      <c r="GOD13" s="46"/>
      <c r="GOE13" s="46"/>
      <c r="GOF13" s="46"/>
      <c r="GOG13" s="46"/>
      <c r="GOH13" s="46"/>
      <c r="GOI13" s="46"/>
      <c r="GOJ13" s="46"/>
      <c r="GOK13" s="46"/>
      <c r="GOL13" s="46"/>
      <c r="GOM13" s="46"/>
      <c r="GON13" s="46"/>
      <c r="GOO13" s="46"/>
      <c r="GOP13" s="46"/>
      <c r="GOQ13" s="46"/>
      <c r="GOR13" s="46"/>
      <c r="GOS13" s="46"/>
      <c r="GOT13" s="46"/>
      <c r="GOU13" s="46"/>
      <c r="GOV13" s="46"/>
      <c r="GOW13" s="46"/>
      <c r="GOX13" s="46"/>
      <c r="GOY13" s="46"/>
      <c r="GOZ13" s="46"/>
      <c r="GPA13" s="46"/>
      <c r="GPB13" s="46"/>
      <c r="GPC13" s="46"/>
      <c r="GPD13" s="46"/>
      <c r="GPE13" s="46"/>
      <c r="GPF13" s="46"/>
      <c r="GPG13" s="46"/>
      <c r="GPH13" s="46"/>
      <c r="GPI13" s="46"/>
      <c r="GPJ13" s="46"/>
      <c r="GPK13" s="46"/>
      <c r="GPL13" s="46"/>
      <c r="GPM13" s="46"/>
      <c r="GPN13" s="46"/>
      <c r="GPO13" s="46"/>
      <c r="GPP13" s="46"/>
      <c r="GPQ13" s="46"/>
      <c r="GPR13" s="46"/>
      <c r="GPS13" s="46"/>
      <c r="GPT13" s="46"/>
      <c r="GPU13" s="46"/>
      <c r="GPV13" s="46"/>
      <c r="GPW13" s="46"/>
      <c r="GPX13" s="46"/>
      <c r="GPY13" s="46"/>
      <c r="GPZ13" s="46"/>
      <c r="GQA13" s="46"/>
      <c r="GQB13" s="46"/>
      <c r="GQC13" s="46"/>
      <c r="GQD13" s="46"/>
      <c r="GQE13" s="46"/>
      <c r="GQF13" s="46"/>
      <c r="GQG13" s="46"/>
      <c r="GQH13" s="46"/>
      <c r="GQI13" s="46"/>
      <c r="GQJ13" s="46"/>
      <c r="GQK13" s="46"/>
      <c r="GQL13" s="46"/>
      <c r="GQM13" s="46"/>
      <c r="GQN13" s="46"/>
      <c r="GQO13" s="46"/>
      <c r="GQP13" s="46"/>
      <c r="GQQ13" s="46"/>
      <c r="GQR13" s="46"/>
      <c r="GQS13" s="46"/>
      <c r="GQT13" s="46"/>
      <c r="GQU13" s="46"/>
      <c r="GQV13" s="46"/>
      <c r="GQW13" s="46"/>
      <c r="GQX13" s="46"/>
      <c r="GQY13" s="46"/>
      <c r="GQZ13" s="46"/>
      <c r="GRA13" s="46"/>
      <c r="GRB13" s="46"/>
      <c r="GRC13" s="46"/>
      <c r="GRD13" s="46"/>
      <c r="GRE13" s="46"/>
      <c r="GRF13" s="46"/>
      <c r="GRG13" s="46"/>
      <c r="GRH13" s="46"/>
      <c r="GRI13" s="46"/>
      <c r="GRJ13" s="46"/>
      <c r="GRK13" s="46"/>
      <c r="GRL13" s="46"/>
      <c r="GRM13" s="46"/>
      <c r="GRN13" s="46"/>
      <c r="GRO13" s="46"/>
      <c r="GRP13" s="46"/>
      <c r="GRQ13" s="46"/>
      <c r="GRR13" s="46"/>
      <c r="GRS13" s="46"/>
      <c r="GRT13" s="46"/>
      <c r="GRU13" s="46"/>
      <c r="GRV13" s="46"/>
      <c r="GRW13" s="46"/>
      <c r="GRX13" s="46"/>
      <c r="GRY13" s="46"/>
      <c r="GRZ13" s="46"/>
      <c r="GSA13" s="46"/>
      <c r="GSB13" s="46"/>
      <c r="GSC13" s="46"/>
      <c r="GSD13" s="46"/>
      <c r="GSE13" s="46"/>
      <c r="GSF13" s="46"/>
      <c r="GSG13" s="46"/>
      <c r="GSH13" s="46"/>
      <c r="GSI13" s="46"/>
      <c r="GSJ13" s="46"/>
      <c r="GSK13" s="46"/>
      <c r="GSL13" s="46"/>
      <c r="GSM13" s="46"/>
      <c r="GSN13" s="46"/>
      <c r="GSO13" s="46"/>
      <c r="GSP13" s="46"/>
      <c r="GSQ13" s="46"/>
      <c r="GSR13" s="46"/>
      <c r="GSS13" s="46"/>
      <c r="GST13" s="46"/>
      <c r="GSU13" s="46"/>
      <c r="GSV13" s="46"/>
      <c r="GSW13" s="46"/>
      <c r="GSX13" s="46"/>
      <c r="GSY13" s="46"/>
      <c r="GSZ13" s="46"/>
      <c r="GTA13" s="46"/>
      <c r="GTB13" s="46"/>
      <c r="GTC13" s="46"/>
      <c r="GTD13" s="46"/>
      <c r="GTE13" s="46"/>
      <c r="GTF13" s="46"/>
      <c r="GTG13" s="46"/>
      <c r="GTH13" s="46"/>
      <c r="GTI13" s="46"/>
      <c r="GTJ13" s="46"/>
      <c r="GTK13" s="46"/>
      <c r="GTL13" s="46"/>
      <c r="GTM13" s="46"/>
      <c r="GTN13" s="46"/>
      <c r="GTO13" s="46"/>
      <c r="GTP13" s="46"/>
      <c r="GTQ13" s="46"/>
      <c r="GTR13" s="46"/>
      <c r="GTS13" s="46"/>
      <c r="GTT13" s="46"/>
      <c r="GTU13" s="46"/>
      <c r="GTV13" s="46"/>
      <c r="GTW13" s="46"/>
      <c r="GTX13" s="46"/>
      <c r="GTY13" s="46"/>
      <c r="GTZ13" s="46"/>
      <c r="GUA13" s="46"/>
      <c r="GUB13" s="46"/>
      <c r="GUC13" s="46"/>
      <c r="GUD13" s="46"/>
      <c r="GUE13" s="46"/>
      <c r="GUF13" s="46"/>
      <c r="GUG13" s="46"/>
      <c r="GUH13" s="46"/>
      <c r="GUI13" s="46"/>
      <c r="GUJ13" s="46"/>
      <c r="GUK13" s="46"/>
      <c r="GUL13" s="46"/>
      <c r="GUM13" s="46"/>
      <c r="GUN13" s="46"/>
      <c r="GUO13" s="46"/>
      <c r="GUP13" s="46"/>
      <c r="GUQ13" s="46"/>
      <c r="GUR13" s="46"/>
      <c r="GUS13" s="46"/>
      <c r="GUT13" s="46"/>
      <c r="GUU13" s="46"/>
      <c r="GUV13" s="46"/>
      <c r="GUW13" s="46"/>
      <c r="GUX13" s="46"/>
      <c r="GUY13" s="46"/>
      <c r="GUZ13" s="46"/>
      <c r="GVA13" s="46"/>
      <c r="GVB13" s="46"/>
      <c r="GVC13" s="46"/>
      <c r="GVD13" s="46"/>
      <c r="GVE13" s="46"/>
      <c r="GVF13" s="46"/>
      <c r="GVG13" s="46"/>
      <c r="GVH13" s="46"/>
      <c r="GVI13" s="46"/>
      <c r="GVJ13" s="46"/>
      <c r="GVK13" s="46"/>
      <c r="GVL13" s="46"/>
      <c r="GVM13" s="46"/>
      <c r="GVN13" s="46"/>
      <c r="GVO13" s="46"/>
      <c r="GVP13" s="46"/>
      <c r="GVQ13" s="46"/>
      <c r="GVR13" s="46"/>
      <c r="GVS13" s="46"/>
      <c r="GVT13" s="46"/>
      <c r="GVU13" s="46"/>
      <c r="GVV13" s="46"/>
      <c r="GVW13" s="46"/>
      <c r="GVX13" s="46"/>
      <c r="GVY13" s="46"/>
      <c r="GVZ13" s="46"/>
      <c r="GWA13" s="46"/>
      <c r="GWB13" s="46"/>
      <c r="GWC13" s="46"/>
      <c r="GWD13" s="46"/>
      <c r="GWE13" s="46"/>
      <c r="GWF13" s="46"/>
      <c r="GWG13" s="46"/>
      <c r="GWH13" s="46"/>
      <c r="GWI13" s="46"/>
      <c r="GWJ13" s="46"/>
      <c r="GWK13" s="46"/>
      <c r="GWL13" s="46"/>
      <c r="GWM13" s="46"/>
      <c r="GWN13" s="46"/>
      <c r="GWO13" s="46"/>
      <c r="GWP13" s="46"/>
      <c r="GWQ13" s="46"/>
      <c r="GWR13" s="46"/>
      <c r="GWS13" s="46"/>
      <c r="GWT13" s="46"/>
      <c r="GWU13" s="46"/>
      <c r="GWV13" s="46"/>
      <c r="GWW13" s="46"/>
      <c r="GWX13" s="46"/>
      <c r="GWY13" s="46"/>
      <c r="GWZ13" s="46"/>
      <c r="GXA13" s="46"/>
      <c r="GXB13" s="46"/>
      <c r="GXC13" s="46"/>
      <c r="GXD13" s="46"/>
      <c r="GXE13" s="46"/>
      <c r="GXF13" s="46"/>
      <c r="GXG13" s="46"/>
      <c r="GXH13" s="46"/>
      <c r="GXI13" s="46"/>
      <c r="GXJ13" s="46"/>
      <c r="GXK13" s="46"/>
      <c r="GXL13" s="46"/>
      <c r="GXM13" s="46"/>
      <c r="GXN13" s="46"/>
      <c r="GXO13" s="46"/>
      <c r="GXP13" s="46"/>
      <c r="GXQ13" s="46"/>
      <c r="GXR13" s="46"/>
      <c r="GXS13" s="46"/>
      <c r="GXT13" s="46"/>
      <c r="GXU13" s="46"/>
      <c r="GXV13" s="46"/>
      <c r="GXW13" s="46"/>
      <c r="GXX13" s="46"/>
      <c r="GXY13" s="46"/>
      <c r="GXZ13" s="46"/>
      <c r="GYA13" s="46"/>
      <c r="GYB13" s="46"/>
      <c r="GYC13" s="46"/>
      <c r="GYD13" s="46"/>
      <c r="GYE13" s="46"/>
      <c r="GYF13" s="46"/>
      <c r="GYG13" s="46"/>
      <c r="GYH13" s="46"/>
      <c r="GYI13" s="46"/>
      <c r="GYJ13" s="46"/>
      <c r="GYK13" s="46"/>
      <c r="GYL13" s="46"/>
      <c r="GYM13" s="46"/>
      <c r="GYN13" s="46"/>
      <c r="GYO13" s="46"/>
      <c r="GYP13" s="46"/>
      <c r="GYQ13" s="46"/>
      <c r="GYR13" s="46"/>
      <c r="GYS13" s="46"/>
      <c r="GYT13" s="46"/>
      <c r="GYU13" s="46"/>
      <c r="GYV13" s="46"/>
      <c r="GYW13" s="46"/>
      <c r="GYX13" s="46"/>
      <c r="GYY13" s="46"/>
      <c r="GYZ13" s="46"/>
      <c r="GZA13" s="46"/>
      <c r="GZB13" s="46"/>
      <c r="GZC13" s="46"/>
      <c r="GZD13" s="46"/>
      <c r="GZE13" s="46"/>
      <c r="GZF13" s="46"/>
      <c r="GZG13" s="46"/>
      <c r="GZH13" s="46"/>
      <c r="GZI13" s="46"/>
      <c r="GZJ13" s="46"/>
      <c r="GZK13" s="46"/>
      <c r="GZL13" s="46"/>
      <c r="GZM13" s="46"/>
      <c r="GZN13" s="46"/>
      <c r="GZO13" s="46"/>
      <c r="GZP13" s="46"/>
      <c r="GZQ13" s="46"/>
      <c r="GZR13" s="46"/>
      <c r="GZS13" s="46"/>
      <c r="GZT13" s="46"/>
      <c r="GZU13" s="46"/>
      <c r="GZV13" s="46"/>
      <c r="GZW13" s="46"/>
      <c r="GZX13" s="46"/>
      <c r="GZY13" s="46"/>
      <c r="GZZ13" s="46"/>
      <c r="HAA13" s="46"/>
      <c r="HAB13" s="46"/>
      <c r="HAC13" s="46"/>
      <c r="HAD13" s="46"/>
      <c r="HAE13" s="46"/>
      <c r="HAF13" s="46"/>
      <c r="HAG13" s="46"/>
      <c r="HAH13" s="46"/>
      <c r="HAI13" s="46"/>
      <c r="HAJ13" s="46"/>
      <c r="HAK13" s="46"/>
      <c r="HAL13" s="46"/>
      <c r="HAM13" s="46"/>
      <c r="HAN13" s="46"/>
      <c r="HAO13" s="46"/>
      <c r="HAP13" s="46"/>
      <c r="HAQ13" s="46"/>
      <c r="HAR13" s="46"/>
      <c r="HAS13" s="46"/>
      <c r="HAT13" s="46"/>
      <c r="HAU13" s="46"/>
      <c r="HAV13" s="46"/>
      <c r="HAW13" s="46"/>
      <c r="HAX13" s="46"/>
      <c r="HAY13" s="46"/>
      <c r="HAZ13" s="46"/>
      <c r="HBA13" s="46"/>
      <c r="HBB13" s="46"/>
      <c r="HBC13" s="46"/>
      <c r="HBD13" s="46"/>
      <c r="HBE13" s="46"/>
      <c r="HBF13" s="46"/>
      <c r="HBG13" s="46"/>
      <c r="HBH13" s="46"/>
      <c r="HBI13" s="46"/>
      <c r="HBJ13" s="46"/>
      <c r="HBK13" s="46"/>
      <c r="HBL13" s="46"/>
      <c r="HBM13" s="46"/>
      <c r="HBN13" s="46"/>
      <c r="HBO13" s="46"/>
      <c r="HBP13" s="46"/>
      <c r="HBQ13" s="46"/>
      <c r="HBR13" s="46"/>
      <c r="HBS13" s="46"/>
      <c r="HBT13" s="46"/>
      <c r="HBU13" s="46"/>
      <c r="HBV13" s="46"/>
      <c r="HBW13" s="46"/>
      <c r="HBX13" s="46"/>
      <c r="HBY13" s="46"/>
      <c r="HBZ13" s="46"/>
      <c r="HCA13" s="46"/>
      <c r="HCB13" s="46"/>
      <c r="HCC13" s="46"/>
      <c r="HCD13" s="46"/>
      <c r="HCE13" s="46"/>
      <c r="HCF13" s="46"/>
      <c r="HCG13" s="46"/>
      <c r="HCH13" s="46"/>
      <c r="HCI13" s="46"/>
      <c r="HCJ13" s="46"/>
      <c r="HCK13" s="46"/>
      <c r="HCL13" s="46"/>
      <c r="HCM13" s="46"/>
      <c r="HCN13" s="46"/>
      <c r="HCO13" s="46"/>
      <c r="HCP13" s="46"/>
      <c r="HCQ13" s="46"/>
      <c r="HCR13" s="46"/>
      <c r="HCS13" s="46"/>
      <c r="HCT13" s="46"/>
      <c r="HCU13" s="46"/>
      <c r="HCV13" s="46"/>
      <c r="HCW13" s="46"/>
      <c r="HCX13" s="46"/>
      <c r="HCY13" s="46"/>
      <c r="HCZ13" s="46"/>
      <c r="HDA13" s="46"/>
      <c r="HDB13" s="46"/>
      <c r="HDC13" s="46"/>
      <c r="HDD13" s="46"/>
      <c r="HDE13" s="46"/>
      <c r="HDF13" s="46"/>
      <c r="HDG13" s="46"/>
      <c r="HDH13" s="46"/>
      <c r="HDI13" s="46"/>
      <c r="HDJ13" s="46"/>
      <c r="HDK13" s="46"/>
      <c r="HDL13" s="46"/>
      <c r="HDM13" s="46"/>
      <c r="HDN13" s="46"/>
      <c r="HDO13" s="46"/>
      <c r="HDP13" s="46"/>
      <c r="HDQ13" s="46"/>
      <c r="HDR13" s="46"/>
      <c r="HDS13" s="46"/>
      <c r="HDT13" s="46"/>
      <c r="HDU13" s="46"/>
      <c r="HDV13" s="46"/>
      <c r="HDW13" s="46"/>
      <c r="HDX13" s="46"/>
      <c r="HDY13" s="46"/>
      <c r="HDZ13" s="46"/>
      <c r="HEA13" s="46"/>
      <c r="HEB13" s="46"/>
      <c r="HEC13" s="46"/>
      <c r="HED13" s="46"/>
      <c r="HEE13" s="46"/>
      <c r="HEF13" s="46"/>
      <c r="HEG13" s="46"/>
      <c r="HEH13" s="46"/>
      <c r="HEI13" s="46"/>
      <c r="HEJ13" s="46"/>
      <c r="HEK13" s="46"/>
      <c r="HEL13" s="46"/>
      <c r="HEM13" s="46"/>
      <c r="HEN13" s="46"/>
      <c r="HEO13" s="46"/>
      <c r="HEP13" s="46"/>
      <c r="HEQ13" s="46"/>
      <c r="HER13" s="46"/>
      <c r="HES13" s="46"/>
      <c r="HET13" s="46"/>
      <c r="HEU13" s="46"/>
      <c r="HEV13" s="46"/>
      <c r="HEW13" s="46"/>
      <c r="HEX13" s="46"/>
      <c r="HEY13" s="46"/>
      <c r="HEZ13" s="46"/>
      <c r="HFA13" s="46"/>
      <c r="HFB13" s="46"/>
      <c r="HFC13" s="46"/>
      <c r="HFD13" s="46"/>
      <c r="HFE13" s="46"/>
      <c r="HFF13" s="46"/>
      <c r="HFG13" s="46"/>
      <c r="HFH13" s="46"/>
      <c r="HFI13" s="46"/>
      <c r="HFJ13" s="46"/>
      <c r="HFK13" s="46"/>
      <c r="HFL13" s="46"/>
      <c r="HFM13" s="46"/>
      <c r="HFN13" s="46"/>
      <c r="HFO13" s="46"/>
      <c r="HFP13" s="46"/>
      <c r="HFQ13" s="46"/>
      <c r="HFR13" s="46"/>
      <c r="HFS13" s="46"/>
      <c r="HFT13" s="46"/>
      <c r="HFU13" s="46"/>
      <c r="HFV13" s="46"/>
      <c r="HFW13" s="46"/>
      <c r="HFX13" s="46"/>
      <c r="HFY13" s="46"/>
      <c r="HFZ13" s="46"/>
      <c r="HGA13" s="46"/>
      <c r="HGB13" s="46"/>
      <c r="HGC13" s="46"/>
      <c r="HGD13" s="46"/>
      <c r="HGE13" s="46"/>
      <c r="HGF13" s="46"/>
      <c r="HGG13" s="46"/>
      <c r="HGH13" s="46"/>
      <c r="HGI13" s="46"/>
      <c r="HGJ13" s="46"/>
      <c r="HGK13" s="46"/>
      <c r="HGL13" s="46"/>
      <c r="HGM13" s="46"/>
      <c r="HGN13" s="46"/>
      <c r="HGO13" s="46"/>
      <c r="HGP13" s="46"/>
      <c r="HGQ13" s="46"/>
      <c r="HGR13" s="46"/>
      <c r="HGS13" s="46"/>
      <c r="HGT13" s="46"/>
      <c r="HGU13" s="46"/>
      <c r="HGV13" s="46"/>
      <c r="HGW13" s="46"/>
      <c r="HGX13" s="46"/>
      <c r="HGY13" s="46"/>
      <c r="HGZ13" s="46"/>
      <c r="HHA13" s="46"/>
      <c r="HHB13" s="46"/>
      <c r="HHC13" s="46"/>
      <c r="HHD13" s="46"/>
      <c r="HHE13" s="46"/>
      <c r="HHF13" s="46"/>
      <c r="HHG13" s="46"/>
      <c r="HHH13" s="46"/>
      <c r="HHI13" s="46"/>
      <c r="HHJ13" s="46"/>
      <c r="HHK13" s="46"/>
      <c r="HHL13" s="46"/>
      <c r="HHM13" s="46"/>
      <c r="HHN13" s="46"/>
      <c r="HHO13" s="46"/>
      <c r="HHP13" s="46"/>
      <c r="HHQ13" s="46"/>
      <c r="HHR13" s="46"/>
      <c r="HHS13" s="46"/>
      <c r="HHT13" s="46"/>
      <c r="HHU13" s="46"/>
      <c r="HHV13" s="46"/>
      <c r="HHW13" s="46"/>
      <c r="HHX13" s="46"/>
      <c r="HHY13" s="46"/>
      <c r="HHZ13" s="46"/>
      <c r="HIA13" s="46"/>
      <c r="HIB13" s="46"/>
      <c r="HIC13" s="46"/>
      <c r="HID13" s="46"/>
      <c r="HIE13" s="46"/>
      <c r="HIF13" s="46"/>
      <c r="HIG13" s="46"/>
      <c r="HIH13" s="46"/>
      <c r="HII13" s="46"/>
      <c r="HIJ13" s="46"/>
      <c r="HIK13" s="46"/>
      <c r="HIL13" s="46"/>
      <c r="HIM13" s="46"/>
      <c r="HIN13" s="46"/>
      <c r="HIO13" s="46"/>
      <c r="HIP13" s="46"/>
      <c r="HIQ13" s="46"/>
      <c r="HIR13" s="46"/>
      <c r="HIS13" s="46"/>
      <c r="HIT13" s="46"/>
      <c r="HIU13" s="46"/>
      <c r="HIV13" s="46"/>
      <c r="HIW13" s="46"/>
      <c r="HIX13" s="46"/>
      <c r="HIY13" s="46"/>
      <c r="HIZ13" s="46"/>
      <c r="HJA13" s="46"/>
      <c r="HJB13" s="46"/>
      <c r="HJC13" s="46"/>
      <c r="HJD13" s="46"/>
      <c r="HJE13" s="46"/>
      <c r="HJF13" s="46"/>
      <c r="HJG13" s="46"/>
      <c r="HJH13" s="46"/>
      <c r="HJI13" s="46"/>
      <c r="HJJ13" s="46"/>
      <c r="HJK13" s="46"/>
      <c r="HJL13" s="46"/>
      <c r="HJM13" s="46"/>
      <c r="HJN13" s="46"/>
      <c r="HJO13" s="46"/>
      <c r="HJP13" s="46"/>
      <c r="HJQ13" s="46"/>
      <c r="HJR13" s="46"/>
      <c r="HJS13" s="46"/>
      <c r="HJT13" s="46"/>
      <c r="HJU13" s="46"/>
      <c r="HJV13" s="46"/>
      <c r="HJW13" s="46"/>
      <c r="HJX13" s="46"/>
      <c r="HJY13" s="46"/>
      <c r="HJZ13" s="46"/>
      <c r="HKA13" s="46"/>
      <c r="HKB13" s="46"/>
      <c r="HKC13" s="46"/>
      <c r="HKD13" s="46"/>
      <c r="HKE13" s="46"/>
      <c r="HKF13" s="46"/>
      <c r="HKG13" s="46"/>
      <c r="HKH13" s="46"/>
      <c r="HKI13" s="46"/>
      <c r="HKJ13" s="46"/>
      <c r="HKK13" s="46"/>
      <c r="HKL13" s="46"/>
      <c r="HKM13" s="46"/>
      <c r="HKN13" s="46"/>
      <c r="HKO13" s="46"/>
      <c r="HKP13" s="46"/>
      <c r="HKQ13" s="46"/>
      <c r="HKR13" s="46"/>
      <c r="HKS13" s="46"/>
      <c r="HKT13" s="46"/>
      <c r="HKU13" s="46"/>
      <c r="HKV13" s="46"/>
      <c r="HKW13" s="46"/>
      <c r="HKX13" s="46"/>
      <c r="HKY13" s="46"/>
      <c r="HKZ13" s="46"/>
      <c r="HLA13" s="46"/>
      <c r="HLB13" s="46"/>
      <c r="HLC13" s="46"/>
      <c r="HLD13" s="46"/>
      <c r="HLE13" s="46"/>
      <c r="HLF13" s="46"/>
      <c r="HLG13" s="46"/>
      <c r="HLH13" s="46"/>
      <c r="HLI13" s="46"/>
      <c r="HLJ13" s="46"/>
      <c r="HLK13" s="46"/>
      <c r="HLL13" s="46"/>
      <c r="HLM13" s="46"/>
      <c r="HLN13" s="46"/>
      <c r="HLO13" s="46"/>
      <c r="HLP13" s="46"/>
      <c r="HLQ13" s="46"/>
      <c r="HLR13" s="46"/>
      <c r="HLS13" s="46"/>
      <c r="HLT13" s="46"/>
      <c r="HLU13" s="46"/>
      <c r="HLV13" s="46"/>
      <c r="HLW13" s="46"/>
      <c r="HLX13" s="46"/>
      <c r="HLY13" s="46"/>
      <c r="HLZ13" s="46"/>
      <c r="HMA13" s="46"/>
      <c r="HMB13" s="46"/>
      <c r="HMC13" s="46"/>
      <c r="HMD13" s="46"/>
      <c r="HME13" s="46"/>
      <c r="HMF13" s="46"/>
      <c r="HMG13" s="46"/>
      <c r="HMH13" s="46"/>
      <c r="HMI13" s="46"/>
      <c r="HMJ13" s="46"/>
      <c r="HMK13" s="46"/>
      <c r="HML13" s="46"/>
      <c r="HMM13" s="46"/>
      <c r="HMN13" s="46"/>
      <c r="HMO13" s="46"/>
      <c r="HMP13" s="46"/>
      <c r="HMQ13" s="46"/>
      <c r="HMR13" s="46"/>
      <c r="HMS13" s="46"/>
      <c r="HMT13" s="46"/>
      <c r="HMU13" s="46"/>
      <c r="HMV13" s="46"/>
      <c r="HMW13" s="46"/>
      <c r="HMX13" s="46"/>
      <c r="HMY13" s="46"/>
      <c r="HMZ13" s="46"/>
      <c r="HNA13" s="46"/>
      <c r="HNB13" s="46"/>
      <c r="HNC13" s="46"/>
      <c r="HND13" s="46"/>
      <c r="HNE13" s="46"/>
      <c r="HNF13" s="46"/>
      <c r="HNG13" s="46"/>
      <c r="HNH13" s="46"/>
      <c r="HNI13" s="46"/>
      <c r="HNJ13" s="46"/>
      <c r="HNK13" s="46"/>
      <c r="HNL13" s="46"/>
      <c r="HNM13" s="46"/>
      <c r="HNN13" s="46"/>
      <c r="HNO13" s="46"/>
      <c r="HNP13" s="46"/>
      <c r="HNQ13" s="46"/>
      <c r="HNR13" s="46"/>
      <c r="HNS13" s="46"/>
      <c r="HNT13" s="46"/>
      <c r="HNU13" s="46"/>
      <c r="HNV13" s="46"/>
      <c r="HNW13" s="46"/>
      <c r="HNX13" s="46"/>
      <c r="HNY13" s="46"/>
      <c r="HNZ13" s="46"/>
      <c r="HOA13" s="46"/>
      <c r="HOB13" s="46"/>
      <c r="HOC13" s="46"/>
      <c r="HOD13" s="46"/>
      <c r="HOE13" s="46"/>
      <c r="HOF13" s="46"/>
      <c r="HOG13" s="46"/>
      <c r="HOH13" s="46"/>
      <c r="HOI13" s="46"/>
      <c r="HOJ13" s="46"/>
      <c r="HOK13" s="46"/>
      <c r="HOL13" s="46"/>
      <c r="HOM13" s="46"/>
      <c r="HON13" s="46"/>
      <c r="HOO13" s="46"/>
      <c r="HOP13" s="46"/>
      <c r="HOQ13" s="46"/>
      <c r="HOR13" s="46"/>
      <c r="HOS13" s="46"/>
      <c r="HOT13" s="46"/>
      <c r="HOU13" s="46"/>
      <c r="HOV13" s="46"/>
      <c r="HOW13" s="46"/>
      <c r="HOX13" s="46"/>
      <c r="HOY13" s="46"/>
      <c r="HOZ13" s="46"/>
      <c r="HPA13" s="46"/>
      <c r="HPB13" s="46"/>
      <c r="HPC13" s="46"/>
      <c r="HPD13" s="46"/>
      <c r="HPE13" s="46"/>
      <c r="HPF13" s="46"/>
      <c r="HPG13" s="46"/>
      <c r="HPH13" s="46"/>
      <c r="HPI13" s="46"/>
      <c r="HPJ13" s="46"/>
      <c r="HPK13" s="46"/>
      <c r="HPL13" s="46"/>
      <c r="HPM13" s="46"/>
      <c r="HPN13" s="46"/>
      <c r="HPO13" s="46"/>
      <c r="HPP13" s="46"/>
      <c r="HPQ13" s="46"/>
      <c r="HPR13" s="46"/>
      <c r="HPS13" s="46"/>
      <c r="HPT13" s="46"/>
      <c r="HPU13" s="46"/>
      <c r="HPV13" s="46"/>
      <c r="HPW13" s="46"/>
      <c r="HPX13" s="46"/>
      <c r="HPY13" s="46"/>
      <c r="HPZ13" s="46"/>
      <c r="HQA13" s="46"/>
      <c r="HQB13" s="46"/>
      <c r="HQC13" s="46"/>
      <c r="HQD13" s="46"/>
      <c r="HQE13" s="46"/>
      <c r="HQF13" s="46"/>
      <c r="HQG13" s="46"/>
      <c r="HQH13" s="46"/>
      <c r="HQI13" s="46"/>
      <c r="HQJ13" s="46"/>
      <c r="HQK13" s="46"/>
      <c r="HQL13" s="46"/>
      <c r="HQM13" s="46"/>
      <c r="HQN13" s="46"/>
      <c r="HQO13" s="46"/>
      <c r="HQP13" s="46"/>
      <c r="HQQ13" s="46"/>
      <c r="HQR13" s="46"/>
      <c r="HQS13" s="46"/>
      <c r="HQT13" s="46"/>
      <c r="HQU13" s="46"/>
      <c r="HQV13" s="46"/>
      <c r="HQW13" s="46"/>
      <c r="HQX13" s="46"/>
      <c r="HQY13" s="46"/>
      <c r="HQZ13" s="46"/>
      <c r="HRA13" s="46"/>
      <c r="HRB13" s="46"/>
      <c r="HRC13" s="46"/>
      <c r="HRD13" s="46"/>
      <c r="HRE13" s="46"/>
      <c r="HRF13" s="46"/>
      <c r="HRG13" s="46"/>
      <c r="HRH13" s="46"/>
      <c r="HRI13" s="46"/>
      <c r="HRJ13" s="46"/>
      <c r="HRK13" s="46"/>
      <c r="HRL13" s="46"/>
      <c r="HRM13" s="46"/>
      <c r="HRN13" s="46"/>
      <c r="HRO13" s="46"/>
      <c r="HRP13" s="46"/>
      <c r="HRQ13" s="46"/>
      <c r="HRR13" s="46"/>
      <c r="HRS13" s="46"/>
      <c r="HRT13" s="46"/>
      <c r="HRU13" s="46"/>
      <c r="HRV13" s="46"/>
      <c r="HRW13" s="46"/>
      <c r="HRX13" s="46"/>
      <c r="HRY13" s="46"/>
      <c r="HRZ13" s="46"/>
      <c r="HSA13" s="46"/>
      <c r="HSB13" s="46"/>
      <c r="HSC13" s="46"/>
      <c r="HSD13" s="46"/>
      <c r="HSE13" s="46"/>
      <c r="HSF13" s="46"/>
      <c r="HSG13" s="46"/>
      <c r="HSH13" s="46"/>
      <c r="HSI13" s="46"/>
      <c r="HSJ13" s="46"/>
      <c r="HSK13" s="46"/>
      <c r="HSL13" s="46"/>
      <c r="HSM13" s="46"/>
      <c r="HSN13" s="46"/>
      <c r="HSO13" s="46"/>
      <c r="HSP13" s="46"/>
      <c r="HSQ13" s="46"/>
      <c r="HSR13" s="46"/>
      <c r="HSS13" s="46"/>
      <c r="HST13" s="46"/>
      <c r="HSU13" s="46"/>
      <c r="HSV13" s="46"/>
      <c r="HSW13" s="46"/>
      <c r="HSX13" s="46"/>
      <c r="HSY13" s="46"/>
      <c r="HSZ13" s="46"/>
      <c r="HTA13" s="46"/>
      <c r="HTB13" s="46"/>
      <c r="HTC13" s="46"/>
      <c r="HTD13" s="46"/>
      <c r="HTE13" s="46"/>
      <c r="HTF13" s="46"/>
      <c r="HTG13" s="46"/>
      <c r="HTH13" s="46"/>
      <c r="HTI13" s="46"/>
      <c r="HTJ13" s="46"/>
      <c r="HTK13" s="46"/>
      <c r="HTL13" s="46"/>
      <c r="HTM13" s="46"/>
      <c r="HTN13" s="46"/>
      <c r="HTO13" s="46"/>
      <c r="HTP13" s="46"/>
      <c r="HTQ13" s="46"/>
      <c r="HTR13" s="46"/>
      <c r="HTS13" s="46"/>
      <c r="HTT13" s="46"/>
      <c r="HTU13" s="46"/>
      <c r="HTV13" s="46"/>
      <c r="HTW13" s="46"/>
      <c r="HTX13" s="46"/>
      <c r="HTY13" s="46"/>
      <c r="HTZ13" s="46"/>
      <c r="HUA13" s="46"/>
      <c r="HUB13" s="46"/>
      <c r="HUC13" s="46"/>
      <c r="HUD13" s="46"/>
      <c r="HUE13" s="46"/>
      <c r="HUF13" s="46"/>
      <c r="HUG13" s="46"/>
      <c r="HUH13" s="46"/>
      <c r="HUI13" s="46"/>
      <c r="HUJ13" s="46"/>
      <c r="HUK13" s="46"/>
      <c r="HUL13" s="46"/>
      <c r="HUM13" s="46"/>
      <c r="HUN13" s="46"/>
      <c r="HUO13" s="46"/>
      <c r="HUP13" s="46"/>
      <c r="HUQ13" s="46"/>
      <c r="HUR13" s="46"/>
      <c r="HUS13" s="46"/>
      <c r="HUT13" s="46"/>
      <c r="HUU13" s="46"/>
      <c r="HUV13" s="46"/>
      <c r="HUW13" s="46"/>
      <c r="HUX13" s="46"/>
      <c r="HUY13" s="46"/>
      <c r="HUZ13" s="46"/>
      <c r="HVA13" s="46"/>
      <c r="HVB13" s="46"/>
      <c r="HVC13" s="46"/>
      <c r="HVD13" s="46"/>
      <c r="HVE13" s="46"/>
      <c r="HVF13" s="46"/>
      <c r="HVG13" s="46"/>
      <c r="HVH13" s="46"/>
      <c r="HVI13" s="46"/>
      <c r="HVJ13" s="46"/>
      <c r="HVK13" s="46"/>
      <c r="HVL13" s="46"/>
      <c r="HVM13" s="46"/>
      <c r="HVN13" s="46"/>
      <c r="HVO13" s="46"/>
      <c r="HVP13" s="46"/>
      <c r="HVQ13" s="46"/>
      <c r="HVR13" s="46"/>
      <c r="HVS13" s="46"/>
      <c r="HVT13" s="46"/>
      <c r="HVU13" s="46"/>
      <c r="HVV13" s="46"/>
      <c r="HVW13" s="46"/>
      <c r="HVX13" s="46"/>
      <c r="HVY13" s="46"/>
      <c r="HVZ13" s="46"/>
      <c r="HWA13" s="46"/>
      <c r="HWB13" s="46"/>
      <c r="HWC13" s="46"/>
      <c r="HWD13" s="46"/>
      <c r="HWE13" s="46"/>
      <c r="HWF13" s="46"/>
      <c r="HWG13" s="46"/>
      <c r="HWH13" s="46"/>
      <c r="HWI13" s="46"/>
      <c r="HWJ13" s="46"/>
      <c r="HWK13" s="46"/>
      <c r="HWL13" s="46"/>
      <c r="HWM13" s="46"/>
      <c r="HWN13" s="46"/>
      <c r="HWO13" s="46"/>
      <c r="HWP13" s="46"/>
      <c r="HWQ13" s="46"/>
      <c r="HWR13" s="46"/>
      <c r="HWS13" s="46"/>
      <c r="HWT13" s="46"/>
      <c r="HWU13" s="46"/>
      <c r="HWV13" s="46"/>
      <c r="HWW13" s="46"/>
      <c r="HWX13" s="46"/>
      <c r="HWY13" s="46"/>
      <c r="HWZ13" s="46"/>
      <c r="HXA13" s="46"/>
      <c r="HXB13" s="46"/>
      <c r="HXC13" s="46"/>
      <c r="HXD13" s="46"/>
      <c r="HXE13" s="46"/>
      <c r="HXF13" s="46"/>
      <c r="HXG13" s="46"/>
      <c r="HXH13" s="46"/>
      <c r="HXI13" s="46"/>
      <c r="HXJ13" s="46"/>
      <c r="HXK13" s="46"/>
      <c r="HXL13" s="46"/>
      <c r="HXM13" s="46"/>
      <c r="HXN13" s="46"/>
      <c r="HXO13" s="46"/>
      <c r="HXP13" s="46"/>
      <c r="HXQ13" s="46"/>
      <c r="HXR13" s="46"/>
      <c r="HXS13" s="46"/>
      <c r="HXT13" s="46"/>
      <c r="HXU13" s="46"/>
      <c r="HXV13" s="46"/>
      <c r="HXW13" s="46"/>
      <c r="HXX13" s="46"/>
      <c r="HXY13" s="46"/>
      <c r="HXZ13" s="46"/>
      <c r="HYA13" s="46"/>
      <c r="HYB13" s="46"/>
      <c r="HYC13" s="46"/>
      <c r="HYD13" s="46"/>
      <c r="HYE13" s="46"/>
      <c r="HYF13" s="46"/>
      <c r="HYG13" s="46"/>
      <c r="HYH13" s="46"/>
      <c r="HYI13" s="46"/>
      <c r="HYJ13" s="46"/>
      <c r="HYK13" s="46"/>
      <c r="HYL13" s="46"/>
      <c r="HYM13" s="46"/>
      <c r="HYN13" s="46"/>
      <c r="HYO13" s="46"/>
      <c r="HYP13" s="46"/>
      <c r="HYQ13" s="46"/>
      <c r="HYR13" s="46"/>
      <c r="HYS13" s="46"/>
      <c r="HYT13" s="46"/>
      <c r="HYU13" s="46"/>
      <c r="HYV13" s="46"/>
      <c r="HYW13" s="46"/>
      <c r="HYX13" s="46"/>
      <c r="HYY13" s="46"/>
      <c r="HYZ13" s="46"/>
      <c r="HZA13" s="46"/>
      <c r="HZB13" s="46"/>
      <c r="HZC13" s="46"/>
      <c r="HZD13" s="46"/>
      <c r="HZE13" s="46"/>
      <c r="HZF13" s="46"/>
      <c r="HZG13" s="46"/>
      <c r="HZH13" s="46"/>
      <c r="HZI13" s="46"/>
      <c r="HZJ13" s="46"/>
      <c r="HZK13" s="46"/>
      <c r="HZL13" s="46"/>
      <c r="HZM13" s="46"/>
      <c r="HZN13" s="46"/>
      <c r="HZO13" s="46"/>
      <c r="HZP13" s="46"/>
      <c r="HZQ13" s="46"/>
      <c r="HZR13" s="46"/>
      <c r="HZS13" s="46"/>
      <c r="HZT13" s="46"/>
      <c r="HZU13" s="46"/>
      <c r="HZV13" s="46"/>
      <c r="HZW13" s="46"/>
      <c r="HZX13" s="46"/>
      <c r="HZY13" s="46"/>
      <c r="HZZ13" s="46"/>
      <c r="IAA13" s="46"/>
      <c r="IAB13" s="46"/>
      <c r="IAC13" s="46"/>
      <c r="IAD13" s="46"/>
      <c r="IAE13" s="46"/>
      <c r="IAF13" s="46"/>
      <c r="IAG13" s="46"/>
      <c r="IAH13" s="46"/>
      <c r="IAI13" s="46"/>
      <c r="IAJ13" s="46"/>
      <c r="IAK13" s="46"/>
      <c r="IAL13" s="46"/>
      <c r="IAM13" s="46"/>
      <c r="IAN13" s="46"/>
      <c r="IAO13" s="46"/>
      <c r="IAP13" s="46"/>
      <c r="IAQ13" s="46"/>
      <c r="IAR13" s="46"/>
      <c r="IAS13" s="46"/>
      <c r="IAT13" s="46"/>
      <c r="IAU13" s="46"/>
      <c r="IAV13" s="46"/>
      <c r="IAW13" s="46"/>
      <c r="IAX13" s="46"/>
      <c r="IAY13" s="46"/>
      <c r="IAZ13" s="46"/>
      <c r="IBA13" s="46"/>
      <c r="IBB13" s="46"/>
      <c r="IBC13" s="46"/>
      <c r="IBD13" s="46"/>
      <c r="IBE13" s="46"/>
      <c r="IBF13" s="46"/>
      <c r="IBG13" s="46"/>
      <c r="IBH13" s="46"/>
      <c r="IBI13" s="46"/>
      <c r="IBJ13" s="46"/>
      <c r="IBK13" s="46"/>
      <c r="IBL13" s="46"/>
      <c r="IBM13" s="46"/>
      <c r="IBN13" s="46"/>
      <c r="IBO13" s="46"/>
      <c r="IBP13" s="46"/>
      <c r="IBQ13" s="46"/>
      <c r="IBR13" s="46"/>
      <c r="IBS13" s="46"/>
      <c r="IBT13" s="46"/>
      <c r="IBU13" s="46"/>
      <c r="IBV13" s="46"/>
      <c r="IBW13" s="46"/>
      <c r="IBX13" s="46"/>
      <c r="IBY13" s="46"/>
      <c r="IBZ13" s="46"/>
      <c r="ICA13" s="46"/>
      <c r="ICB13" s="46"/>
      <c r="ICC13" s="46"/>
      <c r="ICD13" s="46"/>
      <c r="ICE13" s="46"/>
      <c r="ICF13" s="46"/>
      <c r="ICG13" s="46"/>
      <c r="ICH13" s="46"/>
      <c r="ICI13" s="46"/>
      <c r="ICJ13" s="46"/>
      <c r="ICK13" s="46"/>
      <c r="ICL13" s="46"/>
      <c r="ICM13" s="46"/>
      <c r="ICN13" s="46"/>
      <c r="ICO13" s="46"/>
      <c r="ICP13" s="46"/>
      <c r="ICQ13" s="46"/>
      <c r="ICR13" s="46"/>
      <c r="ICS13" s="46"/>
      <c r="ICT13" s="46"/>
      <c r="ICU13" s="46"/>
      <c r="ICV13" s="46"/>
      <c r="ICW13" s="46"/>
      <c r="ICX13" s="46"/>
      <c r="ICY13" s="46"/>
      <c r="ICZ13" s="46"/>
      <c r="IDA13" s="46"/>
      <c r="IDB13" s="46"/>
      <c r="IDC13" s="46"/>
      <c r="IDD13" s="46"/>
      <c r="IDE13" s="46"/>
      <c r="IDF13" s="46"/>
      <c r="IDG13" s="46"/>
      <c r="IDH13" s="46"/>
      <c r="IDI13" s="46"/>
      <c r="IDJ13" s="46"/>
      <c r="IDK13" s="46"/>
      <c r="IDL13" s="46"/>
      <c r="IDM13" s="46"/>
      <c r="IDN13" s="46"/>
      <c r="IDO13" s="46"/>
      <c r="IDP13" s="46"/>
      <c r="IDQ13" s="46"/>
      <c r="IDR13" s="46"/>
      <c r="IDS13" s="46"/>
      <c r="IDT13" s="46"/>
      <c r="IDU13" s="46"/>
      <c r="IDV13" s="46"/>
      <c r="IDW13" s="46"/>
      <c r="IDX13" s="46"/>
      <c r="IDY13" s="46"/>
      <c r="IDZ13" s="46"/>
      <c r="IEA13" s="46"/>
      <c r="IEB13" s="46"/>
      <c r="IEC13" s="46"/>
      <c r="IED13" s="46"/>
      <c r="IEE13" s="46"/>
      <c r="IEF13" s="46"/>
      <c r="IEG13" s="46"/>
      <c r="IEH13" s="46"/>
      <c r="IEI13" s="46"/>
      <c r="IEJ13" s="46"/>
      <c r="IEK13" s="46"/>
      <c r="IEL13" s="46"/>
      <c r="IEM13" s="46"/>
      <c r="IEN13" s="46"/>
      <c r="IEO13" s="46"/>
      <c r="IEP13" s="46"/>
      <c r="IEQ13" s="46"/>
      <c r="IER13" s="46"/>
      <c r="IES13" s="46"/>
      <c r="IET13" s="46"/>
      <c r="IEU13" s="46"/>
      <c r="IEV13" s="46"/>
      <c r="IEW13" s="46"/>
      <c r="IEX13" s="46"/>
      <c r="IEY13" s="46"/>
      <c r="IEZ13" s="46"/>
      <c r="IFA13" s="46"/>
      <c r="IFB13" s="46"/>
      <c r="IFC13" s="46"/>
      <c r="IFD13" s="46"/>
      <c r="IFE13" s="46"/>
      <c r="IFF13" s="46"/>
      <c r="IFG13" s="46"/>
      <c r="IFH13" s="46"/>
      <c r="IFI13" s="46"/>
      <c r="IFJ13" s="46"/>
      <c r="IFK13" s="46"/>
      <c r="IFL13" s="46"/>
      <c r="IFM13" s="46"/>
      <c r="IFN13" s="46"/>
      <c r="IFO13" s="46"/>
      <c r="IFP13" s="46"/>
      <c r="IFQ13" s="46"/>
      <c r="IFR13" s="46"/>
      <c r="IFS13" s="46"/>
      <c r="IFT13" s="46"/>
      <c r="IFU13" s="46"/>
      <c r="IFV13" s="46"/>
      <c r="IFW13" s="46"/>
      <c r="IFX13" s="46"/>
      <c r="IFY13" s="46"/>
      <c r="IFZ13" s="46"/>
      <c r="IGA13" s="46"/>
      <c r="IGB13" s="46"/>
      <c r="IGC13" s="46"/>
      <c r="IGD13" s="46"/>
      <c r="IGE13" s="46"/>
      <c r="IGF13" s="46"/>
      <c r="IGG13" s="46"/>
      <c r="IGH13" s="46"/>
      <c r="IGI13" s="46"/>
      <c r="IGJ13" s="46"/>
      <c r="IGK13" s="46"/>
      <c r="IGL13" s="46"/>
      <c r="IGM13" s="46"/>
      <c r="IGN13" s="46"/>
      <c r="IGO13" s="46"/>
      <c r="IGP13" s="46"/>
      <c r="IGQ13" s="46"/>
      <c r="IGR13" s="46"/>
      <c r="IGS13" s="46"/>
      <c r="IGT13" s="46"/>
      <c r="IGU13" s="46"/>
      <c r="IGV13" s="46"/>
      <c r="IGW13" s="46"/>
      <c r="IGX13" s="46"/>
      <c r="IGY13" s="46"/>
      <c r="IGZ13" s="46"/>
      <c r="IHA13" s="46"/>
      <c r="IHB13" s="46"/>
      <c r="IHC13" s="46"/>
      <c r="IHD13" s="46"/>
      <c r="IHE13" s="46"/>
      <c r="IHF13" s="46"/>
      <c r="IHG13" s="46"/>
      <c r="IHH13" s="46"/>
      <c r="IHI13" s="46"/>
      <c r="IHJ13" s="46"/>
      <c r="IHK13" s="46"/>
      <c r="IHL13" s="46"/>
      <c r="IHM13" s="46"/>
      <c r="IHN13" s="46"/>
      <c r="IHO13" s="46"/>
      <c r="IHP13" s="46"/>
      <c r="IHQ13" s="46"/>
      <c r="IHR13" s="46"/>
      <c r="IHS13" s="46"/>
      <c r="IHT13" s="46"/>
      <c r="IHU13" s="46"/>
      <c r="IHV13" s="46"/>
      <c r="IHW13" s="46"/>
      <c r="IHX13" s="46"/>
      <c r="IHY13" s="46"/>
      <c r="IHZ13" s="46"/>
      <c r="IIA13" s="46"/>
      <c r="IIB13" s="46"/>
      <c r="IIC13" s="46"/>
      <c r="IID13" s="46"/>
      <c r="IIE13" s="46"/>
      <c r="IIF13" s="46"/>
      <c r="IIG13" s="46"/>
      <c r="IIH13" s="46"/>
      <c r="III13" s="46"/>
      <c r="IIJ13" s="46"/>
      <c r="IIK13" s="46"/>
      <c r="IIL13" s="46"/>
      <c r="IIM13" s="46"/>
      <c r="IIN13" s="46"/>
      <c r="IIO13" s="46"/>
      <c r="IIP13" s="46"/>
      <c r="IIQ13" s="46"/>
      <c r="IIR13" s="46"/>
      <c r="IIS13" s="46"/>
      <c r="IIT13" s="46"/>
      <c r="IIU13" s="46"/>
      <c r="IIV13" s="46"/>
      <c r="IIW13" s="46"/>
      <c r="IIX13" s="46"/>
      <c r="IIY13" s="46"/>
      <c r="IIZ13" s="46"/>
      <c r="IJA13" s="46"/>
      <c r="IJB13" s="46"/>
      <c r="IJC13" s="46"/>
      <c r="IJD13" s="46"/>
      <c r="IJE13" s="46"/>
      <c r="IJF13" s="46"/>
      <c r="IJG13" s="46"/>
      <c r="IJH13" s="46"/>
      <c r="IJI13" s="46"/>
      <c r="IJJ13" s="46"/>
      <c r="IJK13" s="46"/>
      <c r="IJL13" s="46"/>
      <c r="IJM13" s="46"/>
      <c r="IJN13" s="46"/>
      <c r="IJO13" s="46"/>
      <c r="IJP13" s="46"/>
      <c r="IJQ13" s="46"/>
      <c r="IJR13" s="46"/>
      <c r="IJS13" s="46"/>
      <c r="IJT13" s="46"/>
      <c r="IJU13" s="46"/>
      <c r="IJV13" s="46"/>
      <c r="IJW13" s="46"/>
      <c r="IJX13" s="46"/>
      <c r="IJY13" s="46"/>
      <c r="IJZ13" s="46"/>
      <c r="IKA13" s="46"/>
      <c r="IKB13" s="46"/>
      <c r="IKC13" s="46"/>
      <c r="IKD13" s="46"/>
      <c r="IKE13" s="46"/>
      <c r="IKF13" s="46"/>
      <c r="IKG13" s="46"/>
      <c r="IKH13" s="46"/>
      <c r="IKI13" s="46"/>
      <c r="IKJ13" s="46"/>
      <c r="IKK13" s="46"/>
      <c r="IKL13" s="46"/>
      <c r="IKM13" s="46"/>
      <c r="IKN13" s="46"/>
      <c r="IKO13" s="46"/>
      <c r="IKP13" s="46"/>
      <c r="IKQ13" s="46"/>
      <c r="IKR13" s="46"/>
      <c r="IKS13" s="46"/>
      <c r="IKT13" s="46"/>
      <c r="IKU13" s="46"/>
      <c r="IKV13" s="46"/>
      <c r="IKW13" s="46"/>
      <c r="IKX13" s="46"/>
      <c r="IKY13" s="46"/>
      <c r="IKZ13" s="46"/>
      <c r="ILA13" s="46"/>
      <c r="ILB13" s="46"/>
      <c r="ILC13" s="46"/>
      <c r="ILD13" s="46"/>
      <c r="ILE13" s="46"/>
      <c r="ILF13" s="46"/>
      <c r="ILG13" s="46"/>
      <c r="ILH13" s="46"/>
      <c r="ILI13" s="46"/>
      <c r="ILJ13" s="46"/>
      <c r="ILK13" s="46"/>
      <c r="ILL13" s="46"/>
      <c r="ILM13" s="46"/>
      <c r="ILN13" s="46"/>
      <c r="ILO13" s="46"/>
      <c r="ILP13" s="46"/>
      <c r="ILQ13" s="46"/>
      <c r="ILR13" s="46"/>
      <c r="ILS13" s="46"/>
      <c r="ILT13" s="46"/>
      <c r="ILU13" s="46"/>
      <c r="ILV13" s="46"/>
      <c r="ILW13" s="46"/>
      <c r="ILX13" s="46"/>
      <c r="ILY13" s="46"/>
      <c r="ILZ13" s="46"/>
      <c r="IMA13" s="46"/>
      <c r="IMB13" s="46"/>
      <c r="IMC13" s="46"/>
      <c r="IMD13" s="46"/>
      <c r="IME13" s="46"/>
      <c r="IMF13" s="46"/>
      <c r="IMG13" s="46"/>
      <c r="IMH13" s="46"/>
      <c r="IMI13" s="46"/>
      <c r="IMJ13" s="46"/>
      <c r="IMK13" s="46"/>
      <c r="IML13" s="46"/>
      <c r="IMM13" s="46"/>
      <c r="IMN13" s="46"/>
      <c r="IMO13" s="46"/>
      <c r="IMP13" s="46"/>
      <c r="IMQ13" s="46"/>
      <c r="IMR13" s="46"/>
      <c r="IMS13" s="46"/>
      <c r="IMT13" s="46"/>
      <c r="IMU13" s="46"/>
      <c r="IMV13" s="46"/>
      <c r="IMW13" s="46"/>
      <c r="IMX13" s="46"/>
      <c r="IMY13" s="46"/>
      <c r="IMZ13" s="46"/>
      <c r="INA13" s="46"/>
      <c r="INB13" s="46"/>
      <c r="INC13" s="46"/>
      <c r="IND13" s="46"/>
      <c r="INE13" s="46"/>
      <c r="INF13" s="46"/>
      <c r="ING13" s="46"/>
      <c r="INH13" s="46"/>
      <c r="INI13" s="46"/>
      <c r="INJ13" s="46"/>
      <c r="INK13" s="46"/>
      <c r="INL13" s="46"/>
      <c r="INM13" s="46"/>
      <c r="INN13" s="46"/>
      <c r="INO13" s="46"/>
      <c r="INP13" s="46"/>
      <c r="INQ13" s="46"/>
      <c r="INR13" s="46"/>
      <c r="INS13" s="46"/>
      <c r="INT13" s="46"/>
      <c r="INU13" s="46"/>
      <c r="INV13" s="46"/>
      <c r="INW13" s="46"/>
      <c r="INX13" s="46"/>
      <c r="INY13" s="46"/>
      <c r="INZ13" s="46"/>
      <c r="IOA13" s="46"/>
      <c r="IOB13" s="46"/>
      <c r="IOC13" s="46"/>
      <c r="IOD13" s="46"/>
      <c r="IOE13" s="46"/>
      <c r="IOF13" s="46"/>
      <c r="IOG13" s="46"/>
      <c r="IOH13" s="46"/>
      <c r="IOI13" s="46"/>
      <c r="IOJ13" s="46"/>
      <c r="IOK13" s="46"/>
      <c r="IOL13" s="46"/>
      <c r="IOM13" s="46"/>
      <c r="ION13" s="46"/>
      <c r="IOO13" s="46"/>
      <c r="IOP13" s="46"/>
      <c r="IOQ13" s="46"/>
      <c r="IOR13" s="46"/>
      <c r="IOS13" s="46"/>
      <c r="IOT13" s="46"/>
      <c r="IOU13" s="46"/>
      <c r="IOV13" s="46"/>
      <c r="IOW13" s="46"/>
      <c r="IOX13" s="46"/>
      <c r="IOY13" s="46"/>
      <c r="IOZ13" s="46"/>
      <c r="IPA13" s="46"/>
      <c r="IPB13" s="46"/>
      <c r="IPC13" s="46"/>
      <c r="IPD13" s="46"/>
      <c r="IPE13" s="46"/>
      <c r="IPF13" s="46"/>
      <c r="IPG13" s="46"/>
      <c r="IPH13" s="46"/>
      <c r="IPI13" s="46"/>
      <c r="IPJ13" s="46"/>
      <c r="IPK13" s="46"/>
      <c r="IPL13" s="46"/>
      <c r="IPM13" s="46"/>
      <c r="IPN13" s="46"/>
      <c r="IPO13" s="46"/>
      <c r="IPP13" s="46"/>
      <c r="IPQ13" s="46"/>
      <c r="IPR13" s="46"/>
      <c r="IPS13" s="46"/>
      <c r="IPT13" s="46"/>
      <c r="IPU13" s="46"/>
      <c r="IPV13" s="46"/>
      <c r="IPW13" s="46"/>
      <c r="IPX13" s="46"/>
      <c r="IPY13" s="46"/>
      <c r="IPZ13" s="46"/>
      <c r="IQA13" s="46"/>
      <c r="IQB13" s="46"/>
      <c r="IQC13" s="46"/>
      <c r="IQD13" s="46"/>
      <c r="IQE13" s="46"/>
      <c r="IQF13" s="46"/>
      <c r="IQG13" s="46"/>
      <c r="IQH13" s="46"/>
      <c r="IQI13" s="46"/>
      <c r="IQJ13" s="46"/>
      <c r="IQK13" s="46"/>
      <c r="IQL13" s="46"/>
      <c r="IQM13" s="46"/>
      <c r="IQN13" s="46"/>
      <c r="IQO13" s="46"/>
      <c r="IQP13" s="46"/>
      <c r="IQQ13" s="46"/>
      <c r="IQR13" s="46"/>
      <c r="IQS13" s="46"/>
      <c r="IQT13" s="46"/>
      <c r="IQU13" s="46"/>
      <c r="IQV13" s="46"/>
      <c r="IQW13" s="46"/>
      <c r="IQX13" s="46"/>
      <c r="IQY13" s="46"/>
      <c r="IQZ13" s="46"/>
      <c r="IRA13" s="46"/>
      <c r="IRB13" s="46"/>
      <c r="IRC13" s="46"/>
      <c r="IRD13" s="46"/>
      <c r="IRE13" s="46"/>
      <c r="IRF13" s="46"/>
      <c r="IRG13" s="46"/>
      <c r="IRH13" s="46"/>
      <c r="IRI13" s="46"/>
      <c r="IRJ13" s="46"/>
      <c r="IRK13" s="46"/>
      <c r="IRL13" s="46"/>
      <c r="IRM13" s="46"/>
      <c r="IRN13" s="46"/>
      <c r="IRO13" s="46"/>
      <c r="IRP13" s="46"/>
      <c r="IRQ13" s="46"/>
      <c r="IRR13" s="46"/>
      <c r="IRS13" s="46"/>
      <c r="IRT13" s="46"/>
      <c r="IRU13" s="46"/>
      <c r="IRV13" s="46"/>
      <c r="IRW13" s="46"/>
      <c r="IRX13" s="46"/>
      <c r="IRY13" s="46"/>
      <c r="IRZ13" s="46"/>
      <c r="ISA13" s="46"/>
      <c r="ISB13" s="46"/>
      <c r="ISC13" s="46"/>
      <c r="ISD13" s="46"/>
      <c r="ISE13" s="46"/>
      <c r="ISF13" s="46"/>
      <c r="ISG13" s="46"/>
      <c r="ISH13" s="46"/>
      <c r="ISI13" s="46"/>
      <c r="ISJ13" s="46"/>
      <c r="ISK13" s="46"/>
      <c r="ISL13" s="46"/>
      <c r="ISM13" s="46"/>
      <c r="ISN13" s="46"/>
      <c r="ISO13" s="46"/>
      <c r="ISP13" s="46"/>
      <c r="ISQ13" s="46"/>
      <c r="ISR13" s="46"/>
      <c r="ISS13" s="46"/>
      <c r="IST13" s="46"/>
      <c r="ISU13" s="46"/>
      <c r="ISV13" s="46"/>
      <c r="ISW13" s="46"/>
      <c r="ISX13" s="46"/>
      <c r="ISY13" s="46"/>
      <c r="ISZ13" s="46"/>
      <c r="ITA13" s="46"/>
      <c r="ITB13" s="46"/>
      <c r="ITC13" s="46"/>
      <c r="ITD13" s="46"/>
      <c r="ITE13" s="46"/>
      <c r="ITF13" s="46"/>
      <c r="ITG13" s="46"/>
      <c r="ITH13" s="46"/>
      <c r="ITI13" s="46"/>
      <c r="ITJ13" s="46"/>
      <c r="ITK13" s="46"/>
      <c r="ITL13" s="46"/>
      <c r="ITM13" s="46"/>
      <c r="ITN13" s="46"/>
      <c r="ITO13" s="46"/>
      <c r="ITP13" s="46"/>
      <c r="ITQ13" s="46"/>
      <c r="ITR13" s="46"/>
      <c r="ITS13" s="46"/>
      <c r="ITT13" s="46"/>
      <c r="ITU13" s="46"/>
      <c r="ITV13" s="46"/>
      <c r="ITW13" s="46"/>
      <c r="ITX13" s="46"/>
      <c r="ITY13" s="46"/>
      <c r="ITZ13" s="46"/>
      <c r="IUA13" s="46"/>
      <c r="IUB13" s="46"/>
      <c r="IUC13" s="46"/>
      <c r="IUD13" s="46"/>
      <c r="IUE13" s="46"/>
      <c r="IUF13" s="46"/>
      <c r="IUG13" s="46"/>
      <c r="IUH13" s="46"/>
      <c r="IUI13" s="46"/>
      <c r="IUJ13" s="46"/>
      <c r="IUK13" s="46"/>
      <c r="IUL13" s="46"/>
      <c r="IUM13" s="46"/>
      <c r="IUN13" s="46"/>
      <c r="IUO13" s="46"/>
      <c r="IUP13" s="46"/>
      <c r="IUQ13" s="46"/>
      <c r="IUR13" s="46"/>
      <c r="IUS13" s="46"/>
      <c r="IUT13" s="46"/>
      <c r="IUU13" s="46"/>
      <c r="IUV13" s="46"/>
      <c r="IUW13" s="46"/>
      <c r="IUX13" s="46"/>
      <c r="IUY13" s="46"/>
      <c r="IUZ13" s="46"/>
      <c r="IVA13" s="46"/>
      <c r="IVB13" s="46"/>
      <c r="IVC13" s="46"/>
      <c r="IVD13" s="46"/>
      <c r="IVE13" s="46"/>
      <c r="IVF13" s="46"/>
      <c r="IVG13" s="46"/>
      <c r="IVH13" s="46"/>
      <c r="IVI13" s="46"/>
      <c r="IVJ13" s="46"/>
      <c r="IVK13" s="46"/>
      <c r="IVL13" s="46"/>
      <c r="IVM13" s="46"/>
      <c r="IVN13" s="46"/>
      <c r="IVO13" s="46"/>
      <c r="IVP13" s="46"/>
      <c r="IVQ13" s="46"/>
      <c r="IVR13" s="46"/>
      <c r="IVS13" s="46"/>
      <c r="IVT13" s="46"/>
      <c r="IVU13" s="46"/>
      <c r="IVV13" s="46"/>
      <c r="IVW13" s="46"/>
      <c r="IVX13" s="46"/>
      <c r="IVY13" s="46"/>
      <c r="IVZ13" s="46"/>
      <c r="IWA13" s="46"/>
      <c r="IWB13" s="46"/>
      <c r="IWC13" s="46"/>
      <c r="IWD13" s="46"/>
      <c r="IWE13" s="46"/>
      <c r="IWF13" s="46"/>
      <c r="IWG13" s="46"/>
      <c r="IWH13" s="46"/>
      <c r="IWI13" s="46"/>
      <c r="IWJ13" s="46"/>
      <c r="IWK13" s="46"/>
      <c r="IWL13" s="46"/>
      <c r="IWM13" s="46"/>
      <c r="IWN13" s="46"/>
      <c r="IWO13" s="46"/>
      <c r="IWP13" s="46"/>
      <c r="IWQ13" s="46"/>
      <c r="IWR13" s="46"/>
      <c r="IWS13" s="46"/>
      <c r="IWT13" s="46"/>
      <c r="IWU13" s="46"/>
      <c r="IWV13" s="46"/>
      <c r="IWW13" s="46"/>
      <c r="IWX13" s="46"/>
      <c r="IWY13" s="46"/>
      <c r="IWZ13" s="46"/>
      <c r="IXA13" s="46"/>
      <c r="IXB13" s="46"/>
      <c r="IXC13" s="46"/>
      <c r="IXD13" s="46"/>
      <c r="IXE13" s="46"/>
      <c r="IXF13" s="46"/>
      <c r="IXG13" s="46"/>
      <c r="IXH13" s="46"/>
      <c r="IXI13" s="46"/>
      <c r="IXJ13" s="46"/>
      <c r="IXK13" s="46"/>
      <c r="IXL13" s="46"/>
      <c r="IXM13" s="46"/>
      <c r="IXN13" s="46"/>
      <c r="IXO13" s="46"/>
      <c r="IXP13" s="46"/>
      <c r="IXQ13" s="46"/>
      <c r="IXR13" s="46"/>
      <c r="IXS13" s="46"/>
      <c r="IXT13" s="46"/>
      <c r="IXU13" s="46"/>
      <c r="IXV13" s="46"/>
      <c r="IXW13" s="46"/>
      <c r="IXX13" s="46"/>
      <c r="IXY13" s="46"/>
      <c r="IXZ13" s="46"/>
      <c r="IYA13" s="46"/>
      <c r="IYB13" s="46"/>
      <c r="IYC13" s="46"/>
      <c r="IYD13" s="46"/>
      <c r="IYE13" s="46"/>
      <c r="IYF13" s="46"/>
      <c r="IYG13" s="46"/>
      <c r="IYH13" s="46"/>
      <c r="IYI13" s="46"/>
      <c r="IYJ13" s="46"/>
      <c r="IYK13" s="46"/>
      <c r="IYL13" s="46"/>
      <c r="IYM13" s="46"/>
      <c r="IYN13" s="46"/>
      <c r="IYO13" s="46"/>
      <c r="IYP13" s="46"/>
      <c r="IYQ13" s="46"/>
      <c r="IYR13" s="46"/>
      <c r="IYS13" s="46"/>
      <c r="IYT13" s="46"/>
      <c r="IYU13" s="46"/>
      <c r="IYV13" s="46"/>
      <c r="IYW13" s="46"/>
      <c r="IYX13" s="46"/>
      <c r="IYY13" s="46"/>
      <c r="IYZ13" s="46"/>
      <c r="IZA13" s="46"/>
      <c r="IZB13" s="46"/>
      <c r="IZC13" s="46"/>
      <c r="IZD13" s="46"/>
      <c r="IZE13" s="46"/>
      <c r="IZF13" s="46"/>
      <c r="IZG13" s="46"/>
      <c r="IZH13" s="46"/>
      <c r="IZI13" s="46"/>
      <c r="IZJ13" s="46"/>
      <c r="IZK13" s="46"/>
      <c r="IZL13" s="46"/>
      <c r="IZM13" s="46"/>
      <c r="IZN13" s="46"/>
      <c r="IZO13" s="46"/>
      <c r="IZP13" s="46"/>
      <c r="IZQ13" s="46"/>
      <c r="IZR13" s="46"/>
      <c r="IZS13" s="46"/>
      <c r="IZT13" s="46"/>
      <c r="IZU13" s="46"/>
      <c r="IZV13" s="46"/>
      <c r="IZW13" s="46"/>
      <c r="IZX13" s="46"/>
      <c r="IZY13" s="46"/>
      <c r="IZZ13" s="46"/>
      <c r="JAA13" s="46"/>
      <c r="JAB13" s="46"/>
      <c r="JAC13" s="46"/>
      <c r="JAD13" s="46"/>
      <c r="JAE13" s="46"/>
      <c r="JAF13" s="46"/>
      <c r="JAG13" s="46"/>
      <c r="JAH13" s="46"/>
      <c r="JAI13" s="46"/>
      <c r="JAJ13" s="46"/>
      <c r="JAK13" s="46"/>
      <c r="JAL13" s="46"/>
      <c r="JAM13" s="46"/>
      <c r="JAN13" s="46"/>
      <c r="JAO13" s="46"/>
      <c r="JAP13" s="46"/>
      <c r="JAQ13" s="46"/>
      <c r="JAR13" s="46"/>
      <c r="JAS13" s="46"/>
      <c r="JAT13" s="46"/>
      <c r="JAU13" s="46"/>
      <c r="JAV13" s="46"/>
      <c r="JAW13" s="46"/>
      <c r="JAX13" s="46"/>
      <c r="JAY13" s="46"/>
      <c r="JAZ13" s="46"/>
      <c r="JBA13" s="46"/>
      <c r="JBB13" s="46"/>
      <c r="JBC13" s="46"/>
      <c r="JBD13" s="46"/>
      <c r="JBE13" s="46"/>
      <c r="JBF13" s="46"/>
      <c r="JBG13" s="46"/>
      <c r="JBH13" s="46"/>
      <c r="JBI13" s="46"/>
      <c r="JBJ13" s="46"/>
      <c r="JBK13" s="46"/>
      <c r="JBL13" s="46"/>
      <c r="JBM13" s="46"/>
      <c r="JBN13" s="46"/>
      <c r="JBO13" s="46"/>
      <c r="JBP13" s="46"/>
      <c r="JBQ13" s="46"/>
      <c r="JBR13" s="46"/>
      <c r="JBS13" s="46"/>
      <c r="JBT13" s="46"/>
      <c r="JBU13" s="46"/>
      <c r="JBV13" s="46"/>
      <c r="JBW13" s="46"/>
      <c r="JBX13" s="46"/>
      <c r="JBY13" s="46"/>
      <c r="JBZ13" s="46"/>
      <c r="JCA13" s="46"/>
      <c r="JCB13" s="46"/>
      <c r="JCC13" s="46"/>
      <c r="JCD13" s="46"/>
      <c r="JCE13" s="46"/>
      <c r="JCF13" s="46"/>
      <c r="JCG13" s="46"/>
      <c r="JCH13" s="46"/>
      <c r="JCI13" s="46"/>
      <c r="JCJ13" s="46"/>
      <c r="JCK13" s="46"/>
      <c r="JCL13" s="46"/>
      <c r="JCM13" s="46"/>
      <c r="JCN13" s="46"/>
      <c r="JCO13" s="46"/>
      <c r="JCP13" s="46"/>
      <c r="JCQ13" s="46"/>
      <c r="JCR13" s="46"/>
      <c r="JCS13" s="46"/>
      <c r="JCT13" s="46"/>
      <c r="JCU13" s="46"/>
      <c r="JCV13" s="46"/>
      <c r="JCW13" s="46"/>
      <c r="JCX13" s="46"/>
      <c r="JCY13" s="46"/>
      <c r="JCZ13" s="46"/>
      <c r="JDA13" s="46"/>
      <c r="JDB13" s="46"/>
      <c r="JDC13" s="46"/>
      <c r="JDD13" s="46"/>
      <c r="JDE13" s="46"/>
      <c r="JDF13" s="46"/>
      <c r="JDG13" s="46"/>
      <c r="JDH13" s="46"/>
      <c r="JDI13" s="46"/>
      <c r="JDJ13" s="46"/>
      <c r="JDK13" s="46"/>
      <c r="JDL13" s="46"/>
      <c r="JDM13" s="46"/>
      <c r="JDN13" s="46"/>
      <c r="JDO13" s="46"/>
      <c r="JDP13" s="46"/>
      <c r="JDQ13" s="46"/>
      <c r="JDR13" s="46"/>
      <c r="JDS13" s="46"/>
      <c r="JDT13" s="46"/>
      <c r="JDU13" s="46"/>
      <c r="JDV13" s="46"/>
      <c r="JDW13" s="46"/>
      <c r="JDX13" s="46"/>
      <c r="JDY13" s="46"/>
      <c r="JDZ13" s="46"/>
      <c r="JEA13" s="46"/>
      <c r="JEB13" s="46"/>
      <c r="JEC13" s="46"/>
      <c r="JED13" s="46"/>
      <c r="JEE13" s="46"/>
      <c r="JEF13" s="46"/>
      <c r="JEG13" s="46"/>
      <c r="JEH13" s="46"/>
      <c r="JEI13" s="46"/>
      <c r="JEJ13" s="46"/>
      <c r="JEK13" s="46"/>
      <c r="JEL13" s="46"/>
      <c r="JEM13" s="46"/>
      <c r="JEN13" s="46"/>
      <c r="JEO13" s="46"/>
      <c r="JEP13" s="46"/>
      <c r="JEQ13" s="46"/>
      <c r="JER13" s="46"/>
      <c r="JES13" s="46"/>
      <c r="JET13" s="46"/>
      <c r="JEU13" s="46"/>
      <c r="JEV13" s="46"/>
      <c r="JEW13" s="46"/>
      <c r="JEX13" s="46"/>
      <c r="JEY13" s="46"/>
      <c r="JEZ13" s="46"/>
      <c r="JFA13" s="46"/>
      <c r="JFB13" s="46"/>
      <c r="JFC13" s="46"/>
      <c r="JFD13" s="46"/>
      <c r="JFE13" s="46"/>
      <c r="JFF13" s="46"/>
      <c r="JFG13" s="46"/>
      <c r="JFH13" s="46"/>
      <c r="JFI13" s="46"/>
      <c r="JFJ13" s="46"/>
      <c r="JFK13" s="46"/>
      <c r="JFL13" s="46"/>
      <c r="JFM13" s="46"/>
      <c r="JFN13" s="46"/>
      <c r="JFO13" s="46"/>
      <c r="JFP13" s="46"/>
      <c r="JFQ13" s="46"/>
      <c r="JFR13" s="46"/>
      <c r="JFS13" s="46"/>
      <c r="JFT13" s="46"/>
      <c r="JFU13" s="46"/>
      <c r="JFV13" s="46"/>
      <c r="JFW13" s="46"/>
      <c r="JFX13" s="46"/>
      <c r="JFY13" s="46"/>
      <c r="JFZ13" s="46"/>
      <c r="JGA13" s="46"/>
      <c r="JGB13" s="46"/>
      <c r="JGC13" s="46"/>
      <c r="JGD13" s="46"/>
      <c r="JGE13" s="46"/>
      <c r="JGF13" s="46"/>
      <c r="JGG13" s="46"/>
      <c r="JGH13" s="46"/>
      <c r="JGI13" s="46"/>
      <c r="JGJ13" s="46"/>
      <c r="JGK13" s="46"/>
      <c r="JGL13" s="46"/>
      <c r="JGM13" s="46"/>
      <c r="JGN13" s="46"/>
      <c r="JGO13" s="46"/>
      <c r="JGP13" s="46"/>
      <c r="JGQ13" s="46"/>
      <c r="JGR13" s="46"/>
      <c r="JGS13" s="46"/>
      <c r="JGT13" s="46"/>
      <c r="JGU13" s="46"/>
      <c r="JGV13" s="46"/>
      <c r="JGW13" s="46"/>
      <c r="JGX13" s="46"/>
      <c r="JGY13" s="46"/>
      <c r="JGZ13" s="46"/>
      <c r="JHA13" s="46"/>
      <c r="JHB13" s="46"/>
      <c r="JHC13" s="46"/>
      <c r="JHD13" s="46"/>
      <c r="JHE13" s="46"/>
      <c r="JHF13" s="46"/>
      <c r="JHG13" s="46"/>
      <c r="JHH13" s="46"/>
      <c r="JHI13" s="46"/>
      <c r="JHJ13" s="46"/>
      <c r="JHK13" s="46"/>
      <c r="JHL13" s="46"/>
      <c r="JHM13" s="46"/>
      <c r="JHN13" s="46"/>
      <c r="JHO13" s="46"/>
      <c r="JHP13" s="46"/>
      <c r="JHQ13" s="46"/>
      <c r="JHR13" s="46"/>
      <c r="JHS13" s="46"/>
      <c r="JHT13" s="46"/>
      <c r="JHU13" s="46"/>
      <c r="JHV13" s="46"/>
      <c r="JHW13" s="46"/>
      <c r="JHX13" s="46"/>
      <c r="JHY13" s="46"/>
      <c r="JHZ13" s="46"/>
      <c r="JIA13" s="46"/>
      <c r="JIB13" s="46"/>
      <c r="JIC13" s="46"/>
      <c r="JID13" s="46"/>
      <c r="JIE13" s="46"/>
      <c r="JIF13" s="46"/>
      <c r="JIG13" s="46"/>
      <c r="JIH13" s="46"/>
      <c r="JII13" s="46"/>
      <c r="JIJ13" s="46"/>
      <c r="JIK13" s="46"/>
      <c r="JIL13" s="46"/>
      <c r="JIM13" s="46"/>
      <c r="JIN13" s="46"/>
      <c r="JIO13" s="46"/>
      <c r="JIP13" s="46"/>
      <c r="JIQ13" s="46"/>
      <c r="JIR13" s="46"/>
      <c r="JIS13" s="46"/>
      <c r="JIT13" s="46"/>
      <c r="JIU13" s="46"/>
      <c r="JIV13" s="46"/>
      <c r="JIW13" s="46"/>
      <c r="JIX13" s="46"/>
      <c r="JIY13" s="46"/>
      <c r="JIZ13" s="46"/>
      <c r="JJA13" s="46"/>
      <c r="JJB13" s="46"/>
      <c r="JJC13" s="46"/>
      <c r="JJD13" s="46"/>
      <c r="JJE13" s="46"/>
      <c r="JJF13" s="46"/>
      <c r="JJG13" s="46"/>
      <c r="JJH13" s="46"/>
      <c r="JJI13" s="46"/>
      <c r="JJJ13" s="46"/>
      <c r="JJK13" s="46"/>
      <c r="JJL13" s="46"/>
      <c r="JJM13" s="46"/>
      <c r="JJN13" s="46"/>
      <c r="JJO13" s="46"/>
      <c r="JJP13" s="46"/>
      <c r="JJQ13" s="46"/>
      <c r="JJR13" s="46"/>
      <c r="JJS13" s="46"/>
      <c r="JJT13" s="46"/>
      <c r="JJU13" s="46"/>
      <c r="JJV13" s="46"/>
      <c r="JJW13" s="46"/>
      <c r="JJX13" s="46"/>
      <c r="JJY13" s="46"/>
      <c r="JJZ13" s="46"/>
      <c r="JKA13" s="46"/>
      <c r="JKB13" s="46"/>
      <c r="JKC13" s="46"/>
      <c r="JKD13" s="46"/>
      <c r="JKE13" s="46"/>
      <c r="JKF13" s="46"/>
      <c r="JKG13" s="46"/>
      <c r="JKH13" s="46"/>
      <c r="JKI13" s="46"/>
      <c r="JKJ13" s="46"/>
      <c r="JKK13" s="46"/>
      <c r="JKL13" s="46"/>
      <c r="JKM13" s="46"/>
      <c r="JKN13" s="46"/>
      <c r="JKO13" s="46"/>
      <c r="JKP13" s="46"/>
      <c r="JKQ13" s="46"/>
      <c r="JKR13" s="46"/>
      <c r="JKS13" s="46"/>
      <c r="JKT13" s="46"/>
      <c r="JKU13" s="46"/>
      <c r="JKV13" s="46"/>
      <c r="JKW13" s="46"/>
      <c r="JKX13" s="46"/>
      <c r="JKY13" s="46"/>
      <c r="JKZ13" s="46"/>
      <c r="JLA13" s="46"/>
      <c r="JLB13" s="46"/>
      <c r="JLC13" s="46"/>
      <c r="JLD13" s="46"/>
      <c r="JLE13" s="46"/>
      <c r="JLF13" s="46"/>
      <c r="JLG13" s="46"/>
      <c r="JLH13" s="46"/>
      <c r="JLI13" s="46"/>
      <c r="JLJ13" s="46"/>
      <c r="JLK13" s="46"/>
      <c r="JLL13" s="46"/>
      <c r="JLM13" s="46"/>
      <c r="JLN13" s="46"/>
      <c r="JLO13" s="46"/>
      <c r="JLP13" s="46"/>
      <c r="JLQ13" s="46"/>
      <c r="JLR13" s="46"/>
      <c r="JLS13" s="46"/>
      <c r="JLT13" s="46"/>
      <c r="JLU13" s="46"/>
      <c r="JLV13" s="46"/>
      <c r="JLW13" s="46"/>
      <c r="JLX13" s="46"/>
      <c r="JLY13" s="46"/>
      <c r="JLZ13" s="46"/>
      <c r="JMA13" s="46"/>
      <c r="JMB13" s="46"/>
      <c r="JMC13" s="46"/>
      <c r="JMD13" s="46"/>
      <c r="JME13" s="46"/>
      <c r="JMF13" s="46"/>
      <c r="JMG13" s="46"/>
      <c r="JMH13" s="46"/>
      <c r="JMI13" s="46"/>
      <c r="JMJ13" s="46"/>
      <c r="JMK13" s="46"/>
      <c r="JML13" s="46"/>
      <c r="JMM13" s="46"/>
      <c r="JMN13" s="46"/>
      <c r="JMO13" s="46"/>
      <c r="JMP13" s="46"/>
      <c r="JMQ13" s="46"/>
      <c r="JMR13" s="46"/>
      <c r="JMS13" s="46"/>
      <c r="JMT13" s="46"/>
      <c r="JMU13" s="46"/>
      <c r="JMV13" s="46"/>
      <c r="JMW13" s="46"/>
      <c r="JMX13" s="46"/>
      <c r="JMY13" s="46"/>
      <c r="JMZ13" s="46"/>
      <c r="JNA13" s="46"/>
      <c r="JNB13" s="46"/>
      <c r="JNC13" s="46"/>
      <c r="JND13" s="46"/>
      <c r="JNE13" s="46"/>
      <c r="JNF13" s="46"/>
      <c r="JNG13" s="46"/>
      <c r="JNH13" s="46"/>
      <c r="JNI13" s="46"/>
      <c r="JNJ13" s="46"/>
      <c r="JNK13" s="46"/>
      <c r="JNL13" s="46"/>
      <c r="JNM13" s="46"/>
      <c r="JNN13" s="46"/>
      <c r="JNO13" s="46"/>
      <c r="JNP13" s="46"/>
      <c r="JNQ13" s="46"/>
      <c r="JNR13" s="46"/>
      <c r="JNS13" s="46"/>
      <c r="JNT13" s="46"/>
      <c r="JNU13" s="46"/>
      <c r="JNV13" s="46"/>
      <c r="JNW13" s="46"/>
      <c r="JNX13" s="46"/>
      <c r="JNY13" s="46"/>
      <c r="JNZ13" s="46"/>
      <c r="JOA13" s="46"/>
      <c r="JOB13" s="46"/>
      <c r="JOC13" s="46"/>
      <c r="JOD13" s="46"/>
      <c r="JOE13" s="46"/>
      <c r="JOF13" s="46"/>
      <c r="JOG13" s="46"/>
      <c r="JOH13" s="46"/>
      <c r="JOI13" s="46"/>
      <c r="JOJ13" s="46"/>
      <c r="JOK13" s="46"/>
      <c r="JOL13" s="46"/>
      <c r="JOM13" s="46"/>
      <c r="JON13" s="46"/>
      <c r="JOO13" s="46"/>
      <c r="JOP13" s="46"/>
      <c r="JOQ13" s="46"/>
      <c r="JOR13" s="46"/>
      <c r="JOS13" s="46"/>
      <c r="JOT13" s="46"/>
      <c r="JOU13" s="46"/>
      <c r="JOV13" s="46"/>
      <c r="JOW13" s="46"/>
      <c r="JOX13" s="46"/>
      <c r="JOY13" s="46"/>
      <c r="JOZ13" s="46"/>
      <c r="JPA13" s="46"/>
      <c r="JPB13" s="46"/>
      <c r="JPC13" s="46"/>
      <c r="JPD13" s="46"/>
      <c r="JPE13" s="46"/>
      <c r="JPF13" s="46"/>
      <c r="JPG13" s="46"/>
      <c r="JPH13" s="46"/>
      <c r="JPI13" s="46"/>
      <c r="JPJ13" s="46"/>
      <c r="JPK13" s="46"/>
      <c r="JPL13" s="46"/>
      <c r="JPM13" s="46"/>
      <c r="JPN13" s="46"/>
      <c r="JPO13" s="46"/>
      <c r="JPP13" s="46"/>
      <c r="JPQ13" s="46"/>
      <c r="JPR13" s="46"/>
      <c r="JPS13" s="46"/>
      <c r="JPT13" s="46"/>
      <c r="JPU13" s="46"/>
      <c r="JPV13" s="46"/>
      <c r="JPW13" s="46"/>
      <c r="JPX13" s="46"/>
      <c r="JPY13" s="46"/>
      <c r="JPZ13" s="46"/>
      <c r="JQA13" s="46"/>
      <c r="JQB13" s="46"/>
      <c r="JQC13" s="46"/>
      <c r="JQD13" s="46"/>
      <c r="JQE13" s="46"/>
      <c r="JQF13" s="46"/>
      <c r="JQG13" s="46"/>
      <c r="JQH13" s="46"/>
      <c r="JQI13" s="46"/>
      <c r="JQJ13" s="46"/>
      <c r="JQK13" s="46"/>
      <c r="JQL13" s="46"/>
      <c r="JQM13" s="46"/>
      <c r="JQN13" s="46"/>
      <c r="JQO13" s="46"/>
      <c r="JQP13" s="46"/>
      <c r="JQQ13" s="46"/>
      <c r="JQR13" s="46"/>
      <c r="JQS13" s="46"/>
      <c r="JQT13" s="46"/>
      <c r="JQU13" s="46"/>
      <c r="JQV13" s="46"/>
      <c r="JQW13" s="46"/>
      <c r="JQX13" s="46"/>
      <c r="JQY13" s="46"/>
      <c r="JQZ13" s="46"/>
      <c r="JRA13" s="46"/>
      <c r="JRB13" s="46"/>
      <c r="JRC13" s="46"/>
      <c r="JRD13" s="46"/>
      <c r="JRE13" s="46"/>
      <c r="JRF13" s="46"/>
      <c r="JRG13" s="46"/>
      <c r="JRH13" s="46"/>
      <c r="JRI13" s="46"/>
      <c r="JRJ13" s="46"/>
      <c r="JRK13" s="46"/>
      <c r="JRL13" s="46"/>
      <c r="JRM13" s="46"/>
      <c r="JRN13" s="46"/>
      <c r="JRO13" s="46"/>
      <c r="JRP13" s="46"/>
      <c r="JRQ13" s="46"/>
      <c r="JRR13" s="46"/>
      <c r="JRS13" s="46"/>
      <c r="JRT13" s="46"/>
      <c r="JRU13" s="46"/>
      <c r="JRV13" s="46"/>
      <c r="JRW13" s="46"/>
      <c r="JRX13" s="46"/>
      <c r="JRY13" s="46"/>
      <c r="JRZ13" s="46"/>
      <c r="JSA13" s="46"/>
      <c r="JSB13" s="46"/>
      <c r="JSC13" s="46"/>
      <c r="JSD13" s="46"/>
      <c r="JSE13" s="46"/>
      <c r="JSF13" s="46"/>
      <c r="JSG13" s="46"/>
      <c r="JSH13" s="46"/>
      <c r="JSI13" s="46"/>
      <c r="JSJ13" s="46"/>
      <c r="JSK13" s="46"/>
      <c r="JSL13" s="46"/>
      <c r="JSM13" s="46"/>
      <c r="JSN13" s="46"/>
      <c r="JSO13" s="46"/>
      <c r="JSP13" s="46"/>
      <c r="JSQ13" s="46"/>
      <c r="JSR13" s="46"/>
      <c r="JSS13" s="46"/>
      <c r="JST13" s="46"/>
      <c r="JSU13" s="46"/>
      <c r="JSV13" s="46"/>
      <c r="JSW13" s="46"/>
      <c r="JSX13" s="46"/>
      <c r="JSY13" s="46"/>
      <c r="JSZ13" s="46"/>
      <c r="JTA13" s="46"/>
      <c r="JTB13" s="46"/>
      <c r="JTC13" s="46"/>
      <c r="JTD13" s="46"/>
      <c r="JTE13" s="46"/>
      <c r="JTF13" s="46"/>
      <c r="JTG13" s="46"/>
      <c r="JTH13" s="46"/>
      <c r="JTI13" s="46"/>
      <c r="JTJ13" s="46"/>
      <c r="JTK13" s="46"/>
      <c r="JTL13" s="46"/>
      <c r="JTM13" s="46"/>
      <c r="JTN13" s="46"/>
      <c r="JTO13" s="46"/>
      <c r="JTP13" s="46"/>
      <c r="JTQ13" s="46"/>
      <c r="JTR13" s="46"/>
      <c r="JTS13" s="46"/>
      <c r="JTT13" s="46"/>
      <c r="JTU13" s="46"/>
      <c r="JTV13" s="46"/>
      <c r="JTW13" s="46"/>
      <c r="JTX13" s="46"/>
      <c r="JTY13" s="46"/>
      <c r="JTZ13" s="46"/>
      <c r="JUA13" s="46"/>
      <c r="JUB13" s="46"/>
      <c r="JUC13" s="46"/>
      <c r="JUD13" s="46"/>
      <c r="JUE13" s="46"/>
      <c r="JUF13" s="46"/>
      <c r="JUG13" s="46"/>
      <c r="JUH13" s="46"/>
      <c r="JUI13" s="46"/>
      <c r="JUJ13" s="46"/>
      <c r="JUK13" s="46"/>
      <c r="JUL13" s="46"/>
      <c r="JUM13" s="46"/>
      <c r="JUN13" s="46"/>
      <c r="JUO13" s="46"/>
      <c r="JUP13" s="46"/>
      <c r="JUQ13" s="46"/>
      <c r="JUR13" s="46"/>
      <c r="JUS13" s="46"/>
      <c r="JUT13" s="46"/>
      <c r="JUU13" s="46"/>
      <c r="JUV13" s="46"/>
      <c r="JUW13" s="46"/>
      <c r="JUX13" s="46"/>
      <c r="JUY13" s="46"/>
      <c r="JUZ13" s="46"/>
      <c r="JVA13" s="46"/>
      <c r="JVB13" s="46"/>
      <c r="JVC13" s="46"/>
      <c r="JVD13" s="46"/>
      <c r="JVE13" s="46"/>
      <c r="JVF13" s="46"/>
      <c r="JVG13" s="46"/>
      <c r="JVH13" s="46"/>
      <c r="JVI13" s="46"/>
      <c r="JVJ13" s="46"/>
      <c r="JVK13" s="46"/>
      <c r="JVL13" s="46"/>
      <c r="JVM13" s="46"/>
      <c r="JVN13" s="46"/>
      <c r="JVO13" s="46"/>
      <c r="JVP13" s="46"/>
      <c r="JVQ13" s="46"/>
      <c r="JVR13" s="46"/>
      <c r="JVS13" s="46"/>
      <c r="JVT13" s="46"/>
      <c r="JVU13" s="46"/>
      <c r="JVV13" s="46"/>
      <c r="JVW13" s="46"/>
      <c r="JVX13" s="46"/>
      <c r="JVY13" s="46"/>
      <c r="JVZ13" s="46"/>
      <c r="JWA13" s="46"/>
      <c r="JWB13" s="46"/>
      <c r="JWC13" s="46"/>
      <c r="JWD13" s="46"/>
      <c r="JWE13" s="46"/>
      <c r="JWF13" s="46"/>
      <c r="JWG13" s="46"/>
      <c r="JWH13" s="46"/>
      <c r="JWI13" s="46"/>
      <c r="JWJ13" s="46"/>
      <c r="JWK13" s="46"/>
      <c r="JWL13" s="46"/>
      <c r="JWM13" s="46"/>
      <c r="JWN13" s="46"/>
      <c r="JWO13" s="46"/>
      <c r="JWP13" s="46"/>
      <c r="JWQ13" s="46"/>
      <c r="JWR13" s="46"/>
      <c r="JWS13" s="46"/>
      <c r="JWT13" s="46"/>
      <c r="JWU13" s="46"/>
      <c r="JWV13" s="46"/>
      <c r="JWW13" s="46"/>
      <c r="JWX13" s="46"/>
      <c r="JWY13" s="46"/>
      <c r="JWZ13" s="46"/>
      <c r="JXA13" s="46"/>
      <c r="JXB13" s="46"/>
      <c r="JXC13" s="46"/>
      <c r="JXD13" s="46"/>
      <c r="JXE13" s="46"/>
      <c r="JXF13" s="46"/>
      <c r="JXG13" s="46"/>
      <c r="JXH13" s="46"/>
      <c r="JXI13" s="46"/>
      <c r="JXJ13" s="46"/>
      <c r="JXK13" s="46"/>
      <c r="JXL13" s="46"/>
      <c r="JXM13" s="46"/>
      <c r="JXN13" s="46"/>
      <c r="JXO13" s="46"/>
      <c r="JXP13" s="46"/>
      <c r="JXQ13" s="46"/>
      <c r="JXR13" s="46"/>
      <c r="JXS13" s="46"/>
      <c r="JXT13" s="46"/>
      <c r="JXU13" s="46"/>
      <c r="JXV13" s="46"/>
      <c r="JXW13" s="46"/>
      <c r="JXX13" s="46"/>
      <c r="JXY13" s="46"/>
      <c r="JXZ13" s="46"/>
      <c r="JYA13" s="46"/>
      <c r="JYB13" s="46"/>
      <c r="JYC13" s="46"/>
      <c r="JYD13" s="46"/>
      <c r="JYE13" s="46"/>
      <c r="JYF13" s="46"/>
      <c r="JYG13" s="46"/>
      <c r="JYH13" s="46"/>
      <c r="JYI13" s="46"/>
      <c r="JYJ13" s="46"/>
      <c r="JYK13" s="46"/>
      <c r="JYL13" s="46"/>
      <c r="JYM13" s="46"/>
      <c r="JYN13" s="46"/>
      <c r="JYO13" s="46"/>
      <c r="JYP13" s="46"/>
      <c r="JYQ13" s="46"/>
      <c r="JYR13" s="46"/>
      <c r="JYS13" s="46"/>
      <c r="JYT13" s="46"/>
      <c r="JYU13" s="46"/>
      <c r="JYV13" s="46"/>
      <c r="JYW13" s="46"/>
      <c r="JYX13" s="46"/>
      <c r="JYY13" s="46"/>
      <c r="JYZ13" s="46"/>
      <c r="JZA13" s="46"/>
      <c r="JZB13" s="46"/>
      <c r="JZC13" s="46"/>
      <c r="JZD13" s="46"/>
      <c r="JZE13" s="46"/>
      <c r="JZF13" s="46"/>
      <c r="JZG13" s="46"/>
      <c r="JZH13" s="46"/>
      <c r="JZI13" s="46"/>
      <c r="JZJ13" s="46"/>
      <c r="JZK13" s="46"/>
      <c r="JZL13" s="46"/>
      <c r="JZM13" s="46"/>
      <c r="JZN13" s="46"/>
      <c r="JZO13" s="46"/>
      <c r="JZP13" s="46"/>
      <c r="JZQ13" s="46"/>
      <c r="JZR13" s="46"/>
      <c r="JZS13" s="46"/>
      <c r="JZT13" s="46"/>
      <c r="JZU13" s="46"/>
      <c r="JZV13" s="46"/>
      <c r="JZW13" s="46"/>
      <c r="JZX13" s="46"/>
      <c r="JZY13" s="46"/>
      <c r="JZZ13" s="46"/>
      <c r="KAA13" s="46"/>
      <c r="KAB13" s="46"/>
      <c r="KAC13" s="46"/>
      <c r="KAD13" s="46"/>
      <c r="KAE13" s="46"/>
      <c r="KAF13" s="46"/>
      <c r="KAG13" s="46"/>
      <c r="KAH13" s="46"/>
      <c r="KAI13" s="46"/>
      <c r="KAJ13" s="46"/>
      <c r="KAK13" s="46"/>
      <c r="KAL13" s="46"/>
      <c r="KAM13" s="46"/>
      <c r="KAN13" s="46"/>
      <c r="KAO13" s="46"/>
      <c r="KAP13" s="46"/>
      <c r="KAQ13" s="46"/>
      <c r="KAR13" s="46"/>
      <c r="KAS13" s="46"/>
      <c r="KAT13" s="46"/>
      <c r="KAU13" s="46"/>
      <c r="KAV13" s="46"/>
      <c r="KAW13" s="46"/>
      <c r="KAX13" s="46"/>
      <c r="KAY13" s="46"/>
      <c r="KAZ13" s="46"/>
      <c r="KBA13" s="46"/>
      <c r="KBB13" s="46"/>
      <c r="KBC13" s="46"/>
      <c r="KBD13" s="46"/>
      <c r="KBE13" s="46"/>
      <c r="KBF13" s="46"/>
      <c r="KBG13" s="46"/>
      <c r="KBH13" s="46"/>
      <c r="KBI13" s="46"/>
      <c r="KBJ13" s="46"/>
      <c r="KBK13" s="46"/>
      <c r="KBL13" s="46"/>
      <c r="KBM13" s="46"/>
      <c r="KBN13" s="46"/>
      <c r="KBO13" s="46"/>
      <c r="KBP13" s="46"/>
      <c r="KBQ13" s="46"/>
      <c r="KBR13" s="46"/>
      <c r="KBS13" s="46"/>
      <c r="KBT13" s="46"/>
      <c r="KBU13" s="46"/>
      <c r="KBV13" s="46"/>
      <c r="KBW13" s="46"/>
      <c r="KBX13" s="46"/>
      <c r="KBY13" s="46"/>
      <c r="KBZ13" s="46"/>
      <c r="KCA13" s="46"/>
      <c r="KCB13" s="46"/>
      <c r="KCC13" s="46"/>
      <c r="KCD13" s="46"/>
      <c r="KCE13" s="46"/>
      <c r="KCF13" s="46"/>
      <c r="KCG13" s="46"/>
      <c r="KCH13" s="46"/>
      <c r="KCI13" s="46"/>
      <c r="KCJ13" s="46"/>
      <c r="KCK13" s="46"/>
      <c r="KCL13" s="46"/>
      <c r="KCM13" s="46"/>
      <c r="KCN13" s="46"/>
      <c r="KCO13" s="46"/>
      <c r="KCP13" s="46"/>
      <c r="KCQ13" s="46"/>
      <c r="KCR13" s="46"/>
      <c r="KCS13" s="46"/>
      <c r="KCT13" s="46"/>
      <c r="KCU13" s="46"/>
      <c r="KCV13" s="46"/>
      <c r="KCW13" s="46"/>
      <c r="KCX13" s="46"/>
      <c r="KCY13" s="46"/>
      <c r="KCZ13" s="46"/>
      <c r="KDA13" s="46"/>
      <c r="KDB13" s="46"/>
      <c r="KDC13" s="46"/>
      <c r="KDD13" s="46"/>
      <c r="KDE13" s="46"/>
      <c r="KDF13" s="46"/>
      <c r="KDG13" s="46"/>
      <c r="KDH13" s="46"/>
      <c r="KDI13" s="46"/>
      <c r="KDJ13" s="46"/>
      <c r="KDK13" s="46"/>
      <c r="KDL13" s="46"/>
      <c r="KDM13" s="46"/>
      <c r="KDN13" s="46"/>
      <c r="KDO13" s="46"/>
      <c r="KDP13" s="46"/>
      <c r="KDQ13" s="46"/>
      <c r="KDR13" s="46"/>
      <c r="KDS13" s="46"/>
      <c r="KDT13" s="46"/>
      <c r="KDU13" s="46"/>
      <c r="KDV13" s="46"/>
      <c r="KDW13" s="46"/>
      <c r="KDX13" s="46"/>
      <c r="KDY13" s="46"/>
      <c r="KDZ13" s="46"/>
      <c r="KEA13" s="46"/>
      <c r="KEB13" s="46"/>
      <c r="KEC13" s="46"/>
      <c r="KED13" s="46"/>
      <c r="KEE13" s="46"/>
      <c r="KEF13" s="46"/>
      <c r="KEG13" s="46"/>
      <c r="KEH13" s="46"/>
      <c r="KEI13" s="46"/>
      <c r="KEJ13" s="46"/>
      <c r="KEK13" s="46"/>
      <c r="KEL13" s="46"/>
      <c r="KEM13" s="46"/>
      <c r="KEN13" s="46"/>
      <c r="KEO13" s="46"/>
      <c r="KEP13" s="46"/>
      <c r="KEQ13" s="46"/>
      <c r="KER13" s="46"/>
      <c r="KES13" s="46"/>
      <c r="KET13" s="46"/>
      <c r="KEU13" s="46"/>
      <c r="KEV13" s="46"/>
      <c r="KEW13" s="46"/>
      <c r="KEX13" s="46"/>
      <c r="KEY13" s="46"/>
      <c r="KEZ13" s="46"/>
      <c r="KFA13" s="46"/>
      <c r="KFB13" s="46"/>
      <c r="KFC13" s="46"/>
      <c r="KFD13" s="46"/>
      <c r="KFE13" s="46"/>
      <c r="KFF13" s="46"/>
      <c r="KFG13" s="46"/>
      <c r="KFH13" s="46"/>
      <c r="KFI13" s="46"/>
      <c r="KFJ13" s="46"/>
      <c r="KFK13" s="46"/>
      <c r="KFL13" s="46"/>
      <c r="KFM13" s="46"/>
      <c r="KFN13" s="46"/>
      <c r="KFO13" s="46"/>
      <c r="KFP13" s="46"/>
      <c r="KFQ13" s="46"/>
      <c r="KFR13" s="46"/>
      <c r="KFS13" s="46"/>
      <c r="KFT13" s="46"/>
      <c r="KFU13" s="46"/>
      <c r="KFV13" s="46"/>
      <c r="KFW13" s="46"/>
      <c r="KFX13" s="46"/>
      <c r="KFY13" s="46"/>
      <c r="KFZ13" s="46"/>
      <c r="KGA13" s="46"/>
      <c r="KGB13" s="46"/>
      <c r="KGC13" s="46"/>
      <c r="KGD13" s="46"/>
      <c r="KGE13" s="46"/>
      <c r="KGF13" s="46"/>
      <c r="KGG13" s="46"/>
      <c r="KGH13" s="46"/>
      <c r="KGI13" s="46"/>
      <c r="KGJ13" s="46"/>
      <c r="KGK13" s="46"/>
      <c r="KGL13" s="46"/>
      <c r="KGM13" s="46"/>
      <c r="KGN13" s="46"/>
      <c r="KGO13" s="46"/>
      <c r="KGP13" s="46"/>
      <c r="KGQ13" s="46"/>
      <c r="KGR13" s="46"/>
      <c r="KGS13" s="46"/>
      <c r="KGT13" s="46"/>
      <c r="KGU13" s="46"/>
      <c r="KGV13" s="46"/>
      <c r="KGW13" s="46"/>
      <c r="KGX13" s="46"/>
      <c r="KGY13" s="46"/>
      <c r="KGZ13" s="46"/>
      <c r="KHA13" s="46"/>
      <c r="KHB13" s="46"/>
      <c r="KHC13" s="46"/>
      <c r="KHD13" s="46"/>
      <c r="KHE13" s="46"/>
      <c r="KHF13" s="46"/>
      <c r="KHG13" s="46"/>
      <c r="KHH13" s="46"/>
      <c r="KHI13" s="46"/>
      <c r="KHJ13" s="46"/>
      <c r="KHK13" s="46"/>
      <c r="KHL13" s="46"/>
      <c r="KHM13" s="46"/>
      <c r="KHN13" s="46"/>
      <c r="KHO13" s="46"/>
      <c r="KHP13" s="46"/>
      <c r="KHQ13" s="46"/>
      <c r="KHR13" s="46"/>
      <c r="KHS13" s="46"/>
      <c r="KHT13" s="46"/>
      <c r="KHU13" s="46"/>
      <c r="KHV13" s="46"/>
      <c r="KHW13" s="46"/>
      <c r="KHX13" s="46"/>
      <c r="KHY13" s="46"/>
      <c r="KHZ13" s="46"/>
      <c r="KIA13" s="46"/>
      <c r="KIB13" s="46"/>
      <c r="KIC13" s="46"/>
      <c r="KID13" s="46"/>
      <c r="KIE13" s="46"/>
      <c r="KIF13" s="46"/>
      <c r="KIG13" s="46"/>
      <c r="KIH13" s="46"/>
      <c r="KII13" s="46"/>
      <c r="KIJ13" s="46"/>
      <c r="KIK13" s="46"/>
      <c r="KIL13" s="46"/>
      <c r="KIM13" s="46"/>
      <c r="KIN13" s="46"/>
      <c r="KIO13" s="46"/>
      <c r="KIP13" s="46"/>
      <c r="KIQ13" s="46"/>
      <c r="KIR13" s="46"/>
      <c r="KIS13" s="46"/>
      <c r="KIT13" s="46"/>
      <c r="KIU13" s="46"/>
      <c r="KIV13" s="46"/>
      <c r="KIW13" s="46"/>
      <c r="KIX13" s="46"/>
      <c r="KIY13" s="46"/>
      <c r="KIZ13" s="46"/>
      <c r="KJA13" s="46"/>
      <c r="KJB13" s="46"/>
      <c r="KJC13" s="46"/>
      <c r="KJD13" s="46"/>
      <c r="KJE13" s="46"/>
      <c r="KJF13" s="46"/>
      <c r="KJG13" s="46"/>
      <c r="KJH13" s="46"/>
      <c r="KJI13" s="46"/>
      <c r="KJJ13" s="46"/>
      <c r="KJK13" s="46"/>
      <c r="KJL13" s="46"/>
      <c r="KJM13" s="46"/>
      <c r="KJN13" s="46"/>
      <c r="KJO13" s="46"/>
      <c r="KJP13" s="46"/>
      <c r="KJQ13" s="46"/>
      <c r="KJR13" s="46"/>
      <c r="KJS13" s="46"/>
      <c r="KJT13" s="46"/>
      <c r="KJU13" s="46"/>
      <c r="KJV13" s="46"/>
      <c r="KJW13" s="46"/>
      <c r="KJX13" s="46"/>
      <c r="KJY13" s="46"/>
      <c r="KJZ13" s="46"/>
      <c r="KKA13" s="46"/>
      <c r="KKB13" s="46"/>
      <c r="KKC13" s="46"/>
      <c r="KKD13" s="46"/>
      <c r="KKE13" s="46"/>
      <c r="KKF13" s="46"/>
      <c r="KKG13" s="46"/>
      <c r="KKH13" s="46"/>
      <c r="KKI13" s="46"/>
      <c r="KKJ13" s="46"/>
      <c r="KKK13" s="46"/>
      <c r="KKL13" s="46"/>
      <c r="KKM13" s="46"/>
      <c r="KKN13" s="46"/>
      <c r="KKO13" s="46"/>
      <c r="KKP13" s="46"/>
      <c r="KKQ13" s="46"/>
      <c r="KKR13" s="46"/>
      <c r="KKS13" s="46"/>
      <c r="KKT13" s="46"/>
      <c r="KKU13" s="46"/>
      <c r="KKV13" s="46"/>
      <c r="KKW13" s="46"/>
      <c r="KKX13" s="46"/>
      <c r="KKY13" s="46"/>
      <c r="KKZ13" s="46"/>
      <c r="KLA13" s="46"/>
      <c r="KLB13" s="46"/>
      <c r="KLC13" s="46"/>
      <c r="KLD13" s="46"/>
      <c r="KLE13" s="46"/>
      <c r="KLF13" s="46"/>
      <c r="KLG13" s="46"/>
      <c r="KLH13" s="46"/>
      <c r="KLI13" s="46"/>
      <c r="KLJ13" s="46"/>
      <c r="KLK13" s="46"/>
      <c r="KLL13" s="46"/>
      <c r="KLM13" s="46"/>
      <c r="KLN13" s="46"/>
      <c r="KLO13" s="46"/>
      <c r="KLP13" s="46"/>
      <c r="KLQ13" s="46"/>
      <c r="KLR13" s="46"/>
      <c r="KLS13" s="46"/>
      <c r="KLT13" s="46"/>
      <c r="KLU13" s="46"/>
      <c r="KLV13" s="46"/>
      <c r="KLW13" s="46"/>
      <c r="KLX13" s="46"/>
      <c r="KLY13" s="46"/>
      <c r="KLZ13" s="46"/>
      <c r="KMA13" s="46"/>
      <c r="KMB13" s="46"/>
      <c r="KMC13" s="46"/>
      <c r="KMD13" s="46"/>
      <c r="KME13" s="46"/>
      <c r="KMF13" s="46"/>
      <c r="KMG13" s="46"/>
      <c r="KMH13" s="46"/>
      <c r="KMI13" s="46"/>
      <c r="KMJ13" s="46"/>
      <c r="KMK13" s="46"/>
      <c r="KML13" s="46"/>
      <c r="KMM13" s="46"/>
      <c r="KMN13" s="46"/>
      <c r="KMO13" s="46"/>
      <c r="KMP13" s="46"/>
      <c r="KMQ13" s="46"/>
      <c r="KMR13" s="46"/>
      <c r="KMS13" s="46"/>
      <c r="KMT13" s="46"/>
      <c r="KMU13" s="46"/>
      <c r="KMV13" s="46"/>
      <c r="KMW13" s="46"/>
      <c r="KMX13" s="46"/>
      <c r="KMY13" s="46"/>
      <c r="KMZ13" s="46"/>
      <c r="KNA13" s="46"/>
      <c r="KNB13" s="46"/>
      <c r="KNC13" s="46"/>
      <c r="KND13" s="46"/>
      <c r="KNE13" s="46"/>
      <c r="KNF13" s="46"/>
      <c r="KNG13" s="46"/>
      <c r="KNH13" s="46"/>
      <c r="KNI13" s="46"/>
      <c r="KNJ13" s="46"/>
      <c r="KNK13" s="46"/>
      <c r="KNL13" s="46"/>
      <c r="KNM13" s="46"/>
      <c r="KNN13" s="46"/>
      <c r="KNO13" s="46"/>
      <c r="KNP13" s="46"/>
      <c r="KNQ13" s="46"/>
      <c r="KNR13" s="46"/>
      <c r="KNS13" s="46"/>
      <c r="KNT13" s="46"/>
      <c r="KNU13" s="46"/>
      <c r="KNV13" s="46"/>
      <c r="KNW13" s="46"/>
      <c r="KNX13" s="46"/>
      <c r="KNY13" s="46"/>
      <c r="KNZ13" s="46"/>
      <c r="KOA13" s="46"/>
      <c r="KOB13" s="46"/>
      <c r="KOC13" s="46"/>
      <c r="KOD13" s="46"/>
      <c r="KOE13" s="46"/>
      <c r="KOF13" s="46"/>
      <c r="KOG13" s="46"/>
      <c r="KOH13" s="46"/>
      <c r="KOI13" s="46"/>
      <c r="KOJ13" s="46"/>
      <c r="KOK13" s="46"/>
      <c r="KOL13" s="46"/>
      <c r="KOM13" s="46"/>
      <c r="KON13" s="46"/>
      <c r="KOO13" s="46"/>
      <c r="KOP13" s="46"/>
      <c r="KOQ13" s="46"/>
      <c r="KOR13" s="46"/>
      <c r="KOS13" s="46"/>
      <c r="KOT13" s="46"/>
      <c r="KOU13" s="46"/>
      <c r="KOV13" s="46"/>
      <c r="KOW13" s="46"/>
      <c r="KOX13" s="46"/>
      <c r="KOY13" s="46"/>
      <c r="KOZ13" s="46"/>
      <c r="KPA13" s="46"/>
      <c r="KPB13" s="46"/>
      <c r="KPC13" s="46"/>
      <c r="KPD13" s="46"/>
      <c r="KPE13" s="46"/>
      <c r="KPF13" s="46"/>
      <c r="KPG13" s="46"/>
      <c r="KPH13" s="46"/>
      <c r="KPI13" s="46"/>
      <c r="KPJ13" s="46"/>
      <c r="KPK13" s="46"/>
      <c r="KPL13" s="46"/>
      <c r="KPM13" s="46"/>
      <c r="KPN13" s="46"/>
      <c r="KPO13" s="46"/>
      <c r="KPP13" s="46"/>
      <c r="KPQ13" s="46"/>
      <c r="KPR13" s="46"/>
      <c r="KPS13" s="46"/>
      <c r="KPT13" s="46"/>
      <c r="KPU13" s="46"/>
      <c r="KPV13" s="46"/>
      <c r="KPW13" s="46"/>
      <c r="KPX13" s="46"/>
      <c r="KPY13" s="46"/>
      <c r="KPZ13" s="46"/>
      <c r="KQA13" s="46"/>
      <c r="KQB13" s="46"/>
      <c r="KQC13" s="46"/>
      <c r="KQD13" s="46"/>
      <c r="KQE13" s="46"/>
      <c r="KQF13" s="46"/>
      <c r="KQG13" s="46"/>
      <c r="KQH13" s="46"/>
      <c r="KQI13" s="46"/>
      <c r="KQJ13" s="46"/>
      <c r="KQK13" s="46"/>
      <c r="KQL13" s="46"/>
      <c r="KQM13" s="46"/>
      <c r="KQN13" s="46"/>
      <c r="KQO13" s="46"/>
      <c r="KQP13" s="46"/>
      <c r="KQQ13" s="46"/>
      <c r="KQR13" s="46"/>
      <c r="KQS13" s="46"/>
      <c r="KQT13" s="46"/>
      <c r="KQU13" s="46"/>
      <c r="KQV13" s="46"/>
      <c r="KQW13" s="46"/>
      <c r="KQX13" s="46"/>
      <c r="KQY13" s="46"/>
      <c r="KQZ13" s="46"/>
      <c r="KRA13" s="46"/>
      <c r="KRB13" s="46"/>
      <c r="KRC13" s="46"/>
      <c r="KRD13" s="46"/>
      <c r="KRE13" s="46"/>
      <c r="KRF13" s="46"/>
      <c r="KRG13" s="46"/>
      <c r="KRH13" s="46"/>
      <c r="KRI13" s="46"/>
      <c r="KRJ13" s="46"/>
      <c r="KRK13" s="46"/>
      <c r="KRL13" s="46"/>
      <c r="KRM13" s="46"/>
      <c r="KRN13" s="46"/>
      <c r="KRO13" s="46"/>
      <c r="KRP13" s="46"/>
      <c r="KRQ13" s="46"/>
      <c r="KRR13" s="46"/>
      <c r="KRS13" s="46"/>
      <c r="KRT13" s="46"/>
      <c r="KRU13" s="46"/>
      <c r="KRV13" s="46"/>
      <c r="KRW13" s="46"/>
      <c r="KRX13" s="46"/>
      <c r="KRY13" s="46"/>
      <c r="KRZ13" s="46"/>
      <c r="KSA13" s="46"/>
      <c r="KSB13" s="46"/>
      <c r="KSC13" s="46"/>
      <c r="KSD13" s="46"/>
      <c r="KSE13" s="46"/>
      <c r="KSF13" s="46"/>
      <c r="KSG13" s="46"/>
      <c r="KSH13" s="46"/>
      <c r="KSI13" s="46"/>
      <c r="KSJ13" s="46"/>
      <c r="KSK13" s="46"/>
      <c r="KSL13" s="46"/>
      <c r="KSM13" s="46"/>
      <c r="KSN13" s="46"/>
      <c r="KSO13" s="46"/>
      <c r="KSP13" s="46"/>
      <c r="KSQ13" s="46"/>
      <c r="KSR13" s="46"/>
      <c r="KSS13" s="46"/>
      <c r="KST13" s="46"/>
      <c r="KSU13" s="46"/>
      <c r="KSV13" s="46"/>
      <c r="KSW13" s="46"/>
      <c r="KSX13" s="46"/>
      <c r="KSY13" s="46"/>
      <c r="KSZ13" s="46"/>
      <c r="KTA13" s="46"/>
      <c r="KTB13" s="46"/>
      <c r="KTC13" s="46"/>
      <c r="KTD13" s="46"/>
      <c r="KTE13" s="46"/>
      <c r="KTF13" s="46"/>
      <c r="KTG13" s="46"/>
      <c r="KTH13" s="46"/>
      <c r="KTI13" s="46"/>
      <c r="KTJ13" s="46"/>
      <c r="KTK13" s="46"/>
      <c r="KTL13" s="46"/>
      <c r="KTM13" s="46"/>
      <c r="KTN13" s="46"/>
      <c r="KTO13" s="46"/>
      <c r="KTP13" s="46"/>
      <c r="KTQ13" s="46"/>
      <c r="KTR13" s="46"/>
      <c r="KTS13" s="46"/>
      <c r="KTT13" s="46"/>
      <c r="KTU13" s="46"/>
      <c r="KTV13" s="46"/>
      <c r="KTW13" s="46"/>
      <c r="KTX13" s="46"/>
      <c r="KTY13" s="46"/>
      <c r="KTZ13" s="46"/>
      <c r="KUA13" s="46"/>
      <c r="KUB13" s="46"/>
      <c r="KUC13" s="46"/>
      <c r="KUD13" s="46"/>
      <c r="KUE13" s="46"/>
      <c r="KUF13" s="46"/>
      <c r="KUG13" s="46"/>
      <c r="KUH13" s="46"/>
      <c r="KUI13" s="46"/>
      <c r="KUJ13" s="46"/>
      <c r="KUK13" s="46"/>
      <c r="KUL13" s="46"/>
      <c r="KUM13" s="46"/>
      <c r="KUN13" s="46"/>
      <c r="KUO13" s="46"/>
      <c r="KUP13" s="46"/>
      <c r="KUQ13" s="46"/>
      <c r="KUR13" s="46"/>
      <c r="KUS13" s="46"/>
      <c r="KUT13" s="46"/>
      <c r="KUU13" s="46"/>
      <c r="KUV13" s="46"/>
      <c r="KUW13" s="46"/>
      <c r="KUX13" s="46"/>
      <c r="KUY13" s="46"/>
      <c r="KUZ13" s="46"/>
      <c r="KVA13" s="46"/>
      <c r="KVB13" s="46"/>
      <c r="KVC13" s="46"/>
      <c r="KVD13" s="46"/>
      <c r="KVE13" s="46"/>
      <c r="KVF13" s="46"/>
      <c r="KVG13" s="46"/>
      <c r="KVH13" s="46"/>
      <c r="KVI13" s="46"/>
      <c r="KVJ13" s="46"/>
      <c r="KVK13" s="46"/>
      <c r="KVL13" s="46"/>
      <c r="KVM13" s="46"/>
      <c r="KVN13" s="46"/>
      <c r="KVO13" s="46"/>
      <c r="KVP13" s="46"/>
      <c r="KVQ13" s="46"/>
      <c r="KVR13" s="46"/>
      <c r="KVS13" s="46"/>
      <c r="KVT13" s="46"/>
      <c r="KVU13" s="46"/>
      <c r="KVV13" s="46"/>
      <c r="KVW13" s="46"/>
      <c r="KVX13" s="46"/>
      <c r="KVY13" s="46"/>
      <c r="KVZ13" s="46"/>
      <c r="KWA13" s="46"/>
      <c r="KWB13" s="46"/>
      <c r="KWC13" s="46"/>
      <c r="KWD13" s="46"/>
      <c r="KWE13" s="46"/>
      <c r="KWF13" s="46"/>
      <c r="KWG13" s="46"/>
      <c r="KWH13" s="46"/>
      <c r="KWI13" s="46"/>
      <c r="KWJ13" s="46"/>
      <c r="KWK13" s="46"/>
      <c r="KWL13" s="46"/>
      <c r="KWM13" s="46"/>
      <c r="KWN13" s="46"/>
      <c r="KWO13" s="46"/>
      <c r="KWP13" s="46"/>
      <c r="KWQ13" s="46"/>
      <c r="KWR13" s="46"/>
      <c r="KWS13" s="46"/>
      <c r="KWT13" s="46"/>
      <c r="KWU13" s="46"/>
      <c r="KWV13" s="46"/>
      <c r="KWW13" s="46"/>
      <c r="KWX13" s="46"/>
      <c r="KWY13" s="46"/>
      <c r="KWZ13" s="46"/>
      <c r="KXA13" s="46"/>
      <c r="KXB13" s="46"/>
      <c r="KXC13" s="46"/>
      <c r="KXD13" s="46"/>
      <c r="KXE13" s="46"/>
      <c r="KXF13" s="46"/>
      <c r="KXG13" s="46"/>
      <c r="KXH13" s="46"/>
      <c r="KXI13" s="46"/>
      <c r="KXJ13" s="46"/>
      <c r="KXK13" s="46"/>
      <c r="KXL13" s="46"/>
      <c r="KXM13" s="46"/>
      <c r="KXN13" s="46"/>
      <c r="KXO13" s="46"/>
      <c r="KXP13" s="46"/>
      <c r="KXQ13" s="46"/>
      <c r="KXR13" s="46"/>
      <c r="KXS13" s="46"/>
      <c r="KXT13" s="46"/>
      <c r="KXU13" s="46"/>
      <c r="KXV13" s="46"/>
      <c r="KXW13" s="46"/>
      <c r="KXX13" s="46"/>
      <c r="KXY13" s="46"/>
      <c r="KXZ13" s="46"/>
      <c r="KYA13" s="46"/>
      <c r="KYB13" s="46"/>
      <c r="KYC13" s="46"/>
      <c r="KYD13" s="46"/>
      <c r="KYE13" s="46"/>
      <c r="KYF13" s="46"/>
      <c r="KYG13" s="46"/>
      <c r="KYH13" s="46"/>
      <c r="KYI13" s="46"/>
      <c r="KYJ13" s="46"/>
      <c r="KYK13" s="46"/>
      <c r="KYL13" s="46"/>
      <c r="KYM13" s="46"/>
      <c r="KYN13" s="46"/>
      <c r="KYO13" s="46"/>
      <c r="KYP13" s="46"/>
      <c r="KYQ13" s="46"/>
      <c r="KYR13" s="46"/>
      <c r="KYS13" s="46"/>
      <c r="KYT13" s="46"/>
      <c r="KYU13" s="46"/>
      <c r="KYV13" s="46"/>
      <c r="KYW13" s="46"/>
      <c r="KYX13" s="46"/>
      <c r="KYY13" s="46"/>
      <c r="KYZ13" s="46"/>
      <c r="KZA13" s="46"/>
      <c r="KZB13" s="46"/>
      <c r="KZC13" s="46"/>
      <c r="KZD13" s="46"/>
      <c r="KZE13" s="46"/>
      <c r="KZF13" s="46"/>
      <c r="KZG13" s="46"/>
      <c r="KZH13" s="46"/>
      <c r="KZI13" s="46"/>
      <c r="KZJ13" s="46"/>
      <c r="KZK13" s="46"/>
      <c r="KZL13" s="46"/>
      <c r="KZM13" s="46"/>
      <c r="KZN13" s="46"/>
      <c r="KZO13" s="46"/>
      <c r="KZP13" s="46"/>
      <c r="KZQ13" s="46"/>
      <c r="KZR13" s="46"/>
      <c r="KZS13" s="46"/>
      <c r="KZT13" s="46"/>
      <c r="KZU13" s="46"/>
      <c r="KZV13" s="46"/>
      <c r="KZW13" s="46"/>
      <c r="KZX13" s="46"/>
      <c r="KZY13" s="46"/>
      <c r="KZZ13" s="46"/>
      <c r="LAA13" s="46"/>
      <c r="LAB13" s="46"/>
      <c r="LAC13" s="46"/>
      <c r="LAD13" s="46"/>
      <c r="LAE13" s="46"/>
      <c r="LAF13" s="46"/>
      <c r="LAG13" s="46"/>
      <c r="LAH13" s="46"/>
      <c r="LAI13" s="46"/>
      <c r="LAJ13" s="46"/>
      <c r="LAK13" s="46"/>
      <c r="LAL13" s="46"/>
      <c r="LAM13" s="46"/>
      <c r="LAN13" s="46"/>
      <c r="LAO13" s="46"/>
      <c r="LAP13" s="46"/>
      <c r="LAQ13" s="46"/>
      <c r="LAR13" s="46"/>
      <c r="LAS13" s="46"/>
      <c r="LAT13" s="46"/>
      <c r="LAU13" s="46"/>
      <c r="LAV13" s="46"/>
      <c r="LAW13" s="46"/>
      <c r="LAX13" s="46"/>
      <c r="LAY13" s="46"/>
      <c r="LAZ13" s="46"/>
      <c r="LBA13" s="46"/>
      <c r="LBB13" s="46"/>
      <c r="LBC13" s="46"/>
      <c r="LBD13" s="46"/>
      <c r="LBE13" s="46"/>
      <c r="LBF13" s="46"/>
      <c r="LBG13" s="46"/>
      <c r="LBH13" s="46"/>
      <c r="LBI13" s="46"/>
      <c r="LBJ13" s="46"/>
      <c r="LBK13" s="46"/>
      <c r="LBL13" s="46"/>
      <c r="LBM13" s="46"/>
      <c r="LBN13" s="46"/>
      <c r="LBO13" s="46"/>
      <c r="LBP13" s="46"/>
      <c r="LBQ13" s="46"/>
      <c r="LBR13" s="46"/>
      <c r="LBS13" s="46"/>
      <c r="LBT13" s="46"/>
      <c r="LBU13" s="46"/>
      <c r="LBV13" s="46"/>
      <c r="LBW13" s="46"/>
      <c r="LBX13" s="46"/>
      <c r="LBY13" s="46"/>
      <c r="LBZ13" s="46"/>
      <c r="LCA13" s="46"/>
      <c r="LCB13" s="46"/>
      <c r="LCC13" s="46"/>
      <c r="LCD13" s="46"/>
      <c r="LCE13" s="46"/>
      <c r="LCF13" s="46"/>
      <c r="LCG13" s="46"/>
      <c r="LCH13" s="46"/>
      <c r="LCI13" s="46"/>
      <c r="LCJ13" s="46"/>
      <c r="LCK13" s="46"/>
      <c r="LCL13" s="46"/>
      <c r="LCM13" s="46"/>
      <c r="LCN13" s="46"/>
      <c r="LCO13" s="46"/>
      <c r="LCP13" s="46"/>
      <c r="LCQ13" s="46"/>
      <c r="LCR13" s="46"/>
      <c r="LCS13" s="46"/>
      <c r="LCT13" s="46"/>
      <c r="LCU13" s="46"/>
      <c r="LCV13" s="46"/>
      <c r="LCW13" s="46"/>
      <c r="LCX13" s="46"/>
      <c r="LCY13" s="46"/>
      <c r="LCZ13" s="46"/>
      <c r="LDA13" s="46"/>
      <c r="LDB13" s="46"/>
      <c r="LDC13" s="46"/>
      <c r="LDD13" s="46"/>
      <c r="LDE13" s="46"/>
      <c r="LDF13" s="46"/>
      <c r="LDG13" s="46"/>
      <c r="LDH13" s="46"/>
      <c r="LDI13" s="46"/>
      <c r="LDJ13" s="46"/>
      <c r="LDK13" s="46"/>
      <c r="LDL13" s="46"/>
      <c r="LDM13" s="46"/>
      <c r="LDN13" s="46"/>
      <c r="LDO13" s="46"/>
      <c r="LDP13" s="46"/>
      <c r="LDQ13" s="46"/>
      <c r="LDR13" s="46"/>
      <c r="LDS13" s="46"/>
      <c r="LDT13" s="46"/>
      <c r="LDU13" s="46"/>
      <c r="LDV13" s="46"/>
      <c r="LDW13" s="46"/>
      <c r="LDX13" s="46"/>
      <c r="LDY13" s="46"/>
      <c r="LDZ13" s="46"/>
      <c r="LEA13" s="46"/>
      <c r="LEB13" s="46"/>
      <c r="LEC13" s="46"/>
      <c r="LED13" s="46"/>
      <c r="LEE13" s="46"/>
      <c r="LEF13" s="46"/>
      <c r="LEG13" s="46"/>
      <c r="LEH13" s="46"/>
      <c r="LEI13" s="46"/>
      <c r="LEJ13" s="46"/>
      <c r="LEK13" s="46"/>
      <c r="LEL13" s="46"/>
      <c r="LEM13" s="46"/>
      <c r="LEN13" s="46"/>
      <c r="LEO13" s="46"/>
      <c r="LEP13" s="46"/>
      <c r="LEQ13" s="46"/>
      <c r="LER13" s="46"/>
      <c r="LES13" s="46"/>
      <c r="LET13" s="46"/>
      <c r="LEU13" s="46"/>
      <c r="LEV13" s="46"/>
      <c r="LEW13" s="46"/>
      <c r="LEX13" s="46"/>
      <c r="LEY13" s="46"/>
      <c r="LEZ13" s="46"/>
      <c r="LFA13" s="46"/>
      <c r="LFB13" s="46"/>
      <c r="LFC13" s="46"/>
      <c r="LFD13" s="46"/>
      <c r="LFE13" s="46"/>
      <c r="LFF13" s="46"/>
      <c r="LFG13" s="46"/>
      <c r="LFH13" s="46"/>
      <c r="LFI13" s="46"/>
      <c r="LFJ13" s="46"/>
      <c r="LFK13" s="46"/>
      <c r="LFL13" s="46"/>
      <c r="LFM13" s="46"/>
      <c r="LFN13" s="46"/>
      <c r="LFO13" s="46"/>
      <c r="LFP13" s="46"/>
      <c r="LFQ13" s="46"/>
      <c r="LFR13" s="46"/>
      <c r="LFS13" s="46"/>
      <c r="LFT13" s="46"/>
      <c r="LFU13" s="46"/>
      <c r="LFV13" s="46"/>
      <c r="LFW13" s="46"/>
      <c r="LFX13" s="46"/>
      <c r="LFY13" s="46"/>
      <c r="LFZ13" s="46"/>
      <c r="LGA13" s="46"/>
      <c r="LGB13" s="46"/>
      <c r="LGC13" s="46"/>
      <c r="LGD13" s="46"/>
      <c r="LGE13" s="46"/>
      <c r="LGF13" s="46"/>
      <c r="LGG13" s="46"/>
      <c r="LGH13" s="46"/>
      <c r="LGI13" s="46"/>
      <c r="LGJ13" s="46"/>
      <c r="LGK13" s="46"/>
      <c r="LGL13" s="46"/>
      <c r="LGM13" s="46"/>
      <c r="LGN13" s="46"/>
      <c r="LGO13" s="46"/>
      <c r="LGP13" s="46"/>
      <c r="LGQ13" s="46"/>
      <c r="LGR13" s="46"/>
      <c r="LGS13" s="46"/>
      <c r="LGT13" s="46"/>
      <c r="LGU13" s="46"/>
      <c r="LGV13" s="46"/>
      <c r="LGW13" s="46"/>
      <c r="LGX13" s="46"/>
      <c r="LGY13" s="46"/>
      <c r="LGZ13" s="46"/>
      <c r="LHA13" s="46"/>
      <c r="LHB13" s="46"/>
      <c r="LHC13" s="46"/>
      <c r="LHD13" s="46"/>
      <c r="LHE13" s="46"/>
      <c r="LHF13" s="46"/>
      <c r="LHG13" s="46"/>
      <c r="LHH13" s="46"/>
      <c r="LHI13" s="46"/>
      <c r="LHJ13" s="46"/>
      <c r="LHK13" s="46"/>
      <c r="LHL13" s="46"/>
      <c r="LHM13" s="46"/>
      <c r="LHN13" s="46"/>
      <c r="LHO13" s="46"/>
      <c r="LHP13" s="46"/>
      <c r="LHQ13" s="46"/>
      <c r="LHR13" s="46"/>
      <c r="LHS13" s="46"/>
      <c r="LHT13" s="46"/>
      <c r="LHU13" s="46"/>
      <c r="LHV13" s="46"/>
      <c r="LHW13" s="46"/>
      <c r="LHX13" s="46"/>
      <c r="LHY13" s="46"/>
      <c r="LHZ13" s="46"/>
      <c r="LIA13" s="46"/>
      <c r="LIB13" s="46"/>
      <c r="LIC13" s="46"/>
      <c r="LID13" s="46"/>
      <c r="LIE13" s="46"/>
      <c r="LIF13" s="46"/>
      <c r="LIG13" s="46"/>
      <c r="LIH13" s="46"/>
      <c r="LII13" s="46"/>
      <c r="LIJ13" s="46"/>
      <c r="LIK13" s="46"/>
      <c r="LIL13" s="46"/>
      <c r="LIM13" s="46"/>
      <c r="LIN13" s="46"/>
      <c r="LIO13" s="46"/>
      <c r="LIP13" s="46"/>
      <c r="LIQ13" s="46"/>
      <c r="LIR13" s="46"/>
      <c r="LIS13" s="46"/>
      <c r="LIT13" s="46"/>
      <c r="LIU13" s="46"/>
      <c r="LIV13" s="46"/>
      <c r="LIW13" s="46"/>
      <c r="LIX13" s="46"/>
      <c r="LIY13" s="46"/>
      <c r="LIZ13" s="46"/>
      <c r="LJA13" s="46"/>
      <c r="LJB13" s="46"/>
      <c r="LJC13" s="46"/>
      <c r="LJD13" s="46"/>
      <c r="LJE13" s="46"/>
      <c r="LJF13" s="46"/>
      <c r="LJG13" s="46"/>
      <c r="LJH13" s="46"/>
      <c r="LJI13" s="46"/>
      <c r="LJJ13" s="46"/>
      <c r="LJK13" s="46"/>
      <c r="LJL13" s="46"/>
      <c r="LJM13" s="46"/>
      <c r="LJN13" s="46"/>
      <c r="LJO13" s="46"/>
      <c r="LJP13" s="46"/>
      <c r="LJQ13" s="46"/>
      <c r="LJR13" s="46"/>
      <c r="LJS13" s="46"/>
      <c r="LJT13" s="46"/>
      <c r="LJU13" s="46"/>
      <c r="LJV13" s="46"/>
      <c r="LJW13" s="46"/>
      <c r="LJX13" s="46"/>
      <c r="LJY13" s="46"/>
      <c r="LJZ13" s="46"/>
      <c r="LKA13" s="46"/>
      <c r="LKB13" s="46"/>
      <c r="LKC13" s="46"/>
      <c r="LKD13" s="46"/>
      <c r="LKE13" s="46"/>
      <c r="LKF13" s="46"/>
      <c r="LKG13" s="46"/>
      <c r="LKH13" s="46"/>
      <c r="LKI13" s="46"/>
      <c r="LKJ13" s="46"/>
      <c r="LKK13" s="46"/>
      <c r="LKL13" s="46"/>
      <c r="LKM13" s="46"/>
      <c r="LKN13" s="46"/>
      <c r="LKO13" s="46"/>
      <c r="LKP13" s="46"/>
      <c r="LKQ13" s="46"/>
      <c r="LKR13" s="46"/>
      <c r="LKS13" s="46"/>
      <c r="LKT13" s="46"/>
      <c r="LKU13" s="46"/>
      <c r="LKV13" s="46"/>
      <c r="LKW13" s="46"/>
      <c r="LKX13" s="46"/>
      <c r="LKY13" s="46"/>
      <c r="LKZ13" s="46"/>
      <c r="LLA13" s="46"/>
      <c r="LLB13" s="46"/>
      <c r="LLC13" s="46"/>
      <c r="LLD13" s="46"/>
      <c r="LLE13" s="46"/>
      <c r="LLF13" s="46"/>
      <c r="LLG13" s="46"/>
      <c r="LLH13" s="46"/>
      <c r="LLI13" s="46"/>
      <c r="LLJ13" s="46"/>
      <c r="LLK13" s="46"/>
      <c r="LLL13" s="46"/>
      <c r="LLM13" s="46"/>
      <c r="LLN13" s="46"/>
      <c r="LLO13" s="46"/>
      <c r="LLP13" s="46"/>
      <c r="LLQ13" s="46"/>
      <c r="LLR13" s="46"/>
      <c r="LLS13" s="46"/>
      <c r="LLT13" s="46"/>
      <c r="LLU13" s="46"/>
      <c r="LLV13" s="46"/>
      <c r="LLW13" s="46"/>
      <c r="LLX13" s="46"/>
      <c r="LLY13" s="46"/>
      <c r="LLZ13" s="46"/>
      <c r="LMA13" s="46"/>
      <c r="LMB13" s="46"/>
      <c r="LMC13" s="46"/>
      <c r="LMD13" s="46"/>
      <c r="LME13" s="46"/>
      <c r="LMF13" s="46"/>
      <c r="LMG13" s="46"/>
      <c r="LMH13" s="46"/>
      <c r="LMI13" s="46"/>
      <c r="LMJ13" s="46"/>
      <c r="LMK13" s="46"/>
      <c r="LML13" s="46"/>
      <c r="LMM13" s="46"/>
      <c r="LMN13" s="46"/>
      <c r="LMO13" s="46"/>
      <c r="LMP13" s="46"/>
      <c r="LMQ13" s="46"/>
      <c r="LMR13" s="46"/>
      <c r="LMS13" s="46"/>
      <c r="LMT13" s="46"/>
      <c r="LMU13" s="46"/>
      <c r="LMV13" s="46"/>
      <c r="LMW13" s="46"/>
      <c r="LMX13" s="46"/>
      <c r="LMY13" s="46"/>
      <c r="LMZ13" s="46"/>
      <c r="LNA13" s="46"/>
      <c r="LNB13" s="46"/>
      <c r="LNC13" s="46"/>
      <c r="LND13" s="46"/>
      <c r="LNE13" s="46"/>
      <c r="LNF13" s="46"/>
      <c r="LNG13" s="46"/>
      <c r="LNH13" s="46"/>
      <c r="LNI13" s="46"/>
      <c r="LNJ13" s="46"/>
      <c r="LNK13" s="46"/>
      <c r="LNL13" s="46"/>
      <c r="LNM13" s="46"/>
      <c r="LNN13" s="46"/>
      <c r="LNO13" s="46"/>
      <c r="LNP13" s="46"/>
      <c r="LNQ13" s="46"/>
      <c r="LNR13" s="46"/>
      <c r="LNS13" s="46"/>
      <c r="LNT13" s="46"/>
      <c r="LNU13" s="46"/>
      <c r="LNV13" s="46"/>
      <c r="LNW13" s="46"/>
      <c r="LNX13" s="46"/>
      <c r="LNY13" s="46"/>
      <c r="LNZ13" s="46"/>
      <c r="LOA13" s="46"/>
      <c r="LOB13" s="46"/>
      <c r="LOC13" s="46"/>
      <c r="LOD13" s="46"/>
      <c r="LOE13" s="46"/>
      <c r="LOF13" s="46"/>
      <c r="LOG13" s="46"/>
      <c r="LOH13" s="46"/>
      <c r="LOI13" s="46"/>
      <c r="LOJ13" s="46"/>
      <c r="LOK13" s="46"/>
      <c r="LOL13" s="46"/>
      <c r="LOM13" s="46"/>
      <c r="LON13" s="46"/>
      <c r="LOO13" s="46"/>
      <c r="LOP13" s="46"/>
      <c r="LOQ13" s="46"/>
      <c r="LOR13" s="46"/>
      <c r="LOS13" s="46"/>
      <c r="LOT13" s="46"/>
      <c r="LOU13" s="46"/>
      <c r="LOV13" s="46"/>
      <c r="LOW13" s="46"/>
      <c r="LOX13" s="46"/>
      <c r="LOY13" s="46"/>
      <c r="LOZ13" s="46"/>
      <c r="LPA13" s="46"/>
      <c r="LPB13" s="46"/>
      <c r="LPC13" s="46"/>
      <c r="LPD13" s="46"/>
      <c r="LPE13" s="46"/>
      <c r="LPF13" s="46"/>
      <c r="LPG13" s="46"/>
      <c r="LPH13" s="46"/>
      <c r="LPI13" s="46"/>
      <c r="LPJ13" s="46"/>
      <c r="LPK13" s="46"/>
      <c r="LPL13" s="46"/>
      <c r="LPM13" s="46"/>
      <c r="LPN13" s="46"/>
      <c r="LPO13" s="46"/>
      <c r="LPP13" s="46"/>
      <c r="LPQ13" s="46"/>
      <c r="LPR13" s="46"/>
      <c r="LPS13" s="46"/>
      <c r="LPT13" s="46"/>
      <c r="LPU13" s="46"/>
      <c r="LPV13" s="46"/>
      <c r="LPW13" s="46"/>
      <c r="LPX13" s="46"/>
      <c r="LPY13" s="46"/>
      <c r="LPZ13" s="46"/>
      <c r="LQA13" s="46"/>
      <c r="LQB13" s="46"/>
      <c r="LQC13" s="46"/>
      <c r="LQD13" s="46"/>
      <c r="LQE13" s="46"/>
      <c r="LQF13" s="46"/>
      <c r="LQG13" s="46"/>
      <c r="LQH13" s="46"/>
      <c r="LQI13" s="46"/>
      <c r="LQJ13" s="46"/>
      <c r="LQK13" s="46"/>
      <c r="LQL13" s="46"/>
      <c r="LQM13" s="46"/>
      <c r="LQN13" s="46"/>
      <c r="LQO13" s="46"/>
      <c r="LQP13" s="46"/>
      <c r="LQQ13" s="46"/>
      <c r="LQR13" s="46"/>
      <c r="LQS13" s="46"/>
      <c r="LQT13" s="46"/>
      <c r="LQU13" s="46"/>
      <c r="LQV13" s="46"/>
      <c r="LQW13" s="46"/>
      <c r="LQX13" s="46"/>
      <c r="LQY13" s="46"/>
      <c r="LQZ13" s="46"/>
      <c r="LRA13" s="46"/>
      <c r="LRB13" s="46"/>
      <c r="LRC13" s="46"/>
      <c r="LRD13" s="46"/>
      <c r="LRE13" s="46"/>
      <c r="LRF13" s="46"/>
      <c r="LRG13" s="46"/>
      <c r="LRH13" s="46"/>
      <c r="LRI13" s="46"/>
      <c r="LRJ13" s="46"/>
      <c r="LRK13" s="46"/>
      <c r="LRL13" s="46"/>
      <c r="LRM13" s="46"/>
      <c r="LRN13" s="46"/>
      <c r="LRO13" s="46"/>
      <c r="LRP13" s="46"/>
      <c r="LRQ13" s="46"/>
      <c r="LRR13" s="46"/>
      <c r="LRS13" s="46"/>
      <c r="LRT13" s="46"/>
      <c r="LRU13" s="46"/>
      <c r="LRV13" s="46"/>
      <c r="LRW13" s="46"/>
      <c r="LRX13" s="46"/>
      <c r="LRY13" s="46"/>
      <c r="LRZ13" s="46"/>
      <c r="LSA13" s="46"/>
      <c r="LSB13" s="46"/>
      <c r="LSC13" s="46"/>
      <c r="LSD13" s="46"/>
      <c r="LSE13" s="46"/>
      <c r="LSF13" s="46"/>
      <c r="LSG13" s="46"/>
      <c r="LSH13" s="46"/>
      <c r="LSI13" s="46"/>
      <c r="LSJ13" s="46"/>
      <c r="LSK13" s="46"/>
      <c r="LSL13" s="46"/>
      <c r="LSM13" s="46"/>
      <c r="LSN13" s="46"/>
      <c r="LSO13" s="46"/>
      <c r="LSP13" s="46"/>
      <c r="LSQ13" s="46"/>
      <c r="LSR13" s="46"/>
      <c r="LSS13" s="46"/>
      <c r="LST13" s="46"/>
      <c r="LSU13" s="46"/>
      <c r="LSV13" s="46"/>
      <c r="LSW13" s="46"/>
      <c r="LSX13" s="46"/>
      <c r="LSY13" s="46"/>
      <c r="LSZ13" s="46"/>
      <c r="LTA13" s="46"/>
      <c r="LTB13" s="46"/>
      <c r="LTC13" s="46"/>
      <c r="LTD13" s="46"/>
      <c r="LTE13" s="46"/>
      <c r="LTF13" s="46"/>
      <c r="LTG13" s="46"/>
      <c r="LTH13" s="46"/>
      <c r="LTI13" s="46"/>
      <c r="LTJ13" s="46"/>
      <c r="LTK13" s="46"/>
      <c r="LTL13" s="46"/>
      <c r="LTM13" s="46"/>
      <c r="LTN13" s="46"/>
      <c r="LTO13" s="46"/>
      <c r="LTP13" s="46"/>
      <c r="LTQ13" s="46"/>
      <c r="LTR13" s="46"/>
      <c r="LTS13" s="46"/>
      <c r="LTT13" s="46"/>
      <c r="LTU13" s="46"/>
      <c r="LTV13" s="46"/>
      <c r="LTW13" s="46"/>
      <c r="LTX13" s="46"/>
      <c r="LTY13" s="46"/>
      <c r="LTZ13" s="46"/>
      <c r="LUA13" s="46"/>
      <c r="LUB13" s="46"/>
      <c r="LUC13" s="46"/>
      <c r="LUD13" s="46"/>
      <c r="LUE13" s="46"/>
      <c r="LUF13" s="46"/>
      <c r="LUG13" s="46"/>
      <c r="LUH13" s="46"/>
      <c r="LUI13" s="46"/>
      <c r="LUJ13" s="46"/>
      <c r="LUK13" s="46"/>
      <c r="LUL13" s="46"/>
      <c r="LUM13" s="46"/>
      <c r="LUN13" s="46"/>
      <c r="LUO13" s="46"/>
      <c r="LUP13" s="46"/>
      <c r="LUQ13" s="46"/>
      <c r="LUR13" s="46"/>
      <c r="LUS13" s="46"/>
      <c r="LUT13" s="46"/>
      <c r="LUU13" s="46"/>
      <c r="LUV13" s="46"/>
      <c r="LUW13" s="46"/>
      <c r="LUX13" s="46"/>
      <c r="LUY13" s="46"/>
      <c r="LUZ13" s="46"/>
      <c r="LVA13" s="46"/>
      <c r="LVB13" s="46"/>
      <c r="LVC13" s="46"/>
      <c r="LVD13" s="46"/>
      <c r="LVE13" s="46"/>
      <c r="LVF13" s="46"/>
      <c r="LVG13" s="46"/>
      <c r="LVH13" s="46"/>
      <c r="LVI13" s="46"/>
      <c r="LVJ13" s="46"/>
      <c r="LVK13" s="46"/>
      <c r="LVL13" s="46"/>
      <c r="LVM13" s="46"/>
      <c r="LVN13" s="46"/>
      <c r="LVO13" s="46"/>
      <c r="LVP13" s="46"/>
      <c r="LVQ13" s="46"/>
      <c r="LVR13" s="46"/>
      <c r="LVS13" s="46"/>
      <c r="LVT13" s="46"/>
      <c r="LVU13" s="46"/>
      <c r="LVV13" s="46"/>
      <c r="LVW13" s="46"/>
      <c r="LVX13" s="46"/>
      <c r="LVY13" s="46"/>
      <c r="LVZ13" s="46"/>
      <c r="LWA13" s="46"/>
      <c r="LWB13" s="46"/>
      <c r="LWC13" s="46"/>
      <c r="LWD13" s="46"/>
      <c r="LWE13" s="46"/>
      <c r="LWF13" s="46"/>
      <c r="LWG13" s="46"/>
      <c r="LWH13" s="46"/>
      <c r="LWI13" s="46"/>
      <c r="LWJ13" s="46"/>
      <c r="LWK13" s="46"/>
      <c r="LWL13" s="46"/>
      <c r="LWM13" s="46"/>
      <c r="LWN13" s="46"/>
      <c r="LWO13" s="46"/>
      <c r="LWP13" s="46"/>
      <c r="LWQ13" s="46"/>
      <c r="LWR13" s="46"/>
      <c r="LWS13" s="46"/>
      <c r="LWT13" s="46"/>
      <c r="LWU13" s="46"/>
      <c r="LWV13" s="46"/>
      <c r="LWW13" s="46"/>
      <c r="LWX13" s="46"/>
      <c r="LWY13" s="46"/>
      <c r="LWZ13" s="46"/>
      <c r="LXA13" s="46"/>
      <c r="LXB13" s="46"/>
      <c r="LXC13" s="46"/>
      <c r="LXD13" s="46"/>
      <c r="LXE13" s="46"/>
      <c r="LXF13" s="46"/>
      <c r="LXG13" s="46"/>
      <c r="LXH13" s="46"/>
      <c r="LXI13" s="46"/>
      <c r="LXJ13" s="46"/>
      <c r="LXK13" s="46"/>
      <c r="LXL13" s="46"/>
      <c r="LXM13" s="46"/>
      <c r="LXN13" s="46"/>
      <c r="LXO13" s="46"/>
      <c r="LXP13" s="46"/>
      <c r="LXQ13" s="46"/>
      <c r="LXR13" s="46"/>
      <c r="LXS13" s="46"/>
      <c r="LXT13" s="46"/>
      <c r="LXU13" s="46"/>
      <c r="LXV13" s="46"/>
      <c r="LXW13" s="46"/>
      <c r="LXX13" s="46"/>
      <c r="LXY13" s="46"/>
      <c r="LXZ13" s="46"/>
      <c r="LYA13" s="46"/>
      <c r="LYB13" s="46"/>
      <c r="LYC13" s="46"/>
      <c r="LYD13" s="46"/>
      <c r="LYE13" s="46"/>
      <c r="LYF13" s="46"/>
      <c r="LYG13" s="46"/>
      <c r="LYH13" s="46"/>
      <c r="LYI13" s="46"/>
      <c r="LYJ13" s="46"/>
      <c r="LYK13" s="46"/>
      <c r="LYL13" s="46"/>
      <c r="LYM13" s="46"/>
      <c r="LYN13" s="46"/>
      <c r="LYO13" s="46"/>
      <c r="LYP13" s="46"/>
      <c r="LYQ13" s="46"/>
      <c r="LYR13" s="46"/>
      <c r="LYS13" s="46"/>
      <c r="LYT13" s="46"/>
      <c r="LYU13" s="46"/>
      <c r="LYV13" s="46"/>
      <c r="LYW13" s="46"/>
      <c r="LYX13" s="46"/>
      <c r="LYY13" s="46"/>
      <c r="LYZ13" s="46"/>
      <c r="LZA13" s="46"/>
      <c r="LZB13" s="46"/>
      <c r="LZC13" s="46"/>
      <c r="LZD13" s="46"/>
      <c r="LZE13" s="46"/>
      <c r="LZF13" s="46"/>
      <c r="LZG13" s="46"/>
      <c r="LZH13" s="46"/>
      <c r="LZI13" s="46"/>
      <c r="LZJ13" s="46"/>
      <c r="LZK13" s="46"/>
      <c r="LZL13" s="46"/>
      <c r="LZM13" s="46"/>
      <c r="LZN13" s="46"/>
      <c r="LZO13" s="46"/>
      <c r="LZP13" s="46"/>
      <c r="LZQ13" s="46"/>
      <c r="LZR13" s="46"/>
      <c r="LZS13" s="46"/>
      <c r="LZT13" s="46"/>
      <c r="LZU13" s="46"/>
      <c r="LZV13" s="46"/>
      <c r="LZW13" s="46"/>
      <c r="LZX13" s="46"/>
      <c r="LZY13" s="46"/>
      <c r="LZZ13" s="46"/>
      <c r="MAA13" s="46"/>
      <c r="MAB13" s="46"/>
      <c r="MAC13" s="46"/>
      <c r="MAD13" s="46"/>
      <c r="MAE13" s="46"/>
      <c r="MAF13" s="46"/>
      <c r="MAG13" s="46"/>
      <c r="MAH13" s="46"/>
      <c r="MAI13" s="46"/>
      <c r="MAJ13" s="46"/>
      <c r="MAK13" s="46"/>
      <c r="MAL13" s="46"/>
      <c r="MAM13" s="46"/>
      <c r="MAN13" s="46"/>
      <c r="MAO13" s="46"/>
      <c r="MAP13" s="46"/>
      <c r="MAQ13" s="46"/>
      <c r="MAR13" s="46"/>
      <c r="MAS13" s="46"/>
      <c r="MAT13" s="46"/>
      <c r="MAU13" s="46"/>
      <c r="MAV13" s="46"/>
      <c r="MAW13" s="46"/>
      <c r="MAX13" s="46"/>
      <c r="MAY13" s="46"/>
      <c r="MAZ13" s="46"/>
      <c r="MBA13" s="46"/>
      <c r="MBB13" s="46"/>
      <c r="MBC13" s="46"/>
      <c r="MBD13" s="46"/>
      <c r="MBE13" s="46"/>
      <c r="MBF13" s="46"/>
      <c r="MBG13" s="46"/>
      <c r="MBH13" s="46"/>
      <c r="MBI13" s="46"/>
      <c r="MBJ13" s="46"/>
      <c r="MBK13" s="46"/>
      <c r="MBL13" s="46"/>
      <c r="MBM13" s="46"/>
      <c r="MBN13" s="46"/>
      <c r="MBO13" s="46"/>
      <c r="MBP13" s="46"/>
      <c r="MBQ13" s="46"/>
      <c r="MBR13" s="46"/>
      <c r="MBS13" s="46"/>
      <c r="MBT13" s="46"/>
      <c r="MBU13" s="46"/>
      <c r="MBV13" s="46"/>
      <c r="MBW13" s="46"/>
      <c r="MBX13" s="46"/>
      <c r="MBY13" s="46"/>
      <c r="MBZ13" s="46"/>
      <c r="MCA13" s="46"/>
      <c r="MCB13" s="46"/>
      <c r="MCC13" s="46"/>
      <c r="MCD13" s="46"/>
      <c r="MCE13" s="46"/>
      <c r="MCF13" s="46"/>
      <c r="MCG13" s="46"/>
      <c r="MCH13" s="46"/>
      <c r="MCI13" s="46"/>
      <c r="MCJ13" s="46"/>
      <c r="MCK13" s="46"/>
      <c r="MCL13" s="46"/>
      <c r="MCM13" s="46"/>
      <c r="MCN13" s="46"/>
      <c r="MCO13" s="46"/>
      <c r="MCP13" s="46"/>
      <c r="MCQ13" s="46"/>
      <c r="MCR13" s="46"/>
      <c r="MCS13" s="46"/>
      <c r="MCT13" s="46"/>
      <c r="MCU13" s="46"/>
      <c r="MCV13" s="46"/>
      <c r="MCW13" s="46"/>
      <c r="MCX13" s="46"/>
      <c r="MCY13" s="46"/>
      <c r="MCZ13" s="46"/>
      <c r="MDA13" s="46"/>
      <c r="MDB13" s="46"/>
      <c r="MDC13" s="46"/>
      <c r="MDD13" s="46"/>
      <c r="MDE13" s="46"/>
      <c r="MDF13" s="46"/>
      <c r="MDG13" s="46"/>
      <c r="MDH13" s="46"/>
      <c r="MDI13" s="46"/>
      <c r="MDJ13" s="46"/>
      <c r="MDK13" s="46"/>
      <c r="MDL13" s="46"/>
      <c r="MDM13" s="46"/>
      <c r="MDN13" s="46"/>
      <c r="MDO13" s="46"/>
      <c r="MDP13" s="46"/>
      <c r="MDQ13" s="46"/>
      <c r="MDR13" s="46"/>
      <c r="MDS13" s="46"/>
      <c r="MDT13" s="46"/>
      <c r="MDU13" s="46"/>
      <c r="MDV13" s="46"/>
      <c r="MDW13" s="46"/>
      <c r="MDX13" s="46"/>
      <c r="MDY13" s="46"/>
      <c r="MDZ13" s="46"/>
      <c r="MEA13" s="46"/>
      <c r="MEB13" s="46"/>
      <c r="MEC13" s="46"/>
      <c r="MED13" s="46"/>
      <c r="MEE13" s="46"/>
      <c r="MEF13" s="46"/>
      <c r="MEG13" s="46"/>
      <c r="MEH13" s="46"/>
      <c r="MEI13" s="46"/>
      <c r="MEJ13" s="46"/>
      <c r="MEK13" s="46"/>
      <c r="MEL13" s="46"/>
      <c r="MEM13" s="46"/>
      <c r="MEN13" s="46"/>
      <c r="MEO13" s="46"/>
      <c r="MEP13" s="46"/>
      <c r="MEQ13" s="46"/>
      <c r="MER13" s="46"/>
      <c r="MES13" s="46"/>
      <c r="MET13" s="46"/>
      <c r="MEU13" s="46"/>
      <c r="MEV13" s="46"/>
      <c r="MEW13" s="46"/>
      <c r="MEX13" s="46"/>
      <c r="MEY13" s="46"/>
      <c r="MEZ13" s="46"/>
      <c r="MFA13" s="46"/>
      <c r="MFB13" s="46"/>
      <c r="MFC13" s="46"/>
      <c r="MFD13" s="46"/>
      <c r="MFE13" s="46"/>
      <c r="MFF13" s="46"/>
      <c r="MFG13" s="46"/>
      <c r="MFH13" s="46"/>
      <c r="MFI13" s="46"/>
      <c r="MFJ13" s="46"/>
      <c r="MFK13" s="46"/>
      <c r="MFL13" s="46"/>
      <c r="MFM13" s="46"/>
      <c r="MFN13" s="46"/>
      <c r="MFO13" s="46"/>
      <c r="MFP13" s="46"/>
      <c r="MFQ13" s="46"/>
      <c r="MFR13" s="46"/>
      <c r="MFS13" s="46"/>
      <c r="MFT13" s="46"/>
      <c r="MFU13" s="46"/>
      <c r="MFV13" s="46"/>
      <c r="MFW13" s="46"/>
      <c r="MFX13" s="46"/>
      <c r="MFY13" s="46"/>
      <c r="MFZ13" s="46"/>
      <c r="MGA13" s="46"/>
      <c r="MGB13" s="46"/>
      <c r="MGC13" s="46"/>
      <c r="MGD13" s="46"/>
      <c r="MGE13" s="46"/>
      <c r="MGF13" s="46"/>
      <c r="MGG13" s="46"/>
      <c r="MGH13" s="46"/>
      <c r="MGI13" s="46"/>
      <c r="MGJ13" s="46"/>
      <c r="MGK13" s="46"/>
      <c r="MGL13" s="46"/>
      <c r="MGM13" s="46"/>
      <c r="MGN13" s="46"/>
      <c r="MGO13" s="46"/>
      <c r="MGP13" s="46"/>
      <c r="MGQ13" s="46"/>
      <c r="MGR13" s="46"/>
      <c r="MGS13" s="46"/>
      <c r="MGT13" s="46"/>
      <c r="MGU13" s="46"/>
      <c r="MGV13" s="46"/>
      <c r="MGW13" s="46"/>
      <c r="MGX13" s="46"/>
      <c r="MGY13" s="46"/>
      <c r="MGZ13" s="46"/>
      <c r="MHA13" s="46"/>
      <c r="MHB13" s="46"/>
      <c r="MHC13" s="46"/>
      <c r="MHD13" s="46"/>
      <c r="MHE13" s="46"/>
      <c r="MHF13" s="46"/>
      <c r="MHG13" s="46"/>
      <c r="MHH13" s="46"/>
      <c r="MHI13" s="46"/>
      <c r="MHJ13" s="46"/>
      <c r="MHK13" s="46"/>
      <c r="MHL13" s="46"/>
      <c r="MHM13" s="46"/>
      <c r="MHN13" s="46"/>
      <c r="MHO13" s="46"/>
      <c r="MHP13" s="46"/>
      <c r="MHQ13" s="46"/>
      <c r="MHR13" s="46"/>
      <c r="MHS13" s="46"/>
      <c r="MHT13" s="46"/>
      <c r="MHU13" s="46"/>
      <c r="MHV13" s="46"/>
      <c r="MHW13" s="46"/>
      <c r="MHX13" s="46"/>
      <c r="MHY13" s="46"/>
      <c r="MHZ13" s="46"/>
      <c r="MIA13" s="46"/>
      <c r="MIB13" s="46"/>
      <c r="MIC13" s="46"/>
      <c r="MID13" s="46"/>
      <c r="MIE13" s="46"/>
      <c r="MIF13" s="46"/>
      <c r="MIG13" s="46"/>
      <c r="MIH13" s="46"/>
      <c r="MII13" s="46"/>
      <c r="MIJ13" s="46"/>
      <c r="MIK13" s="46"/>
      <c r="MIL13" s="46"/>
      <c r="MIM13" s="46"/>
      <c r="MIN13" s="46"/>
      <c r="MIO13" s="46"/>
      <c r="MIP13" s="46"/>
      <c r="MIQ13" s="46"/>
      <c r="MIR13" s="46"/>
      <c r="MIS13" s="46"/>
      <c r="MIT13" s="46"/>
      <c r="MIU13" s="46"/>
      <c r="MIV13" s="46"/>
      <c r="MIW13" s="46"/>
      <c r="MIX13" s="46"/>
      <c r="MIY13" s="46"/>
      <c r="MIZ13" s="46"/>
      <c r="MJA13" s="46"/>
      <c r="MJB13" s="46"/>
      <c r="MJC13" s="46"/>
      <c r="MJD13" s="46"/>
      <c r="MJE13" s="46"/>
      <c r="MJF13" s="46"/>
      <c r="MJG13" s="46"/>
      <c r="MJH13" s="46"/>
      <c r="MJI13" s="46"/>
      <c r="MJJ13" s="46"/>
      <c r="MJK13" s="46"/>
      <c r="MJL13" s="46"/>
      <c r="MJM13" s="46"/>
      <c r="MJN13" s="46"/>
      <c r="MJO13" s="46"/>
      <c r="MJP13" s="46"/>
      <c r="MJQ13" s="46"/>
      <c r="MJR13" s="46"/>
      <c r="MJS13" s="46"/>
      <c r="MJT13" s="46"/>
      <c r="MJU13" s="46"/>
      <c r="MJV13" s="46"/>
      <c r="MJW13" s="46"/>
      <c r="MJX13" s="46"/>
      <c r="MJY13" s="46"/>
      <c r="MJZ13" s="46"/>
      <c r="MKA13" s="46"/>
      <c r="MKB13" s="46"/>
      <c r="MKC13" s="46"/>
      <c r="MKD13" s="46"/>
      <c r="MKE13" s="46"/>
      <c r="MKF13" s="46"/>
      <c r="MKG13" s="46"/>
      <c r="MKH13" s="46"/>
      <c r="MKI13" s="46"/>
      <c r="MKJ13" s="46"/>
      <c r="MKK13" s="46"/>
      <c r="MKL13" s="46"/>
      <c r="MKM13" s="46"/>
      <c r="MKN13" s="46"/>
      <c r="MKO13" s="46"/>
      <c r="MKP13" s="46"/>
      <c r="MKQ13" s="46"/>
      <c r="MKR13" s="46"/>
      <c r="MKS13" s="46"/>
      <c r="MKT13" s="46"/>
      <c r="MKU13" s="46"/>
      <c r="MKV13" s="46"/>
      <c r="MKW13" s="46"/>
      <c r="MKX13" s="46"/>
      <c r="MKY13" s="46"/>
      <c r="MKZ13" s="46"/>
      <c r="MLA13" s="46"/>
      <c r="MLB13" s="46"/>
      <c r="MLC13" s="46"/>
      <c r="MLD13" s="46"/>
      <c r="MLE13" s="46"/>
      <c r="MLF13" s="46"/>
      <c r="MLG13" s="46"/>
      <c r="MLH13" s="46"/>
      <c r="MLI13" s="46"/>
      <c r="MLJ13" s="46"/>
      <c r="MLK13" s="46"/>
      <c r="MLL13" s="46"/>
      <c r="MLM13" s="46"/>
      <c r="MLN13" s="46"/>
      <c r="MLO13" s="46"/>
      <c r="MLP13" s="46"/>
      <c r="MLQ13" s="46"/>
      <c r="MLR13" s="46"/>
      <c r="MLS13" s="46"/>
      <c r="MLT13" s="46"/>
      <c r="MLU13" s="46"/>
      <c r="MLV13" s="46"/>
      <c r="MLW13" s="46"/>
      <c r="MLX13" s="46"/>
      <c r="MLY13" s="46"/>
      <c r="MLZ13" s="46"/>
      <c r="MMA13" s="46"/>
      <c r="MMB13" s="46"/>
      <c r="MMC13" s="46"/>
      <c r="MMD13" s="46"/>
      <c r="MME13" s="46"/>
      <c r="MMF13" s="46"/>
      <c r="MMG13" s="46"/>
      <c r="MMH13" s="46"/>
      <c r="MMI13" s="46"/>
      <c r="MMJ13" s="46"/>
      <c r="MMK13" s="46"/>
      <c r="MML13" s="46"/>
      <c r="MMM13" s="46"/>
      <c r="MMN13" s="46"/>
      <c r="MMO13" s="46"/>
      <c r="MMP13" s="46"/>
      <c r="MMQ13" s="46"/>
      <c r="MMR13" s="46"/>
      <c r="MMS13" s="46"/>
      <c r="MMT13" s="46"/>
      <c r="MMU13" s="46"/>
      <c r="MMV13" s="46"/>
      <c r="MMW13" s="46"/>
      <c r="MMX13" s="46"/>
      <c r="MMY13" s="46"/>
      <c r="MMZ13" s="46"/>
      <c r="MNA13" s="46"/>
      <c r="MNB13" s="46"/>
      <c r="MNC13" s="46"/>
      <c r="MND13" s="46"/>
      <c r="MNE13" s="46"/>
      <c r="MNF13" s="46"/>
      <c r="MNG13" s="46"/>
      <c r="MNH13" s="46"/>
      <c r="MNI13" s="46"/>
      <c r="MNJ13" s="46"/>
      <c r="MNK13" s="46"/>
      <c r="MNL13" s="46"/>
      <c r="MNM13" s="46"/>
      <c r="MNN13" s="46"/>
      <c r="MNO13" s="46"/>
      <c r="MNP13" s="46"/>
      <c r="MNQ13" s="46"/>
      <c r="MNR13" s="46"/>
      <c r="MNS13" s="46"/>
      <c r="MNT13" s="46"/>
      <c r="MNU13" s="46"/>
      <c r="MNV13" s="46"/>
      <c r="MNW13" s="46"/>
      <c r="MNX13" s="46"/>
      <c r="MNY13" s="46"/>
      <c r="MNZ13" s="46"/>
      <c r="MOA13" s="46"/>
      <c r="MOB13" s="46"/>
      <c r="MOC13" s="46"/>
      <c r="MOD13" s="46"/>
      <c r="MOE13" s="46"/>
      <c r="MOF13" s="46"/>
      <c r="MOG13" s="46"/>
      <c r="MOH13" s="46"/>
      <c r="MOI13" s="46"/>
      <c r="MOJ13" s="46"/>
      <c r="MOK13" s="46"/>
      <c r="MOL13" s="46"/>
      <c r="MOM13" s="46"/>
      <c r="MON13" s="46"/>
      <c r="MOO13" s="46"/>
      <c r="MOP13" s="46"/>
      <c r="MOQ13" s="46"/>
      <c r="MOR13" s="46"/>
      <c r="MOS13" s="46"/>
      <c r="MOT13" s="46"/>
      <c r="MOU13" s="46"/>
      <c r="MOV13" s="46"/>
      <c r="MOW13" s="46"/>
      <c r="MOX13" s="46"/>
      <c r="MOY13" s="46"/>
      <c r="MOZ13" s="46"/>
      <c r="MPA13" s="46"/>
      <c r="MPB13" s="46"/>
      <c r="MPC13" s="46"/>
      <c r="MPD13" s="46"/>
      <c r="MPE13" s="46"/>
      <c r="MPF13" s="46"/>
      <c r="MPG13" s="46"/>
      <c r="MPH13" s="46"/>
      <c r="MPI13" s="46"/>
      <c r="MPJ13" s="46"/>
      <c r="MPK13" s="46"/>
      <c r="MPL13" s="46"/>
      <c r="MPM13" s="46"/>
      <c r="MPN13" s="46"/>
      <c r="MPO13" s="46"/>
      <c r="MPP13" s="46"/>
      <c r="MPQ13" s="46"/>
      <c r="MPR13" s="46"/>
      <c r="MPS13" s="46"/>
      <c r="MPT13" s="46"/>
      <c r="MPU13" s="46"/>
      <c r="MPV13" s="46"/>
      <c r="MPW13" s="46"/>
      <c r="MPX13" s="46"/>
      <c r="MPY13" s="46"/>
      <c r="MPZ13" s="46"/>
      <c r="MQA13" s="46"/>
      <c r="MQB13" s="46"/>
      <c r="MQC13" s="46"/>
      <c r="MQD13" s="46"/>
      <c r="MQE13" s="46"/>
      <c r="MQF13" s="46"/>
      <c r="MQG13" s="46"/>
      <c r="MQH13" s="46"/>
      <c r="MQI13" s="46"/>
      <c r="MQJ13" s="46"/>
      <c r="MQK13" s="46"/>
      <c r="MQL13" s="46"/>
      <c r="MQM13" s="46"/>
      <c r="MQN13" s="46"/>
      <c r="MQO13" s="46"/>
      <c r="MQP13" s="46"/>
      <c r="MQQ13" s="46"/>
      <c r="MQR13" s="46"/>
      <c r="MQS13" s="46"/>
      <c r="MQT13" s="46"/>
      <c r="MQU13" s="46"/>
      <c r="MQV13" s="46"/>
      <c r="MQW13" s="46"/>
      <c r="MQX13" s="46"/>
      <c r="MQY13" s="46"/>
      <c r="MQZ13" s="46"/>
      <c r="MRA13" s="46"/>
      <c r="MRB13" s="46"/>
      <c r="MRC13" s="46"/>
      <c r="MRD13" s="46"/>
      <c r="MRE13" s="46"/>
      <c r="MRF13" s="46"/>
      <c r="MRG13" s="46"/>
      <c r="MRH13" s="46"/>
      <c r="MRI13" s="46"/>
      <c r="MRJ13" s="46"/>
      <c r="MRK13" s="46"/>
      <c r="MRL13" s="46"/>
      <c r="MRM13" s="46"/>
      <c r="MRN13" s="46"/>
      <c r="MRO13" s="46"/>
      <c r="MRP13" s="46"/>
      <c r="MRQ13" s="46"/>
      <c r="MRR13" s="46"/>
      <c r="MRS13" s="46"/>
      <c r="MRT13" s="46"/>
      <c r="MRU13" s="46"/>
      <c r="MRV13" s="46"/>
      <c r="MRW13" s="46"/>
      <c r="MRX13" s="46"/>
      <c r="MRY13" s="46"/>
      <c r="MRZ13" s="46"/>
      <c r="MSA13" s="46"/>
      <c r="MSB13" s="46"/>
      <c r="MSC13" s="46"/>
      <c r="MSD13" s="46"/>
      <c r="MSE13" s="46"/>
      <c r="MSF13" s="46"/>
      <c r="MSG13" s="46"/>
      <c r="MSH13" s="46"/>
      <c r="MSI13" s="46"/>
      <c r="MSJ13" s="46"/>
      <c r="MSK13" s="46"/>
      <c r="MSL13" s="46"/>
      <c r="MSM13" s="46"/>
      <c r="MSN13" s="46"/>
      <c r="MSO13" s="46"/>
      <c r="MSP13" s="46"/>
      <c r="MSQ13" s="46"/>
      <c r="MSR13" s="46"/>
      <c r="MSS13" s="46"/>
      <c r="MST13" s="46"/>
      <c r="MSU13" s="46"/>
      <c r="MSV13" s="46"/>
      <c r="MSW13" s="46"/>
      <c r="MSX13" s="46"/>
      <c r="MSY13" s="46"/>
      <c r="MSZ13" s="46"/>
      <c r="MTA13" s="46"/>
      <c r="MTB13" s="46"/>
      <c r="MTC13" s="46"/>
      <c r="MTD13" s="46"/>
      <c r="MTE13" s="46"/>
      <c r="MTF13" s="46"/>
      <c r="MTG13" s="46"/>
      <c r="MTH13" s="46"/>
      <c r="MTI13" s="46"/>
      <c r="MTJ13" s="46"/>
      <c r="MTK13" s="46"/>
      <c r="MTL13" s="46"/>
      <c r="MTM13" s="46"/>
      <c r="MTN13" s="46"/>
      <c r="MTO13" s="46"/>
      <c r="MTP13" s="46"/>
      <c r="MTQ13" s="46"/>
      <c r="MTR13" s="46"/>
      <c r="MTS13" s="46"/>
      <c r="MTT13" s="46"/>
      <c r="MTU13" s="46"/>
      <c r="MTV13" s="46"/>
      <c r="MTW13" s="46"/>
      <c r="MTX13" s="46"/>
      <c r="MTY13" s="46"/>
      <c r="MTZ13" s="46"/>
      <c r="MUA13" s="46"/>
      <c r="MUB13" s="46"/>
      <c r="MUC13" s="46"/>
      <c r="MUD13" s="46"/>
      <c r="MUE13" s="46"/>
      <c r="MUF13" s="46"/>
      <c r="MUG13" s="46"/>
      <c r="MUH13" s="46"/>
      <c r="MUI13" s="46"/>
      <c r="MUJ13" s="46"/>
      <c r="MUK13" s="46"/>
      <c r="MUL13" s="46"/>
      <c r="MUM13" s="46"/>
      <c r="MUN13" s="46"/>
      <c r="MUO13" s="46"/>
      <c r="MUP13" s="46"/>
      <c r="MUQ13" s="46"/>
      <c r="MUR13" s="46"/>
      <c r="MUS13" s="46"/>
      <c r="MUT13" s="46"/>
      <c r="MUU13" s="46"/>
      <c r="MUV13" s="46"/>
      <c r="MUW13" s="46"/>
      <c r="MUX13" s="46"/>
      <c r="MUY13" s="46"/>
      <c r="MUZ13" s="46"/>
      <c r="MVA13" s="46"/>
      <c r="MVB13" s="46"/>
      <c r="MVC13" s="46"/>
      <c r="MVD13" s="46"/>
      <c r="MVE13" s="46"/>
      <c r="MVF13" s="46"/>
      <c r="MVG13" s="46"/>
      <c r="MVH13" s="46"/>
      <c r="MVI13" s="46"/>
      <c r="MVJ13" s="46"/>
      <c r="MVK13" s="46"/>
      <c r="MVL13" s="46"/>
      <c r="MVM13" s="46"/>
      <c r="MVN13" s="46"/>
      <c r="MVO13" s="46"/>
      <c r="MVP13" s="46"/>
      <c r="MVQ13" s="46"/>
      <c r="MVR13" s="46"/>
      <c r="MVS13" s="46"/>
      <c r="MVT13" s="46"/>
      <c r="MVU13" s="46"/>
      <c r="MVV13" s="46"/>
      <c r="MVW13" s="46"/>
      <c r="MVX13" s="46"/>
      <c r="MVY13" s="46"/>
      <c r="MVZ13" s="46"/>
      <c r="MWA13" s="46"/>
      <c r="MWB13" s="46"/>
      <c r="MWC13" s="46"/>
      <c r="MWD13" s="46"/>
      <c r="MWE13" s="46"/>
      <c r="MWF13" s="46"/>
      <c r="MWG13" s="46"/>
      <c r="MWH13" s="46"/>
      <c r="MWI13" s="46"/>
      <c r="MWJ13" s="46"/>
      <c r="MWK13" s="46"/>
      <c r="MWL13" s="46"/>
      <c r="MWM13" s="46"/>
      <c r="MWN13" s="46"/>
      <c r="MWO13" s="46"/>
      <c r="MWP13" s="46"/>
      <c r="MWQ13" s="46"/>
      <c r="MWR13" s="46"/>
      <c r="MWS13" s="46"/>
      <c r="MWT13" s="46"/>
      <c r="MWU13" s="46"/>
      <c r="MWV13" s="46"/>
      <c r="MWW13" s="46"/>
      <c r="MWX13" s="46"/>
      <c r="MWY13" s="46"/>
      <c r="MWZ13" s="46"/>
      <c r="MXA13" s="46"/>
      <c r="MXB13" s="46"/>
      <c r="MXC13" s="46"/>
      <c r="MXD13" s="46"/>
      <c r="MXE13" s="46"/>
      <c r="MXF13" s="46"/>
      <c r="MXG13" s="46"/>
      <c r="MXH13" s="46"/>
      <c r="MXI13" s="46"/>
      <c r="MXJ13" s="46"/>
      <c r="MXK13" s="46"/>
      <c r="MXL13" s="46"/>
      <c r="MXM13" s="46"/>
      <c r="MXN13" s="46"/>
      <c r="MXO13" s="46"/>
      <c r="MXP13" s="46"/>
      <c r="MXQ13" s="46"/>
      <c r="MXR13" s="46"/>
      <c r="MXS13" s="46"/>
      <c r="MXT13" s="46"/>
      <c r="MXU13" s="46"/>
      <c r="MXV13" s="46"/>
      <c r="MXW13" s="46"/>
      <c r="MXX13" s="46"/>
      <c r="MXY13" s="46"/>
      <c r="MXZ13" s="46"/>
      <c r="MYA13" s="46"/>
      <c r="MYB13" s="46"/>
      <c r="MYC13" s="46"/>
      <c r="MYD13" s="46"/>
      <c r="MYE13" s="46"/>
      <c r="MYF13" s="46"/>
      <c r="MYG13" s="46"/>
      <c r="MYH13" s="46"/>
      <c r="MYI13" s="46"/>
      <c r="MYJ13" s="46"/>
      <c r="MYK13" s="46"/>
      <c r="MYL13" s="46"/>
      <c r="MYM13" s="46"/>
      <c r="MYN13" s="46"/>
      <c r="MYO13" s="46"/>
      <c r="MYP13" s="46"/>
      <c r="MYQ13" s="46"/>
      <c r="MYR13" s="46"/>
      <c r="MYS13" s="46"/>
      <c r="MYT13" s="46"/>
      <c r="MYU13" s="46"/>
      <c r="MYV13" s="46"/>
      <c r="MYW13" s="46"/>
      <c r="MYX13" s="46"/>
      <c r="MYY13" s="46"/>
      <c r="MYZ13" s="46"/>
      <c r="MZA13" s="46"/>
      <c r="MZB13" s="46"/>
      <c r="MZC13" s="46"/>
      <c r="MZD13" s="46"/>
      <c r="MZE13" s="46"/>
      <c r="MZF13" s="46"/>
      <c r="MZG13" s="46"/>
      <c r="MZH13" s="46"/>
      <c r="MZI13" s="46"/>
      <c r="MZJ13" s="46"/>
      <c r="MZK13" s="46"/>
      <c r="MZL13" s="46"/>
      <c r="MZM13" s="46"/>
      <c r="MZN13" s="46"/>
      <c r="MZO13" s="46"/>
      <c r="MZP13" s="46"/>
      <c r="MZQ13" s="46"/>
      <c r="MZR13" s="46"/>
      <c r="MZS13" s="46"/>
      <c r="MZT13" s="46"/>
      <c r="MZU13" s="46"/>
      <c r="MZV13" s="46"/>
      <c r="MZW13" s="46"/>
      <c r="MZX13" s="46"/>
      <c r="MZY13" s="46"/>
      <c r="MZZ13" s="46"/>
      <c r="NAA13" s="46"/>
      <c r="NAB13" s="46"/>
      <c r="NAC13" s="46"/>
      <c r="NAD13" s="46"/>
      <c r="NAE13" s="46"/>
      <c r="NAF13" s="46"/>
      <c r="NAG13" s="46"/>
      <c r="NAH13" s="46"/>
      <c r="NAI13" s="46"/>
      <c r="NAJ13" s="46"/>
      <c r="NAK13" s="46"/>
      <c r="NAL13" s="46"/>
      <c r="NAM13" s="46"/>
      <c r="NAN13" s="46"/>
      <c r="NAO13" s="46"/>
      <c r="NAP13" s="46"/>
      <c r="NAQ13" s="46"/>
      <c r="NAR13" s="46"/>
      <c r="NAS13" s="46"/>
      <c r="NAT13" s="46"/>
      <c r="NAU13" s="46"/>
      <c r="NAV13" s="46"/>
      <c r="NAW13" s="46"/>
      <c r="NAX13" s="46"/>
      <c r="NAY13" s="46"/>
      <c r="NAZ13" s="46"/>
      <c r="NBA13" s="46"/>
      <c r="NBB13" s="46"/>
      <c r="NBC13" s="46"/>
      <c r="NBD13" s="46"/>
      <c r="NBE13" s="46"/>
      <c r="NBF13" s="46"/>
      <c r="NBG13" s="46"/>
      <c r="NBH13" s="46"/>
      <c r="NBI13" s="46"/>
      <c r="NBJ13" s="46"/>
      <c r="NBK13" s="46"/>
      <c r="NBL13" s="46"/>
      <c r="NBM13" s="46"/>
      <c r="NBN13" s="46"/>
      <c r="NBO13" s="46"/>
      <c r="NBP13" s="46"/>
      <c r="NBQ13" s="46"/>
      <c r="NBR13" s="46"/>
      <c r="NBS13" s="46"/>
      <c r="NBT13" s="46"/>
      <c r="NBU13" s="46"/>
      <c r="NBV13" s="46"/>
      <c r="NBW13" s="46"/>
      <c r="NBX13" s="46"/>
      <c r="NBY13" s="46"/>
      <c r="NBZ13" s="46"/>
      <c r="NCA13" s="46"/>
      <c r="NCB13" s="46"/>
      <c r="NCC13" s="46"/>
      <c r="NCD13" s="46"/>
      <c r="NCE13" s="46"/>
      <c r="NCF13" s="46"/>
      <c r="NCG13" s="46"/>
      <c r="NCH13" s="46"/>
      <c r="NCI13" s="46"/>
      <c r="NCJ13" s="46"/>
      <c r="NCK13" s="46"/>
      <c r="NCL13" s="46"/>
      <c r="NCM13" s="46"/>
      <c r="NCN13" s="46"/>
      <c r="NCO13" s="46"/>
      <c r="NCP13" s="46"/>
      <c r="NCQ13" s="46"/>
      <c r="NCR13" s="46"/>
      <c r="NCS13" s="46"/>
      <c r="NCT13" s="46"/>
      <c r="NCU13" s="46"/>
      <c r="NCV13" s="46"/>
      <c r="NCW13" s="46"/>
      <c r="NCX13" s="46"/>
      <c r="NCY13" s="46"/>
      <c r="NCZ13" s="46"/>
      <c r="NDA13" s="46"/>
      <c r="NDB13" s="46"/>
      <c r="NDC13" s="46"/>
      <c r="NDD13" s="46"/>
      <c r="NDE13" s="46"/>
      <c r="NDF13" s="46"/>
      <c r="NDG13" s="46"/>
      <c r="NDH13" s="46"/>
      <c r="NDI13" s="46"/>
      <c r="NDJ13" s="46"/>
      <c r="NDK13" s="46"/>
      <c r="NDL13" s="46"/>
      <c r="NDM13" s="46"/>
      <c r="NDN13" s="46"/>
      <c r="NDO13" s="46"/>
      <c r="NDP13" s="46"/>
      <c r="NDQ13" s="46"/>
      <c r="NDR13" s="46"/>
      <c r="NDS13" s="46"/>
      <c r="NDT13" s="46"/>
      <c r="NDU13" s="46"/>
      <c r="NDV13" s="46"/>
      <c r="NDW13" s="46"/>
      <c r="NDX13" s="46"/>
      <c r="NDY13" s="46"/>
      <c r="NDZ13" s="46"/>
      <c r="NEA13" s="46"/>
      <c r="NEB13" s="46"/>
      <c r="NEC13" s="46"/>
      <c r="NED13" s="46"/>
      <c r="NEE13" s="46"/>
      <c r="NEF13" s="46"/>
      <c r="NEG13" s="46"/>
      <c r="NEH13" s="46"/>
      <c r="NEI13" s="46"/>
      <c r="NEJ13" s="46"/>
      <c r="NEK13" s="46"/>
      <c r="NEL13" s="46"/>
      <c r="NEM13" s="46"/>
      <c r="NEN13" s="46"/>
      <c r="NEO13" s="46"/>
      <c r="NEP13" s="46"/>
      <c r="NEQ13" s="46"/>
      <c r="NER13" s="46"/>
      <c r="NES13" s="46"/>
      <c r="NET13" s="46"/>
      <c r="NEU13" s="46"/>
      <c r="NEV13" s="46"/>
      <c r="NEW13" s="46"/>
      <c r="NEX13" s="46"/>
      <c r="NEY13" s="46"/>
      <c r="NEZ13" s="46"/>
      <c r="NFA13" s="46"/>
      <c r="NFB13" s="46"/>
      <c r="NFC13" s="46"/>
      <c r="NFD13" s="46"/>
      <c r="NFE13" s="46"/>
      <c r="NFF13" s="46"/>
      <c r="NFG13" s="46"/>
      <c r="NFH13" s="46"/>
      <c r="NFI13" s="46"/>
      <c r="NFJ13" s="46"/>
      <c r="NFK13" s="46"/>
      <c r="NFL13" s="46"/>
      <c r="NFM13" s="46"/>
      <c r="NFN13" s="46"/>
      <c r="NFO13" s="46"/>
      <c r="NFP13" s="46"/>
      <c r="NFQ13" s="46"/>
      <c r="NFR13" s="46"/>
      <c r="NFS13" s="46"/>
      <c r="NFT13" s="46"/>
      <c r="NFU13" s="46"/>
      <c r="NFV13" s="46"/>
      <c r="NFW13" s="46"/>
      <c r="NFX13" s="46"/>
      <c r="NFY13" s="46"/>
      <c r="NFZ13" s="46"/>
      <c r="NGA13" s="46"/>
      <c r="NGB13" s="46"/>
      <c r="NGC13" s="46"/>
      <c r="NGD13" s="46"/>
      <c r="NGE13" s="46"/>
      <c r="NGF13" s="46"/>
      <c r="NGG13" s="46"/>
      <c r="NGH13" s="46"/>
      <c r="NGI13" s="46"/>
      <c r="NGJ13" s="46"/>
      <c r="NGK13" s="46"/>
      <c r="NGL13" s="46"/>
      <c r="NGM13" s="46"/>
      <c r="NGN13" s="46"/>
      <c r="NGO13" s="46"/>
      <c r="NGP13" s="46"/>
      <c r="NGQ13" s="46"/>
      <c r="NGR13" s="46"/>
      <c r="NGS13" s="46"/>
      <c r="NGT13" s="46"/>
      <c r="NGU13" s="46"/>
      <c r="NGV13" s="46"/>
      <c r="NGW13" s="46"/>
      <c r="NGX13" s="46"/>
      <c r="NGY13" s="46"/>
      <c r="NGZ13" s="46"/>
      <c r="NHA13" s="46"/>
      <c r="NHB13" s="46"/>
      <c r="NHC13" s="46"/>
      <c r="NHD13" s="46"/>
      <c r="NHE13" s="46"/>
      <c r="NHF13" s="46"/>
      <c r="NHG13" s="46"/>
      <c r="NHH13" s="46"/>
      <c r="NHI13" s="46"/>
      <c r="NHJ13" s="46"/>
      <c r="NHK13" s="46"/>
      <c r="NHL13" s="46"/>
      <c r="NHM13" s="46"/>
      <c r="NHN13" s="46"/>
      <c r="NHO13" s="46"/>
      <c r="NHP13" s="46"/>
      <c r="NHQ13" s="46"/>
      <c r="NHR13" s="46"/>
      <c r="NHS13" s="46"/>
      <c r="NHT13" s="46"/>
      <c r="NHU13" s="46"/>
      <c r="NHV13" s="46"/>
      <c r="NHW13" s="46"/>
      <c r="NHX13" s="46"/>
      <c r="NHY13" s="46"/>
      <c r="NHZ13" s="46"/>
      <c r="NIA13" s="46"/>
      <c r="NIB13" s="46"/>
      <c r="NIC13" s="46"/>
      <c r="NID13" s="46"/>
      <c r="NIE13" s="46"/>
      <c r="NIF13" s="46"/>
      <c r="NIG13" s="46"/>
      <c r="NIH13" s="46"/>
      <c r="NII13" s="46"/>
      <c r="NIJ13" s="46"/>
      <c r="NIK13" s="46"/>
      <c r="NIL13" s="46"/>
      <c r="NIM13" s="46"/>
      <c r="NIN13" s="46"/>
      <c r="NIO13" s="46"/>
      <c r="NIP13" s="46"/>
      <c r="NIQ13" s="46"/>
      <c r="NIR13" s="46"/>
      <c r="NIS13" s="46"/>
      <c r="NIT13" s="46"/>
      <c r="NIU13" s="46"/>
      <c r="NIV13" s="46"/>
      <c r="NIW13" s="46"/>
      <c r="NIX13" s="46"/>
      <c r="NIY13" s="46"/>
      <c r="NIZ13" s="46"/>
      <c r="NJA13" s="46"/>
      <c r="NJB13" s="46"/>
      <c r="NJC13" s="46"/>
      <c r="NJD13" s="46"/>
      <c r="NJE13" s="46"/>
      <c r="NJF13" s="46"/>
      <c r="NJG13" s="46"/>
      <c r="NJH13" s="46"/>
      <c r="NJI13" s="46"/>
      <c r="NJJ13" s="46"/>
      <c r="NJK13" s="46"/>
      <c r="NJL13" s="46"/>
      <c r="NJM13" s="46"/>
      <c r="NJN13" s="46"/>
      <c r="NJO13" s="46"/>
      <c r="NJP13" s="46"/>
      <c r="NJQ13" s="46"/>
      <c r="NJR13" s="46"/>
      <c r="NJS13" s="46"/>
      <c r="NJT13" s="46"/>
      <c r="NJU13" s="46"/>
      <c r="NJV13" s="46"/>
      <c r="NJW13" s="46"/>
      <c r="NJX13" s="46"/>
      <c r="NJY13" s="46"/>
      <c r="NJZ13" s="46"/>
      <c r="NKA13" s="46"/>
      <c r="NKB13" s="46"/>
      <c r="NKC13" s="46"/>
      <c r="NKD13" s="46"/>
      <c r="NKE13" s="46"/>
      <c r="NKF13" s="46"/>
      <c r="NKG13" s="46"/>
      <c r="NKH13" s="46"/>
      <c r="NKI13" s="46"/>
      <c r="NKJ13" s="46"/>
      <c r="NKK13" s="46"/>
      <c r="NKL13" s="46"/>
      <c r="NKM13" s="46"/>
      <c r="NKN13" s="46"/>
      <c r="NKO13" s="46"/>
      <c r="NKP13" s="46"/>
      <c r="NKQ13" s="46"/>
      <c r="NKR13" s="46"/>
      <c r="NKS13" s="46"/>
      <c r="NKT13" s="46"/>
      <c r="NKU13" s="46"/>
      <c r="NKV13" s="46"/>
      <c r="NKW13" s="46"/>
      <c r="NKX13" s="46"/>
      <c r="NKY13" s="46"/>
      <c r="NKZ13" s="46"/>
      <c r="NLA13" s="46"/>
      <c r="NLB13" s="46"/>
      <c r="NLC13" s="46"/>
      <c r="NLD13" s="46"/>
      <c r="NLE13" s="46"/>
      <c r="NLF13" s="46"/>
      <c r="NLG13" s="46"/>
      <c r="NLH13" s="46"/>
      <c r="NLI13" s="46"/>
      <c r="NLJ13" s="46"/>
      <c r="NLK13" s="46"/>
      <c r="NLL13" s="46"/>
      <c r="NLM13" s="46"/>
      <c r="NLN13" s="46"/>
      <c r="NLO13" s="46"/>
      <c r="NLP13" s="46"/>
      <c r="NLQ13" s="46"/>
      <c r="NLR13" s="46"/>
      <c r="NLS13" s="46"/>
      <c r="NLT13" s="46"/>
      <c r="NLU13" s="46"/>
      <c r="NLV13" s="46"/>
      <c r="NLW13" s="46"/>
      <c r="NLX13" s="46"/>
      <c r="NLY13" s="46"/>
      <c r="NLZ13" s="46"/>
      <c r="NMA13" s="46"/>
      <c r="NMB13" s="46"/>
      <c r="NMC13" s="46"/>
      <c r="NMD13" s="46"/>
      <c r="NME13" s="46"/>
      <c r="NMF13" s="46"/>
      <c r="NMG13" s="46"/>
      <c r="NMH13" s="46"/>
      <c r="NMI13" s="46"/>
      <c r="NMJ13" s="46"/>
      <c r="NMK13" s="46"/>
      <c r="NML13" s="46"/>
      <c r="NMM13" s="46"/>
      <c r="NMN13" s="46"/>
      <c r="NMO13" s="46"/>
      <c r="NMP13" s="46"/>
      <c r="NMQ13" s="46"/>
      <c r="NMR13" s="46"/>
      <c r="NMS13" s="46"/>
      <c r="NMT13" s="46"/>
      <c r="NMU13" s="46"/>
      <c r="NMV13" s="46"/>
      <c r="NMW13" s="46"/>
      <c r="NMX13" s="46"/>
      <c r="NMY13" s="46"/>
      <c r="NMZ13" s="46"/>
      <c r="NNA13" s="46"/>
      <c r="NNB13" s="46"/>
      <c r="NNC13" s="46"/>
      <c r="NND13" s="46"/>
      <c r="NNE13" s="46"/>
      <c r="NNF13" s="46"/>
      <c r="NNG13" s="46"/>
      <c r="NNH13" s="46"/>
      <c r="NNI13" s="46"/>
      <c r="NNJ13" s="46"/>
      <c r="NNK13" s="46"/>
      <c r="NNL13" s="46"/>
      <c r="NNM13" s="46"/>
      <c r="NNN13" s="46"/>
      <c r="NNO13" s="46"/>
      <c r="NNP13" s="46"/>
      <c r="NNQ13" s="46"/>
      <c r="NNR13" s="46"/>
      <c r="NNS13" s="46"/>
      <c r="NNT13" s="46"/>
      <c r="NNU13" s="46"/>
      <c r="NNV13" s="46"/>
      <c r="NNW13" s="46"/>
      <c r="NNX13" s="46"/>
      <c r="NNY13" s="46"/>
      <c r="NNZ13" s="46"/>
      <c r="NOA13" s="46"/>
      <c r="NOB13" s="46"/>
      <c r="NOC13" s="46"/>
      <c r="NOD13" s="46"/>
      <c r="NOE13" s="46"/>
      <c r="NOF13" s="46"/>
      <c r="NOG13" s="46"/>
      <c r="NOH13" s="46"/>
      <c r="NOI13" s="46"/>
      <c r="NOJ13" s="46"/>
      <c r="NOK13" s="46"/>
      <c r="NOL13" s="46"/>
      <c r="NOM13" s="46"/>
      <c r="NON13" s="46"/>
      <c r="NOO13" s="46"/>
      <c r="NOP13" s="46"/>
      <c r="NOQ13" s="46"/>
      <c r="NOR13" s="46"/>
      <c r="NOS13" s="46"/>
      <c r="NOT13" s="46"/>
      <c r="NOU13" s="46"/>
      <c r="NOV13" s="46"/>
      <c r="NOW13" s="46"/>
      <c r="NOX13" s="46"/>
      <c r="NOY13" s="46"/>
      <c r="NOZ13" s="46"/>
      <c r="NPA13" s="46"/>
      <c r="NPB13" s="46"/>
      <c r="NPC13" s="46"/>
      <c r="NPD13" s="46"/>
      <c r="NPE13" s="46"/>
      <c r="NPF13" s="46"/>
      <c r="NPG13" s="46"/>
      <c r="NPH13" s="46"/>
      <c r="NPI13" s="46"/>
      <c r="NPJ13" s="46"/>
      <c r="NPK13" s="46"/>
      <c r="NPL13" s="46"/>
      <c r="NPM13" s="46"/>
      <c r="NPN13" s="46"/>
      <c r="NPO13" s="46"/>
      <c r="NPP13" s="46"/>
      <c r="NPQ13" s="46"/>
      <c r="NPR13" s="46"/>
      <c r="NPS13" s="46"/>
      <c r="NPT13" s="46"/>
      <c r="NPU13" s="46"/>
      <c r="NPV13" s="46"/>
      <c r="NPW13" s="46"/>
      <c r="NPX13" s="46"/>
      <c r="NPY13" s="46"/>
      <c r="NPZ13" s="46"/>
      <c r="NQA13" s="46"/>
      <c r="NQB13" s="46"/>
      <c r="NQC13" s="46"/>
      <c r="NQD13" s="46"/>
      <c r="NQE13" s="46"/>
      <c r="NQF13" s="46"/>
      <c r="NQG13" s="46"/>
      <c r="NQH13" s="46"/>
      <c r="NQI13" s="46"/>
      <c r="NQJ13" s="46"/>
      <c r="NQK13" s="46"/>
      <c r="NQL13" s="46"/>
      <c r="NQM13" s="46"/>
      <c r="NQN13" s="46"/>
      <c r="NQO13" s="46"/>
      <c r="NQP13" s="46"/>
      <c r="NQQ13" s="46"/>
      <c r="NQR13" s="46"/>
      <c r="NQS13" s="46"/>
      <c r="NQT13" s="46"/>
      <c r="NQU13" s="46"/>
      <c r="NQV13" s="46"/>
      <c r="NQW13" s="46"/>
      <c r="NQX13" s="46"/>
      <c r="NQY13" s="46"/>
      <c r="NQZ13" s="46"/>
      <c r="NRA13" s="46"/>
      <c r="NRB13" s="46"/>
      <c r="NRC13" s="46"/>
      <c r="NRD13" s="46"/>
      <c r="NRE13" s="46"/>
      <c r="NRF13" s="46"/>
      <c r="NRG13" s="46"/>
      <c r="NRH13" s="46"/>
      <c r="NRI13" s="46"/>
      <c r="NRJ13" s="46"/>
      <c r="NRK13" s="46"/>
      <c r="NRL13" s="46"/>
      <c r="NRM13" s="46"/>
      <c r="NRN13" s="46"/>
      <c r="NRO13" s="46"/>
      <c r="NRP13" s="46"/>
      <c r="NRQ13" s="46"/>
      <c r="NRR13" s="46"/>
      <c r="NRS13" s="46"/>
      <c r="NRT13" s="46"/>
      <c r="NRU13" s="46"/>
      <c r="NRV13" s="46"/>
      <c r="NRW13" s="46"/>
      <c r="NRX13" s="46"/>
      <c r="NRY13" s="46"/>
      <c r="NRZ13" s="46"/>
      <c r="NSA13" s="46"/>
      <c r="NSB13" s="46"/>
      <c r="NSC13" s="46"/>
      <c r="NSD13" s="46"/>
      <c r="NSE13" s="46"/>
      <c r="NSF13" s="46"/>
      <c r="NSG13" s="46"/>
      <c r="NSH13" s="46"/>
      <c r="NSI13" s="46"/>
      <c r="NSJ13" s="46"/>
      <c r="NSK13" s="46"/>
      <c r="NSL13" s="46"/>
      <c r="NSM13" s="46"/>
      <c r="NSN13" s="46"/>
      <c r="NSO13" s="46"/>
      <c r="NSP13" s="46"/>
      <c r="NSQ13" s="46"/>
      <c r="NSR13" s="46"/>
      <c r="NSS13" s="46"/>
      <c r="NST13" s="46"/>
      <c r="NSU13" s="46"/>
      <c r="NSV13" s="46"/>
      <c r="NSW13" s="46"/>
      <c r="NSX13" s="46"/>
      <c r="NSY13" s="46"/>
      <c r="NSZ13" s="46"/>
      <c r="NTA13" s="46"/>
      <c r="NTB13" s="46"/>
      <c r="NTC13" s="46"/>
      <c r="NTD13" s="46"/>
      <c r="NTE13" s="46"/>
      <c r="NTF13" s="46"/>
      <c r="NTG13" s="46"/>
      <c r="NTH13" s="46"/>
      <c r="NTI13" s="46"/>
      <c r="NTJ13" s="46"/>
      <c r="NTK13" s="46"/>
      <c r="NTL13" s="46"/>
      <c r="NTM13" s="46"/>
      <c r="NTN13" s="46"/>
      <c r="NTO13" s="46"/>
      <c r="NTP13" s="46"/>
      <c r="NTQ13" s="46"/>
      <c r="NTR13" s="46"/>
      <c r="NTS13" s="46"/>
      <c r="NTT13" s="46"/>
      <c r="NTU13" s="46"/>
      <c r="NTV13" s="46"/>
      <c r="NTW13" s="46"/>
      <c r="NTX13" s="46"/>
      <c r="NTY13" s="46"/>
      <c r="NTZ13" s="46"/>
      <c r="NUA13" s="46"/>
      <c r="NUB13" s="46"/>
      <c r="NUC13" s="46"/>
      <c r="NUD13" s="46"/>
      <c r="NUE13" s="46"/>
      <c r="NUF13" s="46"/>
      <c r="NUG13" s="46"/>
      <c r="NUH13" s="46"/>
      <c r="NUI13" s="46"/>
      <c r="NUJ13" s="46"/>
      <c r="NUK13" s="46"/>
      <c r="NUL13" s="46"/>
      <c r="NUM13" s="46"/>
      <c r="NUN13" s="46"/>
      <c r="NUO13" s="46"/>
      <c r="NUP13" s="46"/>
      <c r="NUQ13" s="46"/>
      <c r="NUR13" s="46"/>
      <c r="NUS13" s="46"/>
      <c r="NUT13" s="46"/>
      <c r="NUU13" s="46"/>
      <c r="NUV13" s="46"/>
      <c r="NUW13" s="46"/>
      <c r="NUX13" s="46"/>
      <c r="NUY13" s="46"/>
      <c r="NUZ13" s="46"/>
      <c r="NVA13" s="46"/>
      <c r="NVB13" s="46"/>
      <c r="NVC13" s="46"/>
      <c r="NVD13" s="46"/>
      <c r="NVE13" s="46"/>
      <c r="NVF13" s="46"/>
      <c r="NVG13" s="46"/>
      <c r="NVH13" s="46"/>
      <c r="NVI13" s="46"/>
      <c r="NVJ13" s="46"/>
      <c r="NVK13" s="46"/>
      <c r="NVL13" s="46"/>
      <c r="NVM13" s="46"/>
      <c r="NVN13" s="46"/>
      <c r="NVO13" s="46"/>
      <c r="NVP13" s="46"/>
      <c r="NVQ13" s="46"/>
      <c r="NVR13" s="46"/>
      <c r="NVS13" s="46"/>
      <c r="NVT13" s="46"/>
      <c r="NVU13" s="46"/>
      <c r="NVV13" s="46"/>
      <c r="NVW13" s="46"/>
      <c r="NVX13" s="46"/>
      <c r="NVY13" s="46"/>
      <c r="NVZ13" s="46"/>
      <c r="NWA13" s="46"/>
      <c r="NWB13" s="46"/>
      <c r="NWC13" s="46"/>
      <c r="NWD13" s="46"/>
      <c r="NWE13" s="46"/>
      <c r="NWF13" s="46"/>
      <c r="NWG13" s="46"/>
      <c r="NWH13" s="46"/>
      <c r="NWI13" s="46"/>
      <c r="NWJ13" s="46"/>
      <c r="NWK13" s="46"/>
      <c r="NWL13" s="46"/>
      <c r="NWM13" s="46"/>
      <c r="NWN13" s="46"/>
      <c r="NWO13" s="46"/>
      <c r="NWP13" s="46"/>
      <c r="NWQ13" s="46"/>
      <c r="NWR13" s="46"/>
      <c r="NWS13" s="46"/>
      <c r="NWT13" s="46"/>
      <c r="NWU13" s="46"/>
      <c r="NWV13" s="46"/>
      <c r="NWW13" s="46"/>
      <c r="NWX13" s="46"/>
      <c r="NWY13" s="46"/>
      <c r="NWZ13" s="46"/>
      <c r="NXA13" s="46"/>
      <c r="NXB13" s="46"/>
      <c r="NXC13" s="46"/>
      <c r="NXD13" s="46"/>
      <c r="NXE13" s="46"/>
      <c r="NXF13" s="46"/>
      <c r="NXG13" s="46"/>
      <c r="NXH13" s="46"/>
      <c r="NXI13" s="46"/>
      <c r="NXJ13" s="46"/>
      <c r="NXK13" s="46"/>
      <c r="NXL13" s="46"/>
      <c r="NXM13" s="46"/>
      <c r="NXN13" s="46"/>
      <c r="NXO13" s="46"/>
      <c r="NXP13" s="46"/>
      <c r="NXQ13" s="46"/>
      <c r="NXR13" s="46"/>
      <c r="NXS13" s="46"/>
      <c r="NXT13" s="46"/>
      <c r="NXU13" s="46"/>
      <c r="NXV13" s="46"/>
      <c r="NXW13" s="46"/>
      <c r="NXX13" s="46"/>
      <c r="NXY13" s="46"/>
      <c r="NXZ13" s="46"/>
      <c r="NYA13" s="46"/>
      <c r="NYB13" s="46"/>
      <c r="NYC13" s="46"/>
      <c r="NYD13" s="46"/>
      <c r="NYE13" s="46"/>
      <c r="NYF13" s="46"/>
      <c r="NYG13" s="46"/>
      <c r="NYH13" s="46"/>
      <c r="NYI13" s="46"/>
      <c r="NYJ13" s="46"/>
      <c r="NYK13" s="46"/>
      <c r="NYL13" s="46"/>
      <c r="NYM13" s="46"/>
      <c r="NYN13" s="46"/>
      <c r="NYO13" s="46"/>
      <c r="NYP13" s="46"/>
      <c r="NYQ13" s="46"/>
      <c r="NYR13" s="46"/>
      <c r="NYS13" s="46"/>
      <c r="NYT13" s="46"/>
      <c r="NYU13" s="46"/>
      <c r="NYV13" s="46"/>
      <c r="NYW13" s="46"/>
      <c r="NYX13" s="46"/>
      <c r="NYY13" s="46"/>
      <c r="NYZ13" s="46"/>
      <c r="NZA13" s="46"/>
      <c r="NZB13" s="46"/>
      <c r="NZC13" s="46"/>
      <c r="NZD13" s="46"/>
      <c r="NZE13" s="46"/>
      <c r="NZF13" s="46"/>
      <c r="NZG13" s="46"/>
      <c r="NZH13" s="46"/>
      <c r="NZI13" s="46"/>
      <c r="NZJ13" s="46"/>
      <c r="NZK13" s="46"/>
      <c r="NZL13" s="46"/>
      <c r="NZM13" s="46"/>
      <c r="NZN13" s="46"/>
      <c r="NZO13" s="46"/>
      <c r="NZP13" s="46"/>
      <c r="NZQ13" s="46"/>
      <c r="NZR13" s="46"/>
      <c r="NZS13" s="46"/>
      <c r="NZT13" s="46"/>
      <c r="NZU13" s="46"/>
      <c r="NZV13" s="46"/>
      <c r="NZW13" s="46"/>
      <c r="NZX13" s="46"/>
      <c r="NZY13" s="46"/>
      <c r="NZZ13" s="46"/>
      <c r="OAA13" s="46"/>
      <c r="OAB13" s="46"/>
      <c r="OAC13" s="46"/>
      <c r="OAD13" s="46"/>
      <c r="OAE13" s="46"/>
      <c r="OAF13" s="46"/>
      <c r="OAG13" s="46"/>
      <c r="OAH13" s="46"/>
      <c r="OAI13" s="46"/>
      <c r="OAJ13" s="46"/>
      <c r="OAK13" s="46"/>
      <c r="OAL13" s="46"/>
      <c r="OAM13" s="46"/>
      <c r="OAN13" s="46"/>
      <c r="OAO13" s="46"/>
      <c r="OAP13" s="46"/>
      <c r="OAQ13" s="46"/>
      <c r="OAR13" s="46"/>
      <c r="OAS13" s="46"/>
      <c r="OAT13" s="46"/>
      <c r="OAU13" s="46"/>
      <c r="OAV13" s="46"/>
      <c r="OAW13" s="46"/>
      <c r="OAX13" s="46"/>
      <c r="OAY13" s="46"/>
      <c r="OAZ13" s="46"/>
      <c r="OBA13" s="46"/>
      <c r="OBB13" s="46"/>
      <c r="OBC13" s="46"/>
      <c r="OBD13" s="46"/>
      <c r="OBE13" s="46"/>
      <c r="OBF13" s="46"/>
      <c r="OBG13" s="46"/>
      <c r="OBH13" s="46"/>
      <c r="OBI13" s="46"/>
      <c r="OBJ13" s="46"/>
      <c r="OBK13" s="46"/>
      <c r="OBL13" s="46"/>
      <c r="OBM13" s="46"/>
      <c r="OBN13" s="46"/>
      <c r="OBO13" s="46"/>
      <c r="OBP13" s="46"/>
      <c r="OBQ13" s="46"/>
      <c r="OBR13" s="46"/>
      <c r="OBS13" s="46"/>
      <c r="OBT13" s="46"/>
      <c r="OBU13" s="46"/>
      <c r="OBV13" s="46"/>
      <c r="OBW13" s="46"/>
      <c r="OBX13" s="46"/>
      <c r="OBY13" s="46"/>
      <c r="OBZ13" s="46"/>
      <c r="OCA13" s="46"/>
      <c r="OCB13" s="46"/>
      <c r="OCC13" s="46"/>
      <c r="OCD13" s="46"/>
      <c r="OCE13" s="46"/>
      <c r="OCF13" s="46"/>
      <c r="OCG13" s="46"/>
      <c r="OCH13" s="46"/>
      <c r="OCI13" s="46"/>
      <c r="OCJ13" s="46"/>
      <c r="OCK13" s="46"/>
      <c r="OCL13" s="46"/>
      <c r="OCM13" s="46"/>
      <c r="OCN13" s="46"/>
      <c r="OCO13" s="46"/>
      <c r="OCP13" s="46"/>
      <c r="OCQ13" s="46"/>
      <c r="OCR13" s="46"/>
      <c r="OCS13" s="46"/>
      <c r="OCT13" s="46"/>
      <c r="OCU13" s="46"/>
      <c r="OCV13" s="46"/>
      <c r="OCW13" s="46"/>
      <c r="OCX13" s="46"/>
      <c r="OCY13" s="46"/>
      <c r="OCZ13" s="46"/>
      <c r="ODA13" s="46"/>
      <c r="ODB13" s="46"/>
      <c r="ODC13" s="46"/>
      <c r="ODD13" s="46"/>
      <c r="ODE13" s="46"/>
      <c r="ODF13" s="46"/>
      <c r="ODG13" s="46"/>
      <c r="ODH13" s="46"/>
      <c r="ODI13" s="46"/>
      <c r="ODJ13" s="46"/>
      <c r="ODK13" s="46"/>
      <c r="ODL13" s="46"/>
      <c r="ODM13" s="46"/>
      <c r="ODN13" s="46"/>
      <c r="ODO13" s="46"/>
      <c r="ODP13" s="46"/>
      <c r="ODQ13" s="46"/>
      <c r="ODR13" s="46"/>
      <c r="ODS13" s="46"/>
      <c r="ODT13" s="46"/>
      <c r="ODU13" s="46"/>
      <c r="ODV13" s="46"/>
      <c r="ODW13" s="46"/>
      <c r="ODX13" s="46"/>
      <c r="ODY13" s="46"/>
      <c r="ODZ13" s="46"/>
      <c r="OEA13" s="46"/>
      <c r="OEB13" s="46"/>
      <c r="OEC13" s="46"/>
      <c r="OED13" s="46"/>
      <c r="OEE13" s="46"/>
      <c r="OEF13" s="46"/>
      <c r="OEG13" s="46"/>
      <c r="OEH13" s="46"/>
      <c r="OEI13" s="46"/>
      <c r="OEJ13" s="46"/>
      <c r="OEK13" s="46"/>
      <c r="OEL13" s="46"/>
      <c r="OEM13" s="46"/>
      <c r="OEN13" s="46"/>
      <c r="OEO13" s="46"/>
      <c r="OEP13" s="46"/>
      <c r="OEQ13" s="46"/>
      <c r="OER13" s="46"/>
      <c r="OES13" s="46"/>
      <c r="OET13" s="46"/>
      <c r="OEU13" s="46"/>
      <c r="OEV13" s="46"/>
      <c r="OEW13" s="46"/>
      <c r="OEX13" s="46"/>
      <c r="OEY13" s="46"/>
      <c r="OEZ13" s="46"/>
      <c r="OFA13" s="46"/>
      <c r="OFB13" s="46"/>
      <c r="OFC13" s="46"/>
      <c r="OFD13" s="46"/>
      <c r="OFE13" s="46"/>
      <c r="OFF13" s="46"/>
      <c r="OFG13" s="46"/>
      <c r="OFH13" s="46"/>
      <c r="OFI13" s="46"/>
      <c r="OFJ13" s="46"/>
      <c r="OFK13" s="46"/>
      <c r="OFL13" s="46"/>
      <c r="OFM13" s="46"/>
      <c r="OFN13" s="46"/>
      <c r="OFO13" s="46"/>
      <c r="OFP13" s="46"/>
      <c r="OFQ13" s="46"/>
      <c r="OFR13" s="46"/>
      <c r="OFS13" s="46"/>
      <c r="OFT13" s="46"/>
      <c r="OFU13" s="46"/>
      <c r="OFV13" s="46"/>
      <c r="OFW13" s="46"/>
      <c r="OFX13" s="46"/>
      <c r="OFY13" s="46"/>
      <c r="OFZ13" s="46"/>
      <c r="OGA13" s="46"/>
      <c r="OGB13" s="46"/>
      <c r="OGC13" s="46"/>
      <c r="OGD13" s="46"/>
      <c r="OGE13" s="46"/>
      <c r="OGF13" s="46"/>
      <c r="OGG13" s="46"/>
      <c r="OGH13" s="46"/>
      <c r="OGI13" s="46"/>
      <c r="OGJ13" s="46"/>
      <c r="OGK13" s="46"/>
      <c r="OGL13" s="46"/>
      <c r="OGM13" s="46"/>
      <c r="OGN13" s="46"/>
      <c r="OGO13" s="46"/>
      <c r="OGP13" s="46"/>
      <c r="OGQ13" s="46"/>
      <c r="OGR13" s="46"/>
      <c r="OGS13" s="46"/>
      <c r="OGT13" s="46"/>
      <c r="OGU13" s="46"/>
      <c r="OGV13" s="46"/>
      <c r="OGW13" s="46"/>
      <c r="OGX13" s="46"/>
      <c r="OGY13" s="46"/>
      <c r="OGZ13" s="46"/>
      <c r="OHA13" s="46"/>
      <c r="OHB13" s="46"/>
      <c r="OHC13" s="46"/>
      <c r="OHD13" s="46"/>
      <c r="OHE13" s="46"/>
      <c r="OHF13" s="46"/>
      <c r="OHG13" s="46"/>
      <c r="OHH13" s="46"/>
      <c r="OHI13" s="46"/>
      <c r="OHJ13" s="46"/>
      <c r="OHK13" s="46"/>
      <c r="OHL13" s="46"/>
      <c r="OHM13" s="46"/>
      <c r="OHN13" s="46"/>
      <c r="OHO13" s="46"/>
      <c r="OHP13" s="46"/>
      <c r="OHQ13" s="46"/>
      <c r="OHR13" s="46"/>
      <c r="OHS13" s="46"/>
      <c r="OHT13" s="46"/>
      <c r="OHU13" s="46"/>
      <c r="OHV13" s="46"/>
      <c r="OHW13" s="46"/>
      <c r="OHX13" s="46"/>
      <c r="OHY13" s="46"/>
      <c r="OHZ13" s="46"/>
      <c r="OIA13" s="46"/>
      <c r="OIB13" s="46"/>
      <c r="OIC13" s="46"/>
      <c r="OID13" s="46"/>
      <c r="OIE13" s="46"/>
      <c r="OIF13" s="46"/>
      <c r="OIG13" s="46"/>
      <c r="OIH13" s="46"/>
      <c r="OII13" s="46"/>
      <c r="OIJ13" s="46"/>
      <c r="OIK13" s="46"/>
      <c r="OIL13" s="46"/>
      <c r="OIM13" s="46"/>
      <c r="OIN13" s="46"/>
      <c r="OIO13" s="46"/>
      <c r="OIP13" s="46"/>
      <c r="OIQ13" s="46"/>
      <c r="OIR13" s="46"/>
      <c r="OIS13" s="46"/>
      <c r="OIT13" s="46"/>
      <c r="OIU13" s="46"/>
      <c r="OIV13" s="46"/>
      <c r="OIW13" s="46"/>
      <c r="OIX13" s="46"/>
      <c r="OIY13" s="46"/>
      <c r="OIZ13" s="46"/>
      <c r="OJA13" s="46"/>
      <c r="OJB13" s="46"/>
      <c r="OJC13" s="46"/>
      <c r="OJD13" s="46"/>
      <c r="OJE13" s="46"/>
      <c r="OJF13" s="46"/>
      <c r="OJG13" s="46"/>
      <c r="OJH13" s="46"/>
      <c r="OJI13" s="46"/>
      <c r="OJJ13" s="46"/>
      <c r="OJK13" s="46"/>
      <c r="OJL13" s="46"/>
      <c r="OJM13" s="46"/>
      <c r="OJN13" s="46"/>
      <c r="OJO13" s="46"/>
      <c r="OJP13" s="46"/>
      <c r="OJQ13" s="46"/>
      <c r="OJR13" s="46"/>
      <c r="OJS13" s="46"/>
      <c r="OJT13" s="46"/>
      <c r="OJU13" s="46"/>
      <c r="OJV13" s="46"/>
      <c r="OJW13" s="46"/>
      <c r="OJX13" s="46"/>
      <c r="OJY13" s="46"/>
      <c r="OJZ13" s="46"/>
      <c r="OKA13" s="46"/>
      <c r="OKB13" s="46"/>
      <c r="OKC13" s="46"/>
      <c r="OKD13" s="46"/>
      <c r="OKE13" s="46"/>
      <c r="OKF13" s="46"/>
      <c r="OKG13" s="46"/>
      <c r="OKH13" s="46"/>
      <c r="OKI13" s="46"/>
      <c r="OKJ13" s="46"/>
      <c r="OKK13" s="46"/>
      <c r="OKL13" s="46"/>
      <c r="OKM13" s="46"/>
      <c r="OKN13" s="46"/>
      <c r="OKO13" s="46"/>
      <c r="OKP13" s="46"/>
      <c r="OKQ13" s="46"/>
      <c r="OKR13" s="46"/>
      <c r="OKS13" s="46"/>
      <c r="OKT13" s="46"/>
      <c r="OKU13" s="46"/>
      <c r="OKV13" s="46"/>
      <c r="OKW13" s="46"/>
      <c r="OKX13" s="46"/>
      <c r="OKY13" s="46"/>
      <c r="OKZ13" s="46"/>
      <c r="OLA13" s="46"/>
      <c r="OLB13" s="46"/>
      <c r="OLC13" s="46"/>
      <c r="OLD13" s="46"/>
      <c r="OLE13" s="46"/>
      <c r="OLF13" s="46"/>
      <c r="OLG13" s="46"/>
      <c r="OLH13" s="46"/>
      <c r="OLI13" s="46"/>
      <c r="OLJ13" s="46"/>
      <c r="OLK13" s="46"/>
      <c r="OLL13" s="46"/>
      <c r="OLM13" s="46"/>
      <c r="OLN13" s="46"/>
      <c r="OLO13" s="46"/>
      <c r="OLP13" s="46"/>
      <c r="OLQ13" s="46"/>
      <c r="OLR13" s="46"/>
      <c r="OLS13" s="46"/>
      <c r="OLT13" s="46"/>
      <c r="OLU13" s="46"/>
      <c r="OLV13" s="46"/>
      <c r="OLW13" s="46"/>
      <c r="OLX13" s="46"/>
      <c r="OLY13" s="46"/>
      <c r="OLZ13" s="46"/>
      <c r="OMA13" s="46"/>
      <c r="OMB13" s="46"/>
      <c r="OMC13" s="46"/>
      <c r="OMD13" s="46"/>
      <c r="OME13" s="46"/>
      <c r="OMF13" s="46"/>
      <c r="OMG13" s="46"/>
      <c r="OMH13" s="46"/>
      <c r="OMI13" s="46"/>
      <c r="OMJ13" s="46"/>
      <c r="OMK13" s="46"/>
      <c r="OML13" s="46"/>
      <c r="OMM13" s="46"/>
      <c r="OMN13" s="46"/>
      <c r="OMO13" s="46"/>
      <c r="OMP13" s="46"/>
      <c r="OMQ13" s="46"/>
      <c r="OMR13" s="46"/>
      <c r="OMS13" s="46"/>
      <c r="OMT13" s="46"/>
      <c r="OMU13" s="46"/>
      <c r="OMV13" s="46"/>
      <c r="OMW13" s="46"/>
      <c r="OMX13" s="46"/>
      <c r="OMY13" s="46"/>
      <c r="OMZ13" s="46"/>
      <c r="ONA13" s="46"/>
      <c r="ONB13" s="46"/>
      <c r="ONC13" s="46"/>
      <c r="OND13" s="46"/>
      <c r="ONE13" s="46"/>
      <c r="ONF13" s="46"/>
      <c r="ONG13" s="46"/>
      <c r="ONH13" s="46"/>
      <c r="ONI13" s="46"/>
      <c r="ONJ13" s="46"/>
      <c r="ONK13" s="46"/>
      <c r="ONL13" s="46"/>
      <c r="ONM13" s="46"/>
      <c r="ONN13" s="46"/>
      <c r="ONO13" s="46"/>
      <c r="ONP13" s="46"/>
      <c r="ONQ13" s="46"/>
      <c r="ONR13" s="46"/>
      <c r="ONS13" s="46"/>
      <c r="ONT13" s="46"/>
      <c r="ONU13" s="46"/>
      <c r="ONV13" s="46"/>
      <c r="ONW13" s="46"/>
      <c r="ONX13" s="46"/>
      <c r="ONY13" s="46"/>
      <c r="ONZ13" s="46"/>
      <c r="OOA13" s="46"/>
      <c r="OOB13" s="46"/>
      <c r="OOC13" s="46"/>
      <c r="OOD13" s="46"/>
      <c r="OOE13" s="46"/>
      <c r="OOF13" s="46"/>
      <c r="OOG13" s="46"/>
      <c r="OOH13" s="46"/>
      <c r="OOI13" s="46"/>
      <c r="OOJ13" s="46"/>
      <c r="OOK13" s="46"/>
      <c r="OOL13" s="46"/>
      <c r="OOM13" s="46"/>
      <c r="OON13" s="46"/>
      <c r="OOO13" s="46"/>
      <c r="OOP13" s="46"/>
      <c r="OOQ13" s="46"/>
      <c r="OOR13" s="46"/>
      <c r="OOS13" s="46"/>
      <c r="OOT13" s="46"/>
      <c r="OOU13" s="46"/>
      <c r="OOV13" s="46"/>
      <c r="OOW13" s="46"/>
      <c r="OOX13" s="46"/>
      <c r="OOY13" s="46"/>
      <c r="OOZ13" s="46"/>
      <c r="OPA13" s="46"/>
      <c r="OPB13" s="46"/>
      <c r="OPC13" s="46"/>
      <c r="OPD13" s="46"/>
      <c r="OPE13" s="46"/>
      <c r="OPF13" s="46"/>
      <c r="OPG13" s="46"/>
      <c r="OPH13" s="46"/>
      <c r="OPI13" s="46"/>
      <c r="OPJ13" s="46"/>
      <c r="OPK13" s="46"/>
      <c r="OPL13" s="46"/>
      <c r="OPM13" s="46"/>
      <c r="OPN13" s="46"/>
      <c r="OPO13" s="46"/>
      <c r="OPP13" s="46"/>
      <c r="OPQ13" s="46"/>
      <c r="OPR13" s="46"/>
      <c r="OPS13" s="46"/>
      <c r="OPT13" s="46"/>
      <c r="OPU13" s="46"/>
      <c r="OPV13" s="46"/>
      <c r="OPW13" s="46"/>
      <c r="OPX13" s="46"/>
      <c r="OPY13" s="46"/>
      <c r="OPZ13" s="46"/>
      <c r="OQA13" s="46"/>
      <c r="OQB13" s="46"/>
      <c r="OQC13" s="46"/>
      <c r="OQD13" s="46"/>
      <c r="OQE13" s="46"/>
      <c r="OQF13" s="46"/>
      <c r="OQG13" s="46"/>
      <c r="OQH13" s="46"/>
      <c r="OQI13" s="46"/>
      <c r="OQJ13" s="46"/>
      <c r="OQK13" s="46"/>
      <c r="OQL13" s="46"/>
      <c r="OQM13" s="46"/>
      <c r="OQN13" s="46"/>
      <c r="OQO13" s="46"/>
      <c r="OQP13" s="46"/>
      <c r="OQQ13" s="46"/>
      <c r="OQR13" s="46"/>
      <c r="OQS13" s="46"/>
      <c r="OQT13" s="46"/>
      <c r="OQU13" s="46"/>
      <c r="OQV13" s="46"/>
      <c r="OQW13" s="46"/>
      <c r="OQX13" s="46"/>
      <c r="OQY13" s="46"/>
      <c r="OQZ13" s="46"/>
      <c r="ORA13" s="46"/>
      <c r="ORB13" s="46"/>
      <c r="ORC13" s="46"/>
      <c r="ORD13" s="46"/>
      <c r="ORE13" s="46"/>
      <c r="ORF13" s="46"/>
      <c r="ORG13" s="46"/>
      <c r="ORH13" s="46"/>
      <c r="ORI13" s="46"/>
      <c r="ORJ13" s="46"/>
      <c r="ORK13" s="46"/>
      <c r="ORL13" s="46"/>
      <c r="ORM13" s="46"/>
      <c r="ORN13" s="46"/>
      <c r="ORO13" s="46"/>
      <c r="ORP13" s="46"/>
      <c r="ORQ13" s="46"/>
      <c r="ORR13" s="46"/>
      <c r="ORS13" s="46"/>
      <c r="ORT13" s="46"/>
      <c r="ORU13" s="46"/>
      <c r="ORV13" s="46"/>
      <c r="ORW13" s="46"/>
      <c r="ORX13" s="46"/>
      <c r="ORY13" s="46"/>
      <c r="ORZ13" s="46"/>
      <c r="OSA13" s="46"/>
      <c r="OSB13" s="46"/>
      <c r="OSC13" s="46"/>
      <c r="OSD13" s="46"/>
      <c r="OSE13" s="46"/>
      <c r="OSF13" s="46"/>
      <c r="OSG13" s="46"/>
      <c r="OSH13" s="46"/>
      <c r="OSI13" s="46"/>
      <c r="OSJ13" s="46"/>
      <c r="OSK13" s="46"/>
      <c r="OSL13" s="46"/>
      <c r="OSM13" s="46"/>
      <c r="OSN13" s="46"/>
      <c r="OSO13" s="46"/>
      <c r="OSP13" s="46"/>
      <c r="OSQ13" s="46"/>
      <c r="OSR13" s="46"/>
      <c r="OSS13" s="46"/>
      <c r="OST13" s="46"/>
      <c r="OSU13" s="46"/>
      <c r="OSV13" s="46"/>
      <c r="OSW13" s="46"/>
      <c r="OSX13" s="46"/>
      <c r="OSY13" s="46"/>
      <c r="OSZ13" s="46"/>
      <c r="OTA13" s="46"/>
      <c r="OTB13" s="46"/>
      <c r="OTC13" s="46"/>
      <c r="OTD13" s="46"/>
      <c r="OTE13" s="46"/>
      <c r="OTF13" s="46"/>
      <c r="OTG13" s="46"/>
      <c r="OTH13" s="46"/>
      <c r="OTI13" s="46"/>
      <c r="OTJ13" s="46"/>
      <c r="OTK13" s="46"/>
      <c r="OTL13" s="46"/>
      <c r="OTM13" s="46"/>
      <c r="OTN13" s="46"/>
      <c r="OTO13" s="46"/>
      <c r="OTP13" s="46"/>
      <c r="OTQ13" s="46"/>
      <c r="OTR13" s="46"/>
      <c r="OTS13" s="46"/>
      <c r="OTT13" s="46"/>
      <c r="OTU13" s="46"/>
      <c r="OTV13" s="46"/>
      <c r="OTW13" s="46"/>
      <c r="OTX13" s="46"/>
      <c r="OTY13" s="46"/>
      <c r="OTZ13" s="46"/>
      <c r="OUA13" s="46"/>
      <c r="OUB13" s="46"/>
      <c r="OUC13" s="46"/>
      <c r="OUD13" s="46"/>
      <c r="OUE13" s="46"/>
      <c r="OUF13" s="46"/>
      <c r="OUG13" s="46"/>
      <c r="OUH13" s="46"/>
      <c r="OUI13" s="46"/>
      <c r="OUJ13" s="46"/>
      <c r="OUK13" s="46"/>
      <c r="OUL13" s="46"/>
      <c r="OUM13" s="46"/>
      <c r="OUN13" s="46"/>
      <c r="OUO13" s="46"/>
      <c r="OUP13" s="46"/>
      <c r="OUQ13" s="46"/>
      <c r="OUR13" s="46"/>
      <c r="OUS13" s="46"/>
      <c r="OUT13" s="46"/>
      <c r="OUU13" s="46"/>
      <c r="OUV13" s="46"/>
      <c r="OUW13" s="46"/>
      <c r="OUX13" s="46"/>
      <c r="OUY13" s="46"/>
      <c r="OUZ13" s="46"/>
      <c r="OVA13" s="46"/>
      <c r="OVB13" s="46"/>
      <c r="OVC13" s="46"/>
      <c r="OVD13" s="46"/>
      <c r="OVE13" s="46"/>
      <c r="OVF13" s="46"/>
      <c r="OVG13" s="46"/>
      <c r="OVH13" s="46"/>
      <c r="OVI13" s="46"/>
      <c r="OVJ13" s="46"/>
      <c r="OVK13" s="46"/>
      <c r="OVL13" s="46"/>
      <c r="OVM13" s="46"/>
      <c r="OVN13" s="46"/>
      <c r="OVO13" s="46"/>
      <c r="OVP13" s="46"/>
      <c r="OVQ13" s="46"/>
      <c r="OVR13" s="46"/>
      <c r="OVS13" s="46"/>
      <c r="OVT13" s="46"/>
      <c r="OVU13" s="46"/>
      <c r="OVV13" s="46"/>
      <c r="OVW13" s="46"/>
      <c r="OVX13" s="46"/>
      <c r="OVY13" s="46"/>
      <c r="OVZ13" s="46"/>
      <c r="OWA13" s="46"/>
      <c r="OWB13" s="46"/>
      <c r="OWC13" s="46"/>
      <c r="OWD13" s="46"/>
      <c r="OWE13" s="46"/>
      <c r="OWF13" s="46"/>
      <c r="OWG13" s="46"/>
      <c r="OWH13" s="46"/>
      <c r="OWI13" s="46"/>
      <c r="OWJ13" s="46"/>
      <c r="OWK13" s="46"/>
      <c r="OWL13" s="46"/>
      <c r="OWM13" s="46"/>
      <c r="OWN13" s="46"/>
      <c r="OWO13" s="46"/>
      <c r="OWP13" s="46"/>
      <c r="OWQ13" s="46"/>
      <c r="OWR13" s="46"/>
      <c r="OWS13" s="46"/>
      <c r="OWT13" s="46"/>
      <c r="OWU13" s="46"/>
      <c r="OWV13" s="46"/>
      <c r="OWW13" s="46"/>
      <c r="OWX13" s="46"/>
      <c r="OWY13" s="46"/>
      <c r="OWZ13" s="46"/>
      <c r="OXA13" s="46"/>
      <c r="OXB13" s="46"/>
      <c r="OXC13" s="46"/>
      <c r="OXD13" s="46"/>
      <c r="OXE13" s="46"/>
      <c r="OXF13" s="46"/>
      <c r="OXG13" s="46"/>
      <c r="OXH13" s="46"/>
      <c r="OXI13" s="46"/>
      <c r="OXJ13" s="46"/>
      <c r="OXK13" s="46"/>
      <c r="OXL13" s="46"/>
      <c r="OXM13" s="46"/>
      <c r="OXN13" s="46"/>
      <c r="OXO13" s="46"/>
      <c r="OXP13" s="46"/>
      <c r="OXQ13" s="46"/>
      <c r="OXR13" s="46"/>
      <c r="OXS13" s="46"/>
      <c r="OXT13" s="46"/>
      <c r="OXU13" s="46"/>
      <c r="OXV13" s="46"/>
      <c r="OXW13" s="46"/>
      <c r="OXX13" s="46"/>
      <c r="OXY13" s="46"/>
      <c r="OXZ13" s="46"/>
      <c r="OYA13" s="46"/>
      <c r="OYB13" s="46"/>
      <c r="OYC13" s="46"/>
      <c r="OYD13" s="46"/>
      <c r="OYE13" s="46"/>
      <c r="OYF13" s="46"/>
      <c r="OYG13" s="46"/>
      <c r="OYH13" s="46"/>
      <c r="OYI13" s="46"/>
      <c r="OYJ13" s="46"/>
      <c r="OYK13" s="46"/>
      <c r="OYL13" s="46"/>
      <c r="OYM13" s="46"/>
      <c r="OYN13" s="46"/>
      <c r="OYO13" s="46"/>
      <c r="OYP13" s="46"/>
      <c r="OYQ13" s="46"/>
      <c r="OYR13" s="46"/>
      <c r="OYS13" s="46"/>
      <c r="OYT13" s="46"/>
      <c r="OYU13" s="46"/>
      <c r="OYV13" s="46"/>
      <c r="OYW13" s="46"/>
      <c r="OYX13" s="46"/>
      <c r="OYY13" s="46"/>
      <c r="OYZ13" s="46"/>
      <c r="OZA13" s="46"/>
      <c r="OZB13" s="46"/>
      <c r="OZC13" s="46"/>
      <c r="OZD13" s="46"/>
      <c r="OZE13" s="46"/>
      <c r="OZF13" s="46"/>
      <c r="OZG13" s="46"/>
      <c r="OZH13" s="46"/>
      <c r="OZI13" s="46"/>
      <c r="OZJ13" s="46"/>
      <c r="OZK13" s="46"/>
      <c r="OZL13" s="46"/>
      <c r="OZM13" s="46"/>
      <c r="OZN13" s="46"/>
      <c r="OZO13" s="46"/>
      <c r="OZP13" s="46"/>
      <c r="OZQ13" s="46"/>
      <c r="OZR13" s="46"/>
      <c r="OZS13" s="46"/>
      <c r="OZT13" s="46"/>
      <c r="OZU13" s="46"/>
      <c r="OZV13" s="46"/>
      <c r="OZW13" s="46"/>
      <c r="OZX13" s="46"/>
      <c r="OZY13" s="46"/>
      <c r="OZZ13" s="46"/>
      <c r="PAA13" s="46"/>
      <c r="PAB13" s="46"/>
      <c r="PAC13" s="46"/>
      <c r="PAD13" s="46"/>
      <c r="PAE13" s="46"/>
      <c r="PAF13" s="46"/>
      <c r="PAG13" s="46"/>
      <c r="PAH13" s="46"/>
      <c r="PAI13" s="46"/>
      <c r="PAJ13" s="46"/>
      <c r="PAK13" s="46"/>
      <c r="PAL13" s="46"/>
      <c r="PAM13" s="46"/>
      <c r="PAN13" s="46"/>
      <c r="PAO13" s="46"/>
      <c r="PAP13" s="46"/>
      <c r="PAQ13" s="46"/>
      <c r="PAR13" s="46"/>
      <c r="PAS13" s="46"/>
      <c r="PAT13" s="46"/>
      <c r="PAU13" s="46"/>
      <c r="PAV13" s="46"/>
      <c r="PAW13" s="46"/>
      <c r="PAX13" s="46"/>
      <c r="PAY13" s="46"/>
      <c r="PAZ13" s="46"/>
      <c r="PBA13" s="46"/>
      <c r="PBB13" s="46"/>
      <c r="PBC13" s="46"/>
      <c r="PBD13" s="46"/>
      <c r="PBE13" s="46"/>
      <c r="PBF13" s="46"/>
      <c r="PBG13" s="46"/>
      <c r="PBH13" s="46"/>
      <c r="PBI13" s="46"/>
      <c r="PBJ13" s="46"/>
      <c r="PBK13" s="46"/>
      <c r="PBL13" s="46"/>
      <c r="PBM13" s="46"/>
      <c r="PBN13" s="46"/>
      <c r="PBO13" s="46"/>
      <c r="PBP13" s="46"/>
      <c r="PBQ13" s="46"/>
      <c r="PBR13" s="46"/>
      <c r="PBS13" s="46"/>
      <c r="PBT13" s="46"/>
      <c r="PBU13" s="46"/>
      <c r="PBV13" s="46"/>
      <c r="PBW13" s="46"/>
      <c r="PBX13" s="46"/>
      <c r="PBY13" s="46"/>
      <c r="PBZ13" s="46"/>
      <c r="PCA13" s="46"/>
      <c r="PCB13" s="46"/>
      <c r="PCC13" s="46"/>
      <c r="PCD13" s="46"/>
      <c r="PCE13" s="46"/>
      <c r="PCF13" s="46"/>
      <c r="PCG13" s="46"/>
      <c r="PCH13" s="46"/>
      <c r="PCI13" s="46"/>
      <c r="PCJ13" s="46"/>
      <c r="PCK13" s="46"/>
      <c r="PCL13" s="46"/>
      <c r="PCM13" s="46"/>
      <c r="PCN13" s="46"/>
      <c r="PCO13" s="46"/>
      <c r="PCP13" s="46"/>
      <c r="PCQ13" s="46"/>
      <c r="PCR13" s="46"/>
      <c r="PCS13" s="46"/>
      <c r="PCT13" s="46"/>
      <c r="PCU13" s="46"/>
      <c r="PCV13" s="46"/>
      <c r="PCW13" s="46"/>
      <c r="PCX13" s="46"/>
      <c r="PCY13" s="46"/>
      <c r="PCZ13" s="46"/>
      <c r="PDA13" s="46"/>
      <c r="PDB13" s="46"/>
      <c r="PDC13" s="46"/>
      <c r="PDD13" s="46"/>
      <c r="PDE13" s="46"/>
      <c r="PDF13" s="46"/>
      <c r="PDG13" s="46"/>
      <c r="PDH13" s="46"/>
      <c r="PDI13" s="46"/>
      <c r="PDJ13" s="46"/>
      <c r="PDK13" s="46"/>
      <c r="PDL13" s="46"/>
      <c r="PDM13" s="46"/>
      <c r="PDN13" s="46"/>
      <c r="PDO13" s="46"/>
      <c r="PDP13" s="46"/>
      <c r="PDQ13" s="46"/>
      <c r="PDR13" s="46"/>
      <c r="PDS13" s="46"/>
      <c r="PDT13" s="46"/>
      <c r="PDU13" s="46"/>
      <c r="PDV13" s="46"/>
      <c r="PDW13" s="46"/>
      <c r="PDX13" s="46"/>
      <c r="PDY13" s="46"/>
      <c r="PDZ13" s="46"/>
      <c r="PEA13" s="46"/>
      <c r="PEB13" s="46"/>
      <c r="PEC13" s="46"/>
      <c r="PED13" s="46"/>
      <c r="PEE13" s="46"/>
      <c r="PEF13" s="46"/>
      <c r="PEG13" s="46"/>
      <c r="PEH13" s="46"/>
      <c r="PEI13" s="46"/>
      <c r="PEJ13" s="46"/>
      <c r="PEK13" s="46"/>
      <c r="PEL13" s="46"/>
      <c r="PEM13" s="46"/>
      <c r="PEN13" s="46"/>
      <c r="PEO13" s="46"/>
      <c r="PEP13" s="46"/>
      <c r="PEQ13" s="46"/>
      <c r="PER13" s="46"/>
      <c r="PES13" s="46"/>
      <c r="PET13" s="46"/>
      <c r="PEU13" s="46"/>
      <c r="PEV13" s="46"/>
      <c r="PEW13" s="46"/>
      <c r="PEX13" s="46"/>
      <c r="PEY13" s="46"/>
      <c r="PEZ13" s="46"/>
      <c r="PFA13" s="46"/>
      <c r="PFB13" s="46"/>
      <c r="PFC13" s="46"/>
      <c r="PFD13" s="46"/>
      <c r="PFE13" s="46"/>
      <c r="PFF13" s="46"/>
      <c r="PFG13" s="46"/>
      <c r="PFH13" s="46"/>
      <c r="PFI13" s="46"/>
      <c r="PFJ13" s="46"/>
      <c r="PFK13" s="46"/>
      <c r="PFL13" s="46"/>
      <c r="PFM13" s="46"/>
      <c r="PFN13" s="46"/>
      <c r="PFO13" s="46"/>
      <c r="PFP13" s="46"/>
      <c r="PFQ13" s="46"/>
      <c r="PFR13" s="46"/>
      <c r="PFS13" s="46"/>
      <c r="PFT13" s="46"/>
      <c r="PFU13" s="46"/>
      <c r="PFV13" s="46"/>
      <c r="PFW13" s="46"/>
      <c r="PFX13" s="46"/>
      <c r="PFY13" s="46"/>
      <c r="PFZ13" s="46"/>
      <c r="PGA13" s="46"/>
      <c r="PGB13" s="46"/>
      <c r="PGC13" s="46"/>
      <c r="PGD13" s="46"/>
      <c r="PGE13" s="46"/>
      <c r="PGF13" s="46"/>
      <c r="PGG13" s="46"/>
      <c r="PGH13" s="46"/>
      <c r="PGI13" s="46"/>
      <c r="PGJ13" s="46"/>
      <c r="PGK13" s="46"/>
      <c r="PGL13" s="46"/>
      <c r="PGM13" s="46"/>
      <c r="PGN13" s="46"/>
      <c r="PGO13" s="46"/>
      <c r="PGP13" s="46"/>
      <c r="PGQ13" s="46"/>
      <c r="PGR13" s="46"/>
      <c r="PGS13" s="46"/>
      <c r="PGT13" s="46"/>
      <c r="PGU13" s="46"/>
      <c r="PGV13" s="46"/>
      <c r="PGW13" s="46"/>
      <c r="PGX13" s="46"/>
      <c r="PGY13" s="46"/>
      <c r="PGZ13" s="46"/>
      <c r="PHA13" s="46"/>
      <c r="PHB13" s="46"/>
      <c r="PHC13" s="46"/>
      <c r="PHD13" s="46"/>
      <c r="PHE13" s="46"/>
      <c r="PHF13" s="46"/>
      <c r="PHG13" s="46"/>
      <c r="PHH13" s="46"/>
      <c r="PHI13" s="46"/>
      <c r="PHJ13" s="46"/>
      <c r="PHK13" s="46"/>
      <c r="PHL13" s="46"/>
      <c r="PHM13" s="46"/>
      <c r="PHN13" s="46"/>
      <c r="PHO13" s="46"/>
      <c r="PHP13" s="46"/>
      <c r="PHQ13" s="46"/>
      <c r="PHR13" s="46"/>
      <c r="PHS13" s="46"/>
      <c r="PHT13" s="46"/>
      <c r="PHU13" s="46"/>
      <c r="PHV13" s="46"/>
      <c r="PHW13" s="46"/>
      <c r="PHX13" s="46"/>
      <c r="PHY13" s="46"/>
      <c r="PHZ13" s="46"/>
      <c r="PIA13" s="46"/>
      <c r="PIB13" s="46"/>
      <c r="PIC13" s="46"/>
      <c r="PID13" s="46"/>
      <c r="PIE13" s="46"/>
      <c r="PIF13" s="46"/>
      <c r="PIG13" s="46"/>
      <c r="PIH13" s="46"/>
      <c r="PII13" s="46"/>
      <c r="PIJ13" s="46"/>
      <c r="PIK13" s="46"/>
      <c r="PIL13" s="46"/>
      <c r="PIM13" s="46"/>
      <c r="PIN13" s="46"/>
      <c r="PIO13" s="46"/>
      <c r="PIP13" s="46"/>
      <c r="PIQ13" s="46"/>
      <c r="PIR13" s="46"/>
      <c r="PIS13" s="46"/>
      <c r="PIT13" s="46"/>
      <c r="PIU13" s="46"/>
      <c r="PIV13" s="46"/>
      <c r="PIW13" s="46"/>
      <c r="PIX13" s="46"/>
      <c r="PIY13" s="46"/>
      <c r="PIZ13" s="46"/>
      <c r="PJA13" s="46"/>
      <c r="PJB13" s="46"/>
      <c r="PJC13" s="46"/>
      <c r="PJD13" s="46"/>
      <c r="PJE13" s="46"/>
      <c r="PJF13" s="46"/>
      <c r="PJG13" s="46"/>
      <c r="PJH13" s="46"/>
      <c r="PJI13" s="46"/>
      <c r="PJJ13" s="46"/>
      <c r="PJK13" s="46"/>
      <c r="PJL13" s="46"/>
      <c r="PJM13" s="46"/>
      <c r="PJN13" s="46"/>
      <c r="PJO13" s="46"/>
      <c r="PJP13" s="46"/>
      <c r="PJQ13" s="46"/>
      <c r="PJR13" s="46"/>
      <c r="PJS13" s="46"/>
      <c r="PJT13" s="46"/>
      <c r="PJU13" s="46"/>
      <c r="PJV13" s="46"/>
      <c r="PJW13" s="46"/>
      <c r="PJX13" s="46"/>
      <c r="PJY13" s="46"/>
      <c r="PJZ13" s="46"/>
      <c r="PKA13" s="46"/>
      <c r="PKB13" s="46"/>
      <c r="PKC13" s="46"/>
      <c r="PKD13" s="46"/>
      <c r="PKE13" s="46"/>
      <c r="PKF13" s="46"/>
      <c r="PKG13" s="46"/>
      <c r="PKH13" s="46"/>
      <c r="PKI13" s="46"/>
      <c r="PKJ13" s="46"/>
      <c r="PKK13" s="46"/>
      <c r="PKL13" s="46"/>
      <c r="PKM13" s="46"/>
      <c r="PKN13" s="46"/>
      <c r="PKO13" s="46"/>
      <c r="PKP13" s="46"/>
      <c r="PKQ13" s="46"/>
      <c r="PKR13" s="46"/>
      <c r="PKS13" s="46"/>
      <c r="PKT13" s="46"/>
      <c r="PKU13" s="46"/>
      <c r="PKV13" s="46"/>
      <c r="PKW13" s="46"/>
      <c r="PKX13" s="46"/>
      <c r="PKY13" s="46"/>
      <c r="PKZ13" s="46"/>
      <c r="PLA13" s="46"/>
      <c r="PLB13" s="46"/>
      <c r="PLC13" s="46"/>
      <c r="PLD13" s="46"/>
      <c r="PLE13" s="46"/>
      <c r="PLF13" s="46"/>
      <c r="PLG13" s="46"/>
      <c r="PLH13" s="46"/>
      <c r="PLI13" s="46"/>
      <c r="PLJ13" s="46"/>
      <c r="PLK13" s="46"/>
      <c r="PLL13" s="46"/>
      <c r="PLM13" s="46"/>
      <c r="PLN13" s="46"/>
      <c r="PLO13" s="46"/>
      <c r="PLP13" s="46"/>
      <c r="PLQ13" s="46"/>
      <c r="PLR13" s="46"/>
      <c r="PLS13" s="46"/>
      <c r="PLT13" s="46"/>
      <c r="PLU13" s="46"/>
      <c r="PLV13" s="46"/>
      <c r="PLW13" s="46"/>
      <c r="PLX13" s="46"/>
      <c r="PLY13" s="46"/>
      <c r="PLZ13" s="46"/>
      <c r="PMA13" s="46"/>
      <c r="PMB13" s="46"/>
      <c r="PMC13" s="46"/>
      <c r="PMD13" s="46"/>
      <c r="PME13" s="46"/>
      <c r="PMF13" s="46"/>
      <c r="PMG13" s="46"/>
      <c r="PMH13" s="46"/>
      <c r="PMI13" s="46"/>
      <c r="PMJ13" s="46"/>
      <c r="PMK13" s="46"/>
      <c r="PML13" s="46"/>
      <c r="PMM13" s="46"/>
      <c r="PMN13" s="46"/>
      <c r="PMO13" s="46"/>
      <c r="PMP13" s="46"/>
      <c r="PMQ13" s="46"/>
      <c r="PMR13" s="46"/>
      <c r="PMS13" s="46"/>
      <c r="PMT13" s="46"/>
      <c r="PMU13" s="46"/>
      <c r="PMV13" s="46"/>
      <c r="PMW13" s="46"/>
      <c r="PMX13" s="46"/>
      <c r="PMY13" s="46"/>
      <c r="PMZ13" s="46"/>
      <c r="PNA13" s="46"/>
      <c r="PNB13" s="46"/>
      <c r="PNC13" s="46"/>
      <c r="PND13" s="46"/>
      <c r="PNE13" s="46"/>
      <c r="PNF13" s="46"/>
      <c r="PNG13" s="46"/>
      <c r="PNH13" s="46"/>
      <c r="PNI13" s="46"/>
      <c r="PNJ13" s="46"/>
      <c r="PNK13" s="46"/>
      <c r="PNL13" s="46"/>
      <c r="PNM13" s="46"/>
      <c r="PNN13" s="46"/>
      <c r="PNO13" s="46"/>
      <c r="PNP13" s="46"/>
      <c r="PNQ13" s="46"/>
      <c r="PNR13" s="46"/>
      <c r="PNS13" s="46"/>
      <c r="PNT13" s="46"/>
      <c r="PNU13" s="46"/>
      <c r="PNV13" s="46"/>
      <c r="PNW13" s="46"/>
      <c r="PNX13" s="46"/>
      <c r="PNY13" s="46"/>
      <c r="PNZ13" s="46"/>
      <c r="POA13" s="46"/>
      <c r="POB13" s="46"/>
      <c r="POC13" s="46"/>
      <c r="POD13" s="46"/>
      <c r="POE13" s="46"/>
      <c r="POF13" s="46"/>
      <c r="POG13" s="46"/>
      <c r="POH13" s="46"/>
      <c r="POI13" s="46"/>
      <c r="POJ13" s="46"/>
      <c r="POK13" s="46"/>
      <c r="POL13" s="46"/>
      <c r="POM13" s="46"/>
      <c r="PON13" s="46"/>
      <c r="POO13" s="46"/>
      <c r="POP13" s="46"/>
      <c r="POQ13" s="46"/>
      <c r="POR13" s="46"/>
      <c r="POS13" s="46"/>
      <c r="POT13" s="46"/>
      <c r="POU13" s="46"/>
      <c r="POV13" s="46"/>
      <c r="POW13" s="46"/>
      <c r="POX13" s="46"/>
      <c r="POY13" s="46"/>
      <c r="POZ13" s="46"/>
      <c r="PPA13" s="46"/>
      <c r="PPB13" s="46"/>
      <c r="PPC13" s="46"/>
      <c r="PPD13" s="46"/>
      <c r="PPE13" s="46"/>
      <c r="PPF13" s="46"/>
      <c r="PPG13" s="46"/>
      <c r="PPH13" s="46"/>
      <c r="PPI13" s="46"/>
      <c r="PPJ13" s="46"/>
      <c r="PPK13" s="46"/>
      <c r="PPL13" s="46"/>
      <c r="PPM13" s="46"/>
      <c r="PPN13" s="46"/>
      <c r="PPO13" s="46"/>
      <c r="PPP13" s="46"/>
      <c r="PPQ13" s="46"/>
      <c r="PPR13" s="46"/>
      <c r="PPS13" s="46"/>
      <c r="PPT13" s="46"/>
      <c r="PPU13" s="46"/>
      <c r="PPV13" s="46"/>
      <c r="PPW13" s="46"/>
      <c r="PPX13" s="46"/>
      <c r="PPY13" s="46"/>
      <c r="PPZ13" s="46"/>
      <c r="PQA13" s="46"/>
      <c r="PQB13" s="46"/>
      <c r="PQC13" s="46"/>
      <c r="PQD13" s="46"/>
      <c r="PQE13" s="46"/>
      <c r="PQF13" s="46"/>
      <c r="PQG13" s="46"/>
      <c r="PQH13" s="46"/>
      <c r="PQI13" s="46"/>
      <c r="PQJ13" s="46"/>
      <c r="PQK13" s="46"/>
      <c r="PQL13" s="46"/>
      <c r="PQM13" s="46"/>
      <c r="PQN13" s="46"/>
      <c r="PQO13" s="46"/>
      <c r="PQP13" s="46"/>
      <c r="PQQ13" s="46"/>
      <c r="PQR13" s="46"/>
      <c r="PQS13" s="46"/>
      <c r="PQT13" s="46"/>
      <c r="PQU13" s="46"/>
      <c r="PQV13" s="46"/>
      <c r="PQW13" s="46"/>
      <c r="PQX13" s="46"/>
      <c r="PQY13" s="46"/>
      <c r="PQZ13" s="46"/>
      <c r="PRA13" s="46"/>
      <c r="PRB13" s="46"/>
      <c r="PRC13" s="46"/>
      <c r="PRD13" s="46"/>
      <c r="PRE13" s="46"/>
      <c r="PRF13" s="46"/>
      <c r="PRG13" s="46"/>
      <c r="PRH13" s="46"/>
      <c r="PRI13" s="46"/>
      <c r="PRJ13" s="46"/>
      <c r="PRK13" s="46"/>
      <c r="PRL13" s="46"/>
      <c r="PRM13" s="46"/>
      <c r="PRN13" s="46"/>
      <c r="PRO13" s="46"/>
      <c r="PRP13" s="46"/>
      <c r="PRQ13" s="46"/>
      <c r="PRR13" s="46"/>
      <c r="PRS13" s="46"/>
      <c r="PRT13" s="46"/>
      <c r="PRU13" s="46"/>
      <c r="PRV13" s="46"/>
      <c r="PRW13" s="46"/>
      <c r="PRX13" s="46"/>
      <c r="PRY13" s="46"/>
      <c r="PRZ13" s="46"/>
      <c r="PSA13" s="46"/>
      <c r="PSB13" s="46"/>
      <c r="PSC13" s="46"/>
      <c r="PSD13" s="46"/>
      <c r="PSE13" s="46"/>
      <c r="PSF13" s="46"/>
      <c r="PSG13" s="46"/>
      <c r="PSH13" s="46"/>
      <c r="PSI13" s="46"/>
      <c r="PSJ13" s="46"/>
      <c r="PSK13" s="46"/>
      <c r="PSL13" s="46"/>
      <c r="PSM13" s="46"/>
      <c r="PSN13" s="46"/>
      <c r="PSO13" s="46"/>
      <c r="PSP13" s="46"/>
      <c r="PSQ13" s="46"/>
      <c r="PSR13" s="46"/>
      <c r="PSS13" s="46"/>
      <c r="PST13" s="46"/>
      <c r="PSU13" s="46"/>
      <c r="PSV13" s="46"/>
      <c r="PSW13" s="46"/>
      <c r="PSX13" s="46"/>
      <c r="PSY13" s="46"/>
      <c r="PSZ13" s="46"/>
      <c r="PTA13" s="46"/>
      <c r="PTB13" s="46"/>
      <c r="PTC13" s="46"/>
      <c r="PTD13" s="46"/>
      <c r="PTE13" s="46"/>
      <c r="PTF13" s="46"/>
      <c r="PTG13" s="46"/>
      <c r="PTH13" s="46"/>
      <c r="PTI13" s="46"/>
      <c r="PTJ13" s="46"/>
      <c r="PTK13" s="46"/>
      <c r="PTL13" s="46"/>
      <c r="PTM13" s="46"/>
      <c r="PTN13" s="46"/>
      <c r="PTO13" s="46"/>
      <c r="PTP13" s="46"/>
      <c r="PTQ13" s="46"/>
      <c r="PTR13" s="46"/>
      <c r="PTS13" s="46"/>
      <c r="PTT13" s="46"/>
      <c r="PTU13" s="46"/>
      <c r="PTV13" s="46"/>
      <c r="PTW13" s="46"/>
      <c r="PTX13" s="46"/>
      <c r="PTY13" s="46"/>
      <c r="PTZ13" s="46"/>
      <c r="PUA13" s="46"/>
      <c r="PUB13" s="46"/>
      <c r="PUC13" s="46"/>
      <c r="PUD13" s="46"/>
      <c r="PUE13" s="46"/>
      <c r="PUF13" s="46"/>
      <c r="PUG13" s="46"/>
      <c r="PUH13" s="46"/>
      <c r="PUI13" s="46"/>
      <c r="PUJ13" s="46"/>
      <c r="PUK13" s="46"/>
      <c r="PUL13" s="46"/>
      <c r="PUM13" s="46"/>
      <c r="PUN13" s="46"/>
      <c r="PUO13" s="46"/>
      <c r="PUP13" s="46"/>
      <c r="PUQ13" s="46"/>
      <c r="PUR13" s="46"/>
      <c r="PUS13" s="46"/>
      <c r="PUT13" s="46"/>
      <c r="PUU13" s="46"/>
      <c r="PUV13" s="46"/>
      <c r="PUW13" s="46"/>
      <c r="PUX13" s="46"/>
      <c r="PUY13" s="46"/>
      <c r="PUZ13" s="46"/>
      <c r="PVA13" s="46"/>
      <c r="PVB13" s="46"/>
      <c r="PVC13" s="46"/>
      <c r="PVD13" s="46"/>
      <c r="PVE13" s="46"/>
      <c r="PVF13" s="46"/>
      <c r="PVG13" s="46"/>
      <c r="PVH13" s="46"/>
      <c r="PVI13" s="46"/>
      <c r="PVJ13" s="46"/>
      <c r="PVK13" s="46"/>
      <c r="PVL13" s="46"/>
      <c r="PVM13" s="46"/>
      <c r="PVN13" s="46"/>
      <c r="PVO13" s="46"/>
      <c r="PVP13" s="46"/>
      <c r="PVQ13" s="46"/>
      <c r="PVR13" s="46"/>
      <c r="PVS13" s="46"/>
      <c r="PVT13" s="46"/>
      <c r="PVU13" s="46"/>
      <c r="PVV13" s="46"/>
      <c r="PVW13" s="46"/>
      <c r="PVX13" s="46"/>
      <c r="PVY13" s="46"/>
      <c r="PVZ13" s="46"/>
      <c r="PWA13" s="46"/>
      <c r="PWB13" s="46"/>
      <c r="PWC13" s="46"/>
      <c r="PWD13" s="46"/>
      <c r="PWE13" s="46"/>
      <c r="PWF13" s="46"/>
      <c r="PWG13" s="46"/>
      <c r="PWH13" s="46"/>
      <c r="PWI13" s="46"/>
      <c r="PWJ13" s="46"/>
      <c r="PWK13" s="46"/>
      <c r="PWL13" s="46"/>
      <c r="PWM13" s="46"/>
      <c r="PWN13" s="46"/>
      <c r="PWO13" s="46"/>
      <c r="PWP13" s="46"/>
      <c r="PWQ13" s="46"/>
      <c r="PWR13" s="46"/>
      <c r="PWS13" s="46"/>
      <c r="PWT13" s="46"/>
      <c r="PWU13" s="46"/>
      <c r="PWV13" s="46"/>
      <c r="PWW13" s="46"/>
      <c r="PWX13" s="46"/>
      <c r="PWY13" s="46"/>
      <c r="PWZ13" s="46"/>
      <c r="PXA13" s="46"/>
      <c r="PXB13" s="46"/>
      <c r="PXC13" s="46"/>
      <c r="PXD13" s="46"/>
      <c r="PXE13" s="46"/>
      <c r="PXF13" s="46"/>
      <c r="PXG13" s="46"/>
      <c r="PXH13" s="46"/>
      <c r="PXI13" s="46"/>
      <c r="PXJ13" s="46"/>
      <c r="PXK13" s="46"/>
      <c r="PXL13" s="46"/>
      <c r="PXM13" s="46"/>
      <c r="PXN13" s="46"/>
      <c r="PXO13" s="46"/>
      <c r="PXP13" s="46"/>
      <c r="PXQ13" s="46"/>
      <c r="PXR13" s="46"/>
      <c r="PXS13" s="46"/>
      <c r="PXT13" s="46"/>
      <c r="PXU13" s="46"/>
      <c r="PXV13" s="46"/>
      <c r="PXW13" s="46"/>
      <c r="PXX13" s="46"/>
      <c r="PXY13" s="46"/>
      <c r="PXZ13" s="46"/>
      <c r="PYA13" s="46"/>
      <c r="PYB13" s="46"/>
      <c r="PYC13" s="46"/>
      <c r="PYD13" s="46"/>
      <c r="PYE13" s="46"/>
      <c r="PYF13" s="46"/>
      <c r="PYG13" s="46"/>
      <c r="PYH13" s="46"/>
      <c r="PYI13" s="46"/>
      <c r="PYJ13" s="46"/>
      <c r="PYK13" s="46"/>
      <c r="PYL13" s="46"/>
      <c r="PYM13" s="46"/>
      <c r="PYN13" s="46"/>
      <c r="PYO13" s="46"/>
      <c r="PYP13" s="46"/>
      <c r="PYQ13" s="46"/>
      <c r="PYR13" s="46"/>
      <c r="PYS13" s="46"/>
      <c r="PYT13" s="46"/>
      <c r="PYU13" s="46"/>
      <c r="PYV13" s="46"/>
      <c r="PYW13" s="46"/>
      <c r="PYX13" s="46"/>
      <c r="PYY13" s="46"/>
      <c r="PYZ13" s="46"/>
      <c r="PZA13" s="46"/>
      <c r="PZB13" s="46"/>
      <c r="PZC13" s="46"/>
      <c r="PZD13" s="46"/>
      <c r="PZE13" s="46"/>
      <c r="PZF13" s="46"/>
      <c r="PZG13" s="46"/>
      <c r="PZH13" s="46"/>
      <c r="PZI13" s="46"/>
      <c r="PZJ13" s="46"/>
      <c r="PZK13" s="46"/>
      <c r="PZL13" s="46"/>
      <c r="PZM13" s="46"/>
      <c r="PZN13" s="46"/>
      <c r="PZO13" s="46"/>
      <c r="PZP13" s="46"/>
      <c r="PZQ13" s="46"/>
      <c r="PZR13" s="46"/>
      <c r="PZS13" s="46"/>
      <c r="PZT13" s="46"/>
      <c r="PZU13" s="46"/>
      <c r="PZV13" s="46"/>
      <c r="PZW13" s="46"/>
      <c r="PZX13" s="46"/>
      <c r="PZY13" s="46"/>
      <c r="PZZ13" s="46"/>
      <c r="QAA13" s="46"/>
      <c r="QAB13" s="46"/>
      <c r="QAC13" s="46"/>
      <c r="QAD13" s="46"/>
      <c r="QAE13" s="46"/>
      <c r="QAF13" s="46"/>
      <c r="QAG13" s="46"/>
      <c r="QAH13" s="46"/>
      <c r="QAI13" s="46"/>
      <c r="QAJ13" s="46"/>
      <c r="QAK13" s="46"/>
      <c r="QAL13" s="46"/>
      <c r="QAM13" s="46"/>
      <c r="QAN13" s="46"/>
      <c r="QAO13" s="46"/>
      <c r="QAP13" s="46"/>
      <c r="QAQ13" s="46"/>
      <c r="QAR13" s="46"/>
      <c r="QAS13" s="46"/>
      <c r="QAT13" s="46"/>
      <c r="QAU13" s="46"/>
      <c r="QAV13" s="46"/>
      <c r="QAW13" s="46"/>
      <c r="QAX13" s="46"/>
      <c r="QAY13" s="46"/>
      <c r="QAZ13" s="46"/>
      <c r="QBA13" s="46"/>
      <c r="QBB13" s="46"/>
      <c r="QBC13" s="46"/>
      <c r="QBD13" s="46"/>
      <c r="QBE13" s="46"/>
      <c r="QBF13" s="46"/>
      <c r="QBG13" s="46"/>
      <c r="QBH13" s="46"/>
      <c r="QBI13" s="46"/>
      <c r="QBJ13" s="46"/>
      <c r="QBK13" s="46"/>
      <c r="QBL13" s="46"/>
      <c r="QBM13" s="46"/>
      <c r="QBN13" s="46"/>
      <c r="QBO13" s="46"/>
      <c r="QBP13" s="46"/>
      <c r="QBQ13" s="46"/>
      <c r="QBR13" s="46"/>
      <c r="QBS13" s="46"/>
      <c r="QBT13" s="46"/>
      <c r="QBU13" s="46"/>
      <c r="QBV13" s="46"/>
      <c r="QBW13" s="46"/>
      <c r="QBX13" s="46"/>
      <c r="QBY13" s="46"/>
      <c r="QBZ13" s="46"/>
      <c r="QCA13" s="46"/>
      <c r="QCB13" s="46"/>
      <c r="QCC13" s="46"/>
      <c r="QCD13" s="46"/>
      <c r="QCE13" s="46"/>
      <c r="QCF13" s="46"/>
      <c r="QCG13" s="46"/>
      <c r="QCH13" s="46"/>
      <c r="QCI13" s="46"/>
      <c r="QCJ13" s="46"/>
      <c r="QCK13" s="46"/>
      <c r="QCL13" s="46"/>
      <c r="QCM13" s="46"/>
      <c r="QCN13" s="46"/>
      <c r="QCO13" s="46"/>
      <c r="QCP13" s="46"/>
      <c r="QCQ13" s="46"/>
      <c r="QCR13" s="46"/>
      <c r="QCS13" s="46"/>
      <c r="QCT13" s="46"/>
      <c r="QCU13" s="46"/>
      <c r="QCV13" s="46"/>
      <c r="QCW13" s="46"/>
      <c r="QCX13" s="46"/>
      <c r="QCY13" s="46"/>
      <c r="QCZ13" s="46"/>
      <c r="QDA13" s="46"/>
      <c r="QDB13" s="46"/>
      <c r="QDC13" s="46"/>
      <c r="QDD13" s="46"/>
      <c r="QDE13" s="46"/>
      <c r="QDF13" s="46"/>
      <c r="QDG13" s="46"/>
      <c r="QDH13" s="46"/>
      <c r="QDI13" s="46"/>
      <c r="QDJ13" s="46"/>
      <c r="QDK13" s="46"/>
      <c r="QDL13" s="46"/>
      <c r="QDM13" s="46"/>
      <c r="QDN13" s="46"/>
      <c r="QDO13" s="46"/>
      <c r="QDP13" s="46"/>
      <c r="QDQ13" s="46"/>
      <c r="QDR13" s="46"/>
      <c r="QDS13" s="46"/>
      <c r="QDT13" s="46"/>
      <c r="QDU13" s="46"/>
      <c r="QDV13" s="46"/>
      <c r="QDW13" s="46"/>
      <c r="QDX13" s="46"/>
      <c r="QDY13" s="46"/>
      <c r="QDZ13" s="46"/>
      <c r="QEA13" s="46"/>
      <c r="QEB13" s="46"/>
      <c r="QEC13" s="46"/>
      <c r="QED13" s="46"/>
      <c r="QEE13" s="46"/>
      <c r="QEF13" s="46"/>
      <c r="QEG13" s="46"/>
      <c r="QEH13" s="46"/>
      <c r="QEI13" s="46"/>
      <c r="QEJ13" s="46"/>
      <c r="QEK13" s="46"/>
      <c r="QEL13" s="46"/>
      <c r="QEM13" s="46"/>
      <c r="QEN13" s="46"/>
      <c r="QEO13" s="46"/>
      <c r="QEP13" s="46"/>
      <c r="QEQ13" s="46"/>
      <c r="QER13" s="46"/>
      <c r="QES13" s="46"/>
      <c r="QET13" s="46"/>
      <c r="QEU13" s="46"/>
      <c r="QEV13" s="46"/>
      <c r="QEW13" s="46"/>
      <c r="QEX13" s="46"/>
      <c r="QEY13" s="46"/>
      <c r="QEZ13" s="46"/>
      <c r="QFA13" s="46"/>
      <c r="QFB13" s="46"/>
      <c r="QFC13" s="46"/>
      <c r="QFD13" s="46"/>
      <c r="QFE13" s="46"/>
      <c r="QFF13" s="46"/>
      <c r="QFG13" s="46"/>
      <c r="QFH13" s="46"/>
      <c r="QFI13" s="46"/>
      <c r="QFJ13" s="46"/>
      <c r="QFK13" s="46"/>
      <c r="QFL13" s="46"/>
      <c r="QFM13" s="46"/>
      <c r="QFN13" s="46"/>
      <c r="QFO13" s="46"/>
      <c r="QFP13" s="46"/>
      <c r="QFQ13" s="46"/>
      <c r="QFR13" s="46"/>
      <c r="QFS13" s="46"/>
      <c r="QFT13" s="46"/>
      <c r="QFU13" s="46"/>
      <c r="QFV13" s="46"/>
      <c r="QFW13" s="46"/>
      <c r="QFX13" s="46"/>
      <c r="QFY13" s="46"/>
      <c r="QFZ13" s="46"/>
      <c r="QGA13" s="46"/>
      <c r="QGB13" s="46"/>
      <c r="QGC13" s="46"/>
      <c r="QGD13" s="46"/>
      <c r="QGE13" s="46"/>
      <c r="QGF13" s="46"/>
      <c r="QGG13" s="46"/>
      <c r="QGH13" s="46"/>
      <c r="QGI13" s="46"/>
      <c r="QGJ13" s="46"/>
      <c r="QGK13" s="46"/>
      <c r="QGL13" s="46"/>
      <c r="QGM13" s="46"/>
      <c r="QGN13" s="46"/>
      <c r="QGO13" s="46"/>
      <c r="QGP13" s="46"/>
      <c r="QGQ13" s="46"/>
      <c r="QGR13" s="46"/>
      <c r="QGS13" s="46"/>
      <c r="QGT13" s="46"/>
      <c r="QGU13" s="46"/>
      <c r="QGV13" s="46"/>
      <c r="QGW13" s="46"/>
      <c r="QGX13" s="46"/>
      <c r="QGY13" s="46"/>
      <c r="QGZ13" s="46"/>
      <c r="QHA13" s="46"/>
      <c r="QHB13" s="46"/>
      <c r="QHC13" s="46"/>
      <c r="QHD13" s="46"/>
      <c r="QHE13" s="46"/>
      <c r="QHF13" s="46"/>
      <c r="QHG13" s="46"/>
      <c r="QHH13" s="46"/>
      <c r="QHI13" s="46"/>
      <c r="QHJ13" s="46"/>
      <c r="QHK13" s="46"/>
      <c r="QHL13" s="46"/>
      <c r="QHM13" s="46"/>
      <c r="QHN13" s="46"/>
      <c r="QHO13" s="46"/>
      <c r="QHP13" s="46"/>
      <c r="QHQ13" s="46"/>
      <c r="QHR13" s="46"/>
      <c r="QHS13" s="46"/>
      <c r="QHT13" s="46"/>
      <c r="QHU13" s="46"/>
      <c r="QHV13" s="46"/>
      <c r="QHW13" s="46"/>
      <c r="QHX13" s="46"/>
      <c r="QHY13" s="46"/>
      <c r="QHZ13" s="46"/>
      <c r="QIA13" s="46"/>
      <c r="QIB13" s="46"/>
      <c r="QIC13" s="46"/>
      <c r="QID13" s="46"/>
      <c r="QIE13" s="46"/>
      <c r="QIF13" s="46"/>
      <c r="QIG13" s="46"/>
      <c r="QIH13" s="46"/>
      <c r="QII13" s="46"/>
      <c r="QIJ13" s="46"/>
      <c r="QIK13" s="46"/>
      <c r="QIL13" s="46"/>
      <c r="QIM13" s="46"/>
      <c r="QIN13" s="46"/>
      <c r="QIO13" s="46"/>
      <c r="QIP13" s="46"/>
      <c r="QIQ13" s="46"/>
      <c r="QIR13" s="46"/>
      <c r="QIS13" s="46"/>
      <c r="QIT13" s="46"/>
      <c r="QIU13" s="46"/>
      <c r="QIV13" s="46"/>
      <c r="QIW13" s="46"/>
      <c r="QIX13" s="46"/>
      <c r="QIY13" s="46"/>
      <c r="QIZ13" s="46"/>
      <c r="QJA13" s="46"/>
      <c r="QJB13" s="46"/>
      <c r="QJC13" s="46"/>
      <c r="QJD13" s="46"/>
      <c r="QJE13" s="46"/>
      <c r="QJF13" s="46"/>
      <c r="QJG13" s="46"/>
      <c r="QJH13" s="46"/>
      <c r="QJI13" s="46"/>
      <c r="QJJ13" s="46"/>
      <c r="QJK13" s="46"/>
      <c r="QJL13" s="46"/>
      <c r="QJM13" s="46"/>
      <c r="QJN13" s="46"/>
      <c r="QJO13" s="46"/>
      <c r="QJP13" s="46"/>
      <c r="QJQ13" s="46"/>
      <c r="QJR13" s="46"/>
      <c r="QJS13" s="46"/>
      <c r="QJT13" s="46"/>
      <c r="QJU13" s="46"/>
      <c r="QJV13" s="46"/>
      <c r="QJW13" s="46"/>
      <c r="QJX13" s="46"/>
      <c r="QJY13" s="46"/>
      <c r="QJZ13" s="46"/>
      <c r="QKA13" s="46"/>
      <c r="QKB13" s="46"/>
      <c r="QKC13" s="46"/>
      <c r="QKD13" s="46"/>
      <c r="QKE13" s="46"/>
      <c r="QKF13" s="46"/>
      <c r="QKG13" s="46"/>
      <c r="QKH13" s="46"/>
      <c r="QKI13" s="46"/>
      <c r="QKJ13" s="46"/>
      <c r="QKK13" s="46"/>
      <c r="QKL13" s="46"/>
      <c r="QKM13" s="46"/>
      <c r="QKN13" s="46"/>
      <c r="QKO13" s="46"/>
      <c r="QKP13" s="46"/>
      <c r="QKQ13" s="46"/>
      <c r="QKR13" s="46"/>
      <c r="QKS13" s="46"/>
      <c r="QKT13" s="46"/>
      <c r="QKU13" s="46"/>
      <c r="QKV13" s="46"/>
      <c r="QKW13" s="46"/>
      <c r="QKX13" s="46"/>
      <c r="QKY13" s="46"/>
      <c r="QKZ13" s="46"/>
      <c r="QLA13" s="46"/>
      <c r="QLB13" s="46"/>
      <c r="QLC13" s="46"/>
      <c r="QLD13" s="46"/>
      <c r="QLE13" s="46"/>
      <c r="QLF13" s="46"/>
      <c r="QLG13" s="46"/>
      <c r="QLH13" s="46"/>
      <c r="QLI13" s="46"/>
      <c r="QLJ13" s="46"/>
      <c r="QLK13" s="46"/>
      <c r="QLL13" s="46"/>
      <c r="QLM13" s="46"/>
      <c r="QLN13" s="46"/>
      <c r="QLO13" s="46"/>
      <c r="QLP13" s="46"/>
      <c r="QLQ13" s="46"/>
      <c r="QLR13" s="46"/>
      <c r="QLS13" s="46"/>
      <c r="QLT13" s="46"/>
      <c r="QLU13" s="46"/>
      <c r="QLV13" s="46"/>
      <c r="QLW13" s="46"/>
      <c r="QLX13" s="46"/>
      <c r="QLY13" s="46"/>
      <c r="QLZ13" s="46"/>
      <c r="QMA13" s="46"/>
      <c r="QMB13" s="46"/>
      <c r="QMC13" s="46"/>
      <c r="QMD13" s="46"/>
      <c r="QME13" s="46"/>
      <c r="QMF13" s="46"/>
      <c r="QMG13" s="46"/>
      <c r="QMH13" s="46"/>
      <c r="QMI13" s="46"/>
      <c r="QMJ13" s="46"/>
      <c r="QMK13" s="46"/>
      <c r="QML13" s="46"/>
      <c r="QMM13" s="46"/>
      <c r="QMN13" s="46"/>
      <c r="QMO13" s="46"/>
      <c r="QMP13" s="46"/>
      <c r="QMQ13" s="46"/>
      <c r="QMR13" s="46"/>
      <c r="QMS13" s="46"/>
      <c r="QMT13" s="46"/>
      <c r="QMU13" s="46"/>
      <c r="QMV13" s="46"/>
      <c r="QMW13" s="46"/>
      <c r="QMX13" s="46"/>
      <c r="QMY13" s="46"/>
      <c r="QMZ13" s="46"/>
      <c r="QNA13" s="46"/>
      <c r="QNB13" s="46"/>
      <c r="QNC13" s="46"/>
      <c r="QND13" s="46"/>
      <c r="QNE13" s="46"/>
      <c r="QNF13" s="46"/>
      <c r="QNG13" s="46"/>
      <c r="QNH13" s="46"/>
      <c r="QNI13" s="46"/>
      <c r="QNJ13" s="46"/>
      <c r="QNK13" s="46"/>
      <c r="QNL13" s="46"/>
      <c r="QNM13" s="46"/>
      <c r="QNN13" s="46"/>
      <c r="QNO13" s="46"/>
      <c r="QNP13" s="46"/>
      <c r="QNQ13" s="46"/>
      <c r="QNR13" s="46"/>
      <c r="QNS13" s="46"/>
      <c r="QNT13" s="46"/>
      <c r="QNU13" s="46"/>
      <c r="QNV13" s="46"/>
      <c r="QNW13" s="46"/>
      <c r="QNX13" s="46"/>
      <c r="QNY13" s="46"/>
      <c r="QNZ13" s="46"/>
      <c r="QOA13" s="46"/>
      <c r="QOB13" s="46"/>
      <c r="QOC13" s="46"/>
      <c r="QOD13" s="46"/>
      <c r="QOE13" s="46"/>
      <c r="QOF13" s="46"/>
      <c r="QOG13" s="46"/>
      <c r="QOH13" s="46"/>
      <c r="QOI13" s="46"/>
      <c r="QOJ13" s="46"/>
      <c r="QOK13" s="46"/>
      <c r="QOL13" s="46"/>
      <c r="QOM13" s="46"/>
      <c r="QON13" s="46"/>
      <c r="QOO13" s="46"/>
      <c r="QOP13" s="46"/>
      <c r="QOQ13" s="46"/>
      <c r="QOR13" s="46"/>
      <c r="QOS13" s="46"/>
      <c r="QOT13" s="46"/>
      <c r="QOU13" s="46"/>
      <c r="QOV13" s="46"/>
      <c r="QOW13" s="46"/>
      <c r="QOX13" s="46"/>
      <c r="QOY13" s="46"/>
      <c r="QOZ13" s="46"/>
      <c r="QPA13" s="46"/>
      <c r="QPB13" s="46"/>
      <c r="QPC13" s="46"/>
      <c r="QPD13" s="46"/>
      <c r="QPE13" s="46"/>
      <c r="QPF13" s="46"/>
      <c r="QPG13" s="46"/>
      <c r="QPH13" s="46"/>
      <c r="QPI13" s="46"/>
      <c r="QPJ13" s="46"/>
      <c r="QPK13" s="46"/>
      <c r="QPL13" s="46"/>
      <c r="QPM13" s="46"/>
      <c r="QPN13" s="46"/>
      <c r="QPO13" s="46"/>
      <c r="QPP13" s="46"/>
      <c r="QPQ13" s="46"/>
      <c r="QPR13" s="46"/>
      <c r="QPS13" s="46"/>
      <c r="QPT13" s="46"/>
      <c r="QPU13" s="46"/>
      <c r="QPV13" s="46"/>
      <c r="QPW13" s="46"/>
      <c r="QPX13" s="46"/>
      <c r="QPY13" s="46"/>
      <c r="QPZ13" s="46"/>
      <c r="QQA13" s="46"/>
      <c r="QQB13" s="46"/>
      <c r="QQC13" s="46"/>
      <c r="QQD13" s="46"/>
      <c r="QQE13" s="46"/>
      <c r="QQF13" s="46"/>
      <c r="QQG13" s="46"/>
      <c r="QQH13" s="46"/>
      <c r="QQI13" s="46"/>
      <c r="QQJ13" s="46"/>
      <c r="QQK13" s="46"/>
      <c r="QQL13" s="46"/>
      <c r="QQM13" s="46"/>
      <c r="QQN13" s="46"/>
      <c r="QQO13" s="46"/>
      <c r="QQP13" s="46"/>
      <c r="QQQ13" s="46"/>
      <c r="QQR13" s="46"/>
      <c r="QQS13" s="46"/>
      <c r="QQT13" s="46"/>
      <c r="QQU13" s="46"/>
      <c r="QQV13" s="46"/>
      <c r="QQW13" s="46"/>
      <c r="QQX13" s="46"/>
      <c r="QQY13" s="46"/>
      <c r="QQZ13" s="46"/>
      <c r="QRA13" s="46"/>
      <c r="QRB13" s="46"/>
      <c r="QRC13" s="46"/>
      <c r="QRD13" s="46"/>
      <c r="QRE13" s="46"/>
      <c r="QRF13" s="46"/>
      <c r="QRG13" s="46"/>
      <c r="QRH13" s="46"/>
      <c r="QRI13" s="46"/>
      <c r="QRJ13" s="46"/>
      <c r="QRK13" s="46"/>
      <c r="QRL13" s="46"/>
      <c r="QRM13" s="46"/>
      <c r="QRN13" s="46"/>
      <c r="QRO13" s="46"/>
      <c r="QRP13" s="46"/>
      <c r="QRQ13" s="46"/>
      <c r="QRR13" s="46"/>
      <c r="QRS13" s="46"/>
      <c r="QRT13" s="46"/>
      <c r="QRU13" s="46"/>
      <c r="QRV13" s="46"/>
      <c r="QRW13" s="46"/>
      <c r="QRX13" s="46"/>
      <c r="QRY13" s="46"/>
      <c r="QRZ13" s="46"/>
      <c r="QSA13" s="46"/>
      <c r="QSB13" s="46"/>
      <c r="QSC13" s="46"/>
      <c r="QSD13" s="46"/>
      <c r="QSE13" s="46"/>
      <c r="QSF13" s="46"/>
      <c r="QSG13" s="46"/>
      <c r="QSH13" s="46"/>
      <c r="QSI13" s="46"/>
      <c r="QSJ13" s="46"/>
      <c r="QSK13" s="46"/>
      <c r="QSL13" s="46"/>
      <c r="QSM13" s="46"/>
      <c r="QSN13" s="46"/>
      <c r="QSO13" s="46"/>
      <c r="QSP13" s="46"/>
      <c r="QSQ13" s="46"/>
      <c r="QSR13" s="46"/>
      <c r="QSS13" s="46"/>
      <c r="QST13" s="46"/>
      <c r="QSU13" s="46"/>
      <c r="QSV13" s="46"/>
      <c r="QSW13" s="46"/>
      <c r="QSX13" s="46"/>
      <c r="QSY13" s="46"/>
      <c r="QSZ13" s="46"/>
      <c r="QTA13" s="46"/>
      <c r="QTB13" s="46"/>
      <c r="QTC13" s="46"/>
      <c r="QTD13" s="46"/>
      <c r="QTE13" s="46"/>
      <c r="QTF13" s="46"/>
      <c r="QTG13" s="46"/>
      <c r="QTH13" s="46"/>
      <c r="QTI13" s="46"/>
      <c r="QTJ13" s="46"/>
      <c r="QTK13" s="46"/>
      <c r="QTL13" s="46"/>
      <c r="QTM13" s="46"/>
      <c r="QTN13" s="46"/>
      <c r="QTO13" s="46"/>
      <c r="QTP13" s="46"/>
      <c r="QTQ13" s="46"/>
      <c r="QTR13" s="46"/>
      <c r="QTS13" s="46"/>
      <c r="QTT13" s="46"/>
      <c r="QTU13" s="46"/>
      <c r="QTV13" s="46"/>
      <c r="QTW13" s="46"/>
      <c r="QTX13" s="46"/>
      <c r="QTY13" s="46"/>
      <c r="QTZ13" s="46"/>
      <c r="QUA13" s="46"/>
      <c r="QUB13" s="46"/>
      <c r="QUC13" s="46"/>
      <c r="QUD13" s="46"/>
      <c r="QUE13" s="46"/>
      <c r="QUF13" s="46"/>
      <c r="QUG13" s="46"/>
      <c r="QUH13" s="46"/>
      <c r="QUI13" s="46"/>
      <c r="QUJ13" s="46"/>
      <c r="QUK13" s="46"/>
      <c r="QUL13" s="46"/>
      <c r="QUM13" s="46"/>
      <c r="QUN13" s="46"/>
      <c r="QUO13" s="46"/>
      <c r="QUP13" s="46"/>
      <c r="QUQ13" s="46"/>
      <c r="QUR13" s="46"/>
      <c r="QUS13" s="46"/>
      <c r="QUT13" s="46"/>
      <c r="QUU13" s="46"/>
      <c r="QUV13" s="46"/>
      <c r="QUW13" s="46"/>
      <c r="QUX13" s="46"/>
      <c r="QUY13" s="46"/>
      <c r="QUZ13" s="46"/>
      <c r="QVA13" s="46"/>
      <c r="QVB13" s="46"/>
      <c r="QVC13" s="46"/>
      <c r="QVD13" s="46"/>
      <c r="QVE13" s="46"/>
      <c r="QVF13" s="46"/>
      <c r="QVG13" s="46"/>
      <c r="QVH13" s="46"/>
      <c r="QVI13" s="46"/>
      <c r="QVJ13" s="46"/>
      <c r="QVK13" s="46"/>
      <c r="QVL13" s="46"/>
      <c r="QVM13" s="46"/>
      <c r="QVN13" s="46"/>
      <c r="QVO13" s="46"/>
      <c r="QVP13" s="46"/>
      <c r="QVQ13" s="46"/>
      <c r="QVR13" s="46"/>
      <c r="QVS13" s="46"/>
      <c r="QVT13" s="46"/>
      <c r="QVU13" s="46"/>
      <c r="QVV13" s="46"/>
      <c r="QVW13" s="46"/>
      <c r="QVX13" s="46"/>
      <c r="QVY13" s="46"/>
      <c r="QVZ13" s="46"/>
      <c r="QWA13" s="46"/>
      <c r="QWB13" s="46"/>
      <c r="QWC13" s="46"/>
      <c r="QWD13" s="46"/>
      <c r="QWE13" s="46"/>
      <c r="QWF13" s="46"/>
      <c r="QWG13" s="46"/>
      <c r="QWH13" s="46"/>
      <c r="QWI13" s="46"/>
      <c r="QWJ13" s="46"/>
      <c r="QWK13" s="46"/>
      <c r="QWL13" s="46"/>
      <c r="QWM13" s="46"/>
      <c r="QWN13" s="46"/>
      <c r="QWO13" s="46"/>
      <c r="QWP13" s="46"/>
      <c r="QWQ13" s="46"/>
      <c r="QWR13" s="46"/>
      <c r="QWS13" s="46"/>
      <c r="QWT13" s="46"/>
      <c r="QWU13" s="46"/>
      <c r="QWV13" s="46"/>
      <c r="QWW13" s="46"/>
      <c r="QWX13" s="46"/>
      <c r="QWY13" s="46"/>
      <c r="QWZ13" s="46"/>
      <c r="QXA13" s="46"/>
      <c r="QXB13" s="46"/>
      <c r="QXC13" s="46"/>
      <c r="QXD13" s="46"/>
      <c r="QXE13" s="46"/>
      <c r="QXF13" s="46"/>
      <c r="QXG13" s="46"/>
      <c r="QXH13" s="46"/>
      <c r="QXI13" s="46"/>
      <c r="QXJ13" s="46"/>
      <c r="QXK13" s="46"/>
      <c r="QXL13" s="46"/>
      <c r="QXM13" s="46"/>
      <c r="QXN13" s="46"/>
      <c r="QXO13" s="46"/>
      <c r="QXP13" s="46"/>
      <c r="QXQ13" s="46"/>
      <c r="QXR13" s="46"/>
      <c r="QXS13" s="46"/>
      <c r="QXT13" s="46"/>
      <c r="QXU13" s="46"/>
      <c r="QXV13" s="46"/>
      <c r="QXW13" s="46"/>
      <c r="QXX13" s="46"/>
      <c r="QXY13" s="46"/>
      <c r="QXZ13" s="46"/>
      <c r="QYA13" s="46"/>
      <c r="QYB13" s="46"/>
      <c r="QYC13" s="46"/>
      <c r="QYD13" s="46"/>
      <c r="QYE13" s="46"/>
      <c r="QYF13" s="46"/>
      <c r="QYG13" s="46"/>
      <c r="QYH13" s="46"/>
      <c r="QYI13" s="46"/>
      <c r="QYJ13" s="46"/>
      <c r="QYK13" s="46"/>
      <c r="QYL13" s="46"/>
      <c r="QYM13" s="46"/>
      <c r="QYN13" s="46"/>
      <c r="QYO13" s="46"/>
      <c r="QYP13" s="46"/>
      <c r="QYQ13" s="46"/>
      <c r="QYR13" s="46"/>
      <c r="QYS13" s="46"/>
      <c r="QYT13" s="46"/>
      <c r="QYU13" s="46"/>
      <c r="QYV13" s="46"/>
      <c r="QYW13" s="46"/>
      <c r="QYX13" s="46"/>
      <c r="QYY13" s="46"/>
      <c r="QYZ13" s="46"/>
      <c r="QZA13" s="46"/>
      <c r="QZB13" s="46"/>
      <c r="QZC13" s="46"/>
      <c r="QZD13" s="46"/>
      <c r="QZE13" s="46"/>
      <c r="QZF13" s="46"/>
      <c r="QZG13" s="46"/>
      <c r="QZH13" s="46"/>
      <c r="QZI13" s="46"/>
      <c r="QZJ13" s="46"/>
      <c r="QZK13" s="46"/>
      <c r="QZL13" s="46"/>
      <c r="QZM13" s="46"/>
      <c r="QZN13" s="46"/>
      <c r="QZO13" s="46"/>
      <c r="QZP13" s="46"/>
      <c r="QZQ13" s="46"/>
      <c r="QZR13" s="46"/>
      <c r="QZS13" s="46"/>
      <c r="QZT13" s="46"/>
      <c r="QZU13" s="46"/>
      <c r="QZV13" s="46"/>
      <c r="QZW13" s="46"/>
      <c r="QZX13" s="46"/>
      <c r="QZY13" s="46"/>
      <c r="QZZ13" s="46"/>
      <c r="RAA13" s="46"/>
      <c r="RAB13" s="46"/>
      <c r="RAC13" s="46"/>
      <c r="RAD13" s="46"/>
      <c r="RAE13" s="46"/>
      <c r="RAF13" s="46"/>
      <c r="RAG13" s="46"/>
      <c r="RAH13" s="46"/>
      <c r="RAI13" s="46"/>
      <c r="RAJ13" s="46"/>
      <c r="RAK13" s="46"/>
      <c r="RAL13" s="46"/>
      <c r="RAM13" s="46"/>
      <c r="RAN13" s="46"/>
      <c r="RAO13" s="46"/>
      <c r="RAP13" s="46"/>
      <c r="RAQ13" s="46"/>
      <c r="RAR13" s="46"/>
      <c r="RAS13" s="46"/>
      <c r="RAT13" s="46"/>
      <c r="RAU13" s="46"/>
      <c r="RAV13" s="46"/>
      <c r="RAW13" s="46"/>
      <c r="RAX13" s="46"/>
      <c r="RAY13" s="46"/>
      <c r="RAZ13" s="46"/>
      <c r="RBA13" s="46"/>
      <c r="RBB13" s="46"/>
      <c r="RBC13" s="46"/>
      <c r="RBD13" s="46"/>
      <c r="RBE13" s="46"/>
      <c r="RBF13" s="46"/>
      <c r="RBG13" s="46"/>
      <c r="RBH13" s="46"/>
      <c r="RBI13" s="46"/>
      <c r="RBJ13" s="46"/>
      <c r="RBK13" s="46"/>
      <c r="RBL13" s="46"/>
      <c r="RBM13" s="46"/>
      <c r="RBN13" s="46"/>
      <c r="RBO13" s="46"/>
      <c r="RBP13" s="46"/>
      <c r="RBQ13" s="46"/>
      <c r="RBR13" s="46"/>
      <c r="RBS13" s="46"/>
      <c r="RBT13" s="46"/>
      <c r="RBU13" s="46"/>
      <c r="RBV13" s="46"/>
      <c r="RBW13" s="46"/>
      <c r="RBX13" s="46"/>
      <c r="RBY13" s="46"/>
      <c r="RBZ13" s="46"/>
      <c r="RCA13" s="46"/>
      <c r="RCB13" s="46"/>
      <c r="RCC13" s="46"/>
      <c r="RCD13" s="46"/>
      <c r="RCE13" s="46"/>
      <c r="RCF13" s="46"/>
      <c r="RCG13" s="46"/>
      <c r="RCH13" s="46"/>
      <c r="RCI13" s="46"/>
      <c r="RCJ13" s="46"/>
      <c r="RCK13" s="46"/>
      <c r="RCL13" s="46"/>
      <c r="RCM13" s="46"/>
      <c r="RCN13" s="46"/>
      <c r="RCO13" s="46"/>
      <c r="RCP13" s="46"/>
      <c r="RCQ13" s="46"/>
      <c r="RCR13" s="46"/>
      <c r="RCS13" s="46"/>
      <c r="RCT13" s="46"/>
      <c r="RCU13" s="46"/>
      <c r="RCV13" s="46"/>
      <c r="RCW13" s="46"/>
      <c r="RCX13" s="46"/>
      <c r="RCY13" s="46"/>
      <c r="RCZ13" s="46"/>
      <c r="RDA13" s="46"/>
      <c r="RDB13" s="46"/>
      <c r="RDC13" s="46"/>
      <c r="RDD13" s="46"/>
      <c r="RDE13" s="46"/>
      <c r="RDF13" s="46"/>
      <c r="RDG13" s="46"/>
      <c r="RDH13" s="46"/>
      <c r="RDI13" s="46"/>
      <c r="RDJ13" s="46"/>
      <c r="RDK13" s="46"/>
      <c r="RDL13" s="46"/>
      <c r="RDM13" s="46"/>
      <c r="RDN13" s="46"/>
      <c r="RDO13" s="46"/>
      <c r="RDP13" s="46"/>
      <c r="RDQ13" s="46"/>
      <c r="RDR13" s="46"/>
      <c r="RDS13" s="46"/>
      <c r="RDT13" s="46"/>
      <c r="RDU13" s="46"/>
      <c r="RDV13" s="46"/>
      <c r="RDW13" s="46"/>
      <c r="RDX13" s="46"/>
      <c r="RDY13" s="46"/>
      <c r="RDZ13" s="46"/>
      <c r="REA13" s="46"/>
      <c r="REB13" s="46"/>
      <c r="REC13" s="46"/>
      <c r="RED13" s="46"/>
      <c r="REE13" s="46"/>
      <c r="REF13" s="46"/>
      <c r="REG13" s="46"/>
      <c r="REH13" s="46"/>
      <c r="REI13" s="46"/>
      <c r="REJ13" s="46"/>
      <c r="REK13" s="46"/>
      <c r="REL13" s="46"/>
      <c r="REM13" s="46"/>
      <c r="REN13" s="46"/>
      <c r="REO13" s="46"/>
      <c r="REP13" s="46"/>
      <c r="REQ13" s="46"/>
      <c r="RER13" s="46"/>
      <c r="RES13" s="46"/>
      <c r="RET13" s="46"/>
      <c r="REU13" s="46"/>
      <c r="REV13" s="46"/>
      <c r="REW13" s="46"/>
      <c r="REX13" s="46"/>
      <c r="REY13" s="46"/>
      <c r="REZ13" s="46"/>
      <c r="RFA13" s="46"/>
      <c r="RFB13" s="46"/>
      <c r="RFC13" s="46"/>
      <c r="RFD13" s="46"/>
      <c r="RFE13" s="46"/>
      <c r="RFF13" s="46"/>
      <c r="RFG13" s="46"/>
      <c r="RFH13" s="46"/>
      <c r="RFI13" s="46"/>
      <c r="RFJ13" s="46"/>
      <c r="RFK13" s="46"/>
      <c r="RFL13" s="46"/>
      <c r="RFM13" s="46"/>
      <c r="RFN13" s="46"/>
      <c r="RFO13" s="46"/>
      <c r="RFP13" s="46"/>
      <c r="RFQ13" s="46"/>
      <c r="RFR13" s="46"/>
      <c r="RFS13" s="46"/>
      <c r="RFT13" s="46"/>
      <c r="RFU13" s="46"/>
      <c r="RFV13" s="46"/>
      <c r="RFW13" s="46"/>
      <c r="RFX13" s="46"/>
      <c r="RFY13" s="46"/>
      <c r="RFZ13" s="46"/>
      <c r="RGA13" s="46"/>
      <c r="RGB13" s="46"/>
      <c r="RGC13" s="46"/>
      <c r="RGD13" s="46"/>
      <c r="RGE13" s="46"/>
      <c r="RGF13" s="46"/>
      <c r="RGG13" s="46"/>
      <c r="RGH13" s="46"/>
      <c r="RGI13" s="46"/>
      <c r="RGJ13" s="46"/>
      <c r="RGK13" s="46"/>
      <c r="RGL13" s="46"/>
      <c r="RGM13" s="46"/>
      <c r="RGN13" s="46"/>
      <c r="RGO13" s="46"/>
      <c r="RGP13" s="46"/>
      <c r="RGQ13" s="46"/>
      <c r="RGR13" s="46"/>
      <c r="RGS13" s="46"/>
      <c r="RGT13" s="46"/>
      <c r="RGU13" s="46"/>
      <c r="RGV13" s="46"/>
      <c r="RGW13" s="46"/>
      <c r="RGX13" s="46"/>
      <c r="RGY13" s="46"/>
      <c r="RGZ13" s="46"/>
      <c r="RHA13" s="46"/>
      <c r="RHB13" s="46"/>
      <c r="RHC13" s="46"/>
      <c r="RHD13" s="46"/>
      <c r="RHE13" s="46"/>
      <c r="RHF13" s="46"/>
      <c r="RHG13" s="46"/>
      <c r="RHH13" s="46"/>
      <c r="RHI13" s="46"/>
      <c r="RHJ13" s="46"/>
      <c r="RHK13" s="46"/>
      <c r="RHL13" s="46"/>
      <c r="RHM13" s="46"/>
      <c r="RHN13" s="46"/>
      <c r="RHO13" s="46"/>
      <c r="RHP13" s="46"/>
      <c r="RHQ13" s="46"/>
      <c r="RHR13" s="46"/>
      <c r="RHS13" s="46"/>
      <c r="RHT13" s="46"/>
      <c r="RHU13" s="46"/>
      <c r="RHV13" s="46"/>
      <c r="RHW13" s="46"/>
      <c r="RHX13" s="46"/>
      <c r="RHY13" s="46"/>
      <c r="RHZ13" s="46"/>
      <c r="RIA13" s="46"/>
      <c r="RIB13" s="46"/>
      <c r="RIC13" s="46"/>
      <c r="RID13" s="46"/>
      <c r="RIE13" s="46"/>
      <c r="RIF13" s="46"/>
      <c r="RIG13" s="46"/>
      <c r="RIH13" s="46"/>
      <c r="RII13" s="46"/>
      <c r="RIJ13" s="46"/>
      <c r="RIK13" s="46"/>
      <c r="RIL13" s="46"/>
      <c r="RIM13" s="46"/>
      <c r="RIN13" s="46"/>
      <c r="RIO13" s="46"/>
      <c r="RIP13" s="46"/>
      <c r="RIQ13" s="46"/>
      <c r="RIR13" s="46"/>
      <c r="RIS13" s="46"/>
      <c r="RIT13" s="46"/>
      <c r="RIU13" s="46"/>
      <c r="RIV13" s="46"/>
      <c r="RIW13" s="46"/>
      <c r="RIX13" s="46"/>
      <c r="RIY13" s="46"/>
      <c r="RIZ13" s="46"/>
      <c r="RJA13" s="46"/>
      <c r="RJB13" s="46"/>
      <c r="RJC13" s="46"/>
      <c r="RJD13" s="46"/>
      <c r="RJE13" s="46"/>
      <c r="RJF13" s="46"/>
      <c r="RJG13" s="46"/>
      <c r="RJH13" s="46"/>
      <c r="RJI13" s="46"/>
      <c r="RJJ13" s="46"/>
      <c r="RJK13" s="46"/>
      <c r="RJL13" s="46"/>
      <c r="RJM13" s="46"/>
      <c r="RJN13" s="46"/>
      <c r="RJO13" s="46"/>
      <c r="RJP13" s="46"/>
      <c r="RJQ13" s="46"/>
      <c r="RJR13" s="46"/>
      <c r="RJS13" s="46"/>
      <c r="RJT13" s="46"/>
      <c r="RJU13" s="46"/>
      <c r="RJV13" s="46"/>
      <c r="RJW13" s="46"/>
      <c r="RJX13" s="46"/>
      <c r="RJY13" s="46"/>
      <c r="RJZ13" s="46"/>
      <c r="RKA13" s="46"/>
      <c r="RKB13" s="46"/>
      <c r="RKC13" s="46"/>
      <c r="RKD13" s="46"/>
      <c r="RKE13" s="46"/>
      <c r="RKF13" s="46"/>
      <c r="RKG13" s="46"/>
      <c r="RKH13" s="46"/>
      <c r="RKI13" s="46"/>
      <c r="RKJ13" s="46"/>
      <c r="RKK13" s="46"/>
      <c r="RKL13" s="46"/>
      <c r="RKM13" s="46"/>
      <c r="RKN13" s="46"/>
      <c r="RKO13" s="46"/>
      <c r="RKP13" s="46"/>
      <c r="RKQ13" s="46"/>
      <c r="RKR13" s="46"/>
      <c r="RKS13" s="46"/>
      <c r="RKT13" s="46"/>
      <c r="RKU13" s="46"/>
      <c r="RKV13" s="46"/>
      <c r="RKW13" s="46"/>
      <c r="RKX13" s="46"/>
      <c r="RKY13" s="46"/>
      <c r="RKZ13" s="46"/>
      <c r="RLA13" s="46"/>
      <c r="RLB13" s="46"/>
      <c r="RLC13" s="46"/>
      <c r="RLD13" s="46"/>
      <c r="RLE13" s="46"/>
      <c r="RLF13" s="46"/>
      <c r="RLG13" s="46"/>
      <c r="RLH13" s="46"/>
      <c r="RLI13" s="46"/>
      <c r="RLJ13" s="46"/>
      <c r="RLK13" s="46"/>
      <c r="RLL13" s="46"/>
      <c r="RLM13" s="46"/>
      <c r="RLN13" s="46"/>
      <c r="RLO13" s="46"/>
      <c r="RLP13" s="46"/>
      <c r="RLQ13" s="46"/>
      <c r="RLR13" s="46"/>
      <c r="RLS13" s="46"/>
      <c r="RLT13" s="46"/>
      <c r="RLU13" s="46"/>
      <c r="RLV13" s="46"/>
      <c r="RLW13" s="46"/>
      <c r="RLX13" s="46"/>
      <c r="RLY13" s="46"/>
      <c r="RLZ13" s="46"/>
      <c r="RMA13" s="46"/>
      <c r="RMB13" s="46"/>
      <c r="RMC13" s="46"/>
      <c r="RMD13" s="46"/>
      <c r="RME13" s="46"/>
      <c r="RMF13" s="46"/>
      <c r="RMG13" s="46"/>
      <c r="RMH13" s="46"/>
      <c r="RMI13" s="46"/>
      <c r="RMJ13" s="46"/>
      <c r="RMK13" s="46"/>
      <c r="RML13" s="46"/>
      <c r="RMM13" s="46"/>
      <c r="RMN13" s="46"/>
      <c r="RMO13" s="46"/>
      <c r="RMP13" s="46"/>
      <c r="RMQ13" s="46"/>
      <c r="RMR13" s="46"/>
      <c r="RMS13" s="46"/>
      <c r="RMT13" s="46"/>
      <c r="RMU13" s="46"/>
      <c r="RMV13" s="46"/>
      <c r="RMW13" s="46"/>
      <c r="RMX13" s="46"/>
      <c r="RMY13" s="46"/>
      <c r="RMZ13" s="46"/>
      <c r="RNA13" s="46"/>
      <c r="RNB13" s="46"/>
      <c r="RNC13" s="46"/>
      <c r="RND13" s="46"/>
      <c r="RNE13" s="46"/>
      <c r="RNF13" s="46"/>
      <c r="RNG13" s="46"/>
      <c r="RNH13" s="46"/>
      <c r="RNI13" s="46"/>
      <c r="RNJ13" s="46"/>
      <c r="RNK13" s="46"/>
      <c r="RNL13" s="46"/>
      <c r="RNM13" s="46"/>
      <c r="RNN13" s="46"/>
      <c r="RNO13" s="46"/>
      <c r="RNP13" s="46"/>
      <c r="RNQ13" s="46"/>
      <c r="RNR13" s="46"/>
      <c r="RNS13" s="46"/>
      <c r="RNT13" s="46"/>
      <c r="RNU13" s="46"/>
      <c r="RNV13" s="46"/>
      <c r="RNW13" s="46"/>
      <c r="RNX13" s="46"/>
      <c r="RNY13" s="46"/>
      <c r="RNZ13" s="46"/>
      <c r="ROA13" s="46"/>
      <c r="ROB13" s="46"/>
      <c r="ROC13" s="46"/>
      <c r="ROD13" s="46"/>
      <c r="ROE13" s="46"/>
      <c r="ROF13" s="46"/>
      <c r="ROG13" s="46"/>
      <c r="ROH13" s="46"/>
      <c r="ROI13" s="46"/>
      <c r="ROJ13" s="46"/>
      <c r="ROK13" s="46"/>
      <c r="ROL13" s="46"/>
      <c r="ROM13" s="46"/>
      <c r="RON13" s="46"/>
      <c r="ROO13" s="46"/>
      <c r="ROP13" s="46"/>
      <c r="ROQ13" s="46"/>
      <c r="ROR13" s="46"/>
      <c r="ROS13" s="46"/>
      <c r="ROT13" s="46"/>
      <c r="ROU13" s="46"/>
      <c r="ROV13" s="46"/>
      <c r="ROW13" s="46"/>
      <c r="ROX13" s="46"/>
      <c r="ROY13" s="46"/>
      <c r="ROZ13" s="46"/>
      <c r="RPA13" s="46"/>
      <c r="RPB13" s="46"/>
      <c r="RPC13" s="46"/>
      <c r="RPD13" s="46"/>
      <c r="RPE13" s="46"/>
      <c r="RPF13" s="46"/>
      <c r="RPG13" s="46"/>
      <c r="RPH13" s="46"/>
      <c r="RPI13" s="46"/>
      <c r="RPJ13" s="46"/>
      <c r="RPK13" s="46"/>
      <c r="RPL13" s="46"/>
      <c r="RPM13" s="46"/>
      <c r="RPN13" s="46"/>
      <c r="RPO13" s="46"/>
      <c r="RPP13" s="46"/>
      <c r="RPQ13" s="46"/>
      <c r="RPR13" s="46"/>
      <c r="RPS13" s="46"/>
      <c r="RPT13" s="46"/>
      <c r="RPU13" s="46"/>
      <c r="RPV13" s="46"/>
      <c r="RPW13" s="46"/>
      <c r="RPX13" s="46"/>
      <c r="RPY13" s="46"/>
      <c r="RPZ13" s="46"/>
      <c r="RQA13" s="46"/>
      <c r="RQB13" s="46"/>
      <c r="RQC13" s="46"/>
      <c r="RQD13" s="46"/>
      <c r="RQE13" s="46"/>
      <c r="RQF13" s="46"/>
      <c r="RQG13" s="46"/>
      <c r="RQH13" s="46"/>
      <c r="RQI13" s="46"/>
      <c r="RQJ13" s="46"/>
      <c r="RQK13" s="46"/>
      <c r="RQL13" s="46"/>
      <c r="RQM13" s="46"/>
      <c r="RQN13" s="46"/>
      <c r="RQO13" s="46"/>
      <c r="RQP13" s="46"/>
      <c r="RQQ13" s="46"/>
      <c r="RQR13" s="46"/>
      <c r="RQS13" s="46"/>
      <c r="RQT13" s="46"/>
      <c r="RQU13" s="46"/>
      <c r="RQV13" s="46"/>
      <c r="RQW13" s="46"/>
      <c r="RQX13" s="46"/>
      <c r="RQY13" s="46"/>
      <c r="RQZ13" s="46"/>
      <c r="RRA13" s="46"/>
      <c r="RRB13" s="46"/>
      <c r="RRC13" s="46"/>
      <c r="RRD13" s="46"/>
      <c r="RRE13" s="46"/>
      <c r="RRF13" s="46"/>
      <c r="RRG13" s="46"/>
      <c r="RRH13" s="46"/>
      <c r="RRI13" s="46"/>
      <c r="RRJ13" s="46"/>
      <c r="RRK13" s="46"/>
      <c r="RRL13" s="46"/>
      <c r="RRM13" s="46"/>
      <c r="RRN13" s="46"/>
      <c r="RRO13" s="46"/>
      <c r="RRP13" s="46"/>
      <c r="RRQ13" s="46"/>
      <c r="RRR13" s="46"/>
      <c r="RRS13" s="46"/>
      <c r="RRT13" s="46"/>
      <c r="RRU13" s="46"/>
      <c r="RRV13" s="46"/>
      <c r="RRW13" s="46"/>
      <c r="RRX13" s="46"/>
      <c r="RRY13" s="46"/>
      <c r="RRZ13" s="46"/>
      <c r="RSA13" s="46"/>
      <c r="RSB13" s="46"/>
      <c r="RSC13" s="46"/>
      <c r="RSD13" s="46"/>
      <c r="RSE13" s="46"/>
      <c r="RSF13" s="46"/>
      <c r="RSG13" s="46"/>
      <c r="RSH13" s="46"/>
      <c r="RSI13" s="46"/>
      <c r="RSJ13" s="46"/>
      <c r="RSK13" s="46"/>
      <c r="RSL13" s="46"/>
      <c r="RSM13" s="46"/>
      <c r="RSN13" s="46"/>
      <c r="RSO13" s="46"/>
      <c r="RSP13" s="46"/>
      <c r="RSQ13" s="46"/>
      <c r="RSR13" s="46"/>
      <c r="RSS13" s="46"/>
      <c r="RST13" s="46"/>
      <c r="RSU13" s="46"/>
      <c r="RSV13" s="46"/>
      <c r="RSW13" s="46"/>
      <c r="RSX13" s="46"/>
      <c r="RSY13" s="46"/>
      <c r="RSZ13" s="46"/>
      <c r="RTA13" s="46"/>
      <c r="RTB13" s="46"/>
      <c r="RTC13" s="46"/>
      <c r="RTD13" s="46"/>
      <c r="RTE13" s="46"/>
      <c r="RTF13" s="46"/>
      <c r="RTG13" s="46"/>
      <c r="RTH13" s="46"/>
      <c r="RTI13" s="46"/>
      <c r="RTJ13" s="46"/>
      <c r="RTK13" s="46"/>
      <c r="RTL13" s="46"/>
      <c r="RTM13" s="46"/>
      <c r="RTN13" s="46"/>
      <c r="RTO13" s="46"/>
      <c r="RTP13" s="46"/>
      <c r="RTQ13" s="46"/>
      <c r="RTR13" s="46"/>
      <c r="RTS13" s="46"/>
      <c r="RTT13" s="46"/>
      <c r="RTU13" s="46"/>
      <c r="RTV13" s="46"/>
      <c r="RTW13" s="46"/>
      <c r="RTX13" s="46"/>
      <c r="RTY13" s="46"/>
      <c r="RTZ13" s="46"/>
      <c r="RUA13" s="46"/>
      <c r="RUB13" s="46"/>
      <c r="RUC13" s="46"/>
      <c r="RUD13" s="46"/>
      <c r="RUE13" s="46"/>
      <c r="RUF13" s="46"/>
      <c r="RUG13" s="46"/>
      <c r="RUH13" s="46"/>
      <c r="RUI13" s="46"/>
      <c r="RUJ13" s="46"/>
      <c r="RUK13" s="46"/>
      <c r="RUL13" s="46"/>
      <c r="RUM13" s="46"/>
      <c r="RUN13" s="46"/>
      <c r="RUO13" s="46"/>
      <c r="RUP13" s="46"/>
      <c r="RUQ13" s="46"/>
      <c r="RUR13" s="46"/>
      <c r="RUS13" s="46"/>
      <c r="RUT13" s="46"/>
      <c r="RUU13" s="46"/>
      <c r="RUV13" s="46"/>
      <c r="RUW13" s="46"/>
      <c r="RUX13" s="46"/>
      <c r="RUY13" s="46"/>
      <c r="RUZ13" s="46"/>
      <c r="RVA13" s="46"/>
      <c r="RVB13" s="46"/>
      <c r="RVC13" s="46"/>
      <c r="RVD13" s="46"/>
      <c r="RVE13" s="46"/>
      <c r="RVF13" s="46"/>
      <c r="RVG13" s="46"/>
      <c r="RVH13" s="46"/>
      <c r="RVI13" s="46"/>
      <c r="RVJ13" s="46"/>
      <c r="RVK13" s="46"/>
      <c r="RVL13" s="46"/>
      <c r="RVM13" s="46"/>
      <c r="RVN13" s="46"/>
      <c r="RVO13" s="46"/>
      <c r="RVP13" s="46"/>
      <c r="RVQ13" s="46"/>
      <c r="RVR13" s="46"/>
      <c r="RVS13" s="46"/>
      <c r="RVT13" s="46"/>
      <c r="RVU13" s="46"/>
      <c r="RVV13" s="46"/>
      <c r="RVW13" s="46"/>
      <c r="RVX13" s="46"/>
      <c r="RVY13" s="46"/>
      <c r="RVZ13" s="46"/>
      <c r="RWA13" s="46"/>
      <c r="RWB13" s="46"/>
      <c r="RWC13" s="46"/>
      <c r="RWD13" s="46"/>
      <c r="RWE13" s="46"/>
      <c r="RWF13" s="46"/>
      <c r="RWG13" s="46"/>
      <c r="RWH13" s="46"/>
      <c r="RWI13" s="46"/>
      <c r="RWJ13" s="46"/>
      <c r="RWK13" s="46"/>
      <c r="RWL13" s="46"/>
      <c r="RWM13" s="46"/>
      <c r="RWN13" s="46"/>
      <c r="RWO13" s="46"/>
      <c r="RWP13" s="46"/>
      <c r="RWQ13" s="46"/>
      <c r="RWR13" s="46"/>
      <c r="RWS13" s="46"/>
      <c r="RWT13" s="46"/>
      <c r="RWU13" s="46"/>
      <c r="RWV13" s="46"/>
      <c r="RWW13" s="46"/>
      <c r="RWX13" s="46"/>
      <c r="RWY13" s="46"/>
      <c r="RWZ13" s="46"/>
      <c r="RXA13" s="46"/>
      <c r="RXB13" s="46"/>
      <c r="RXC13" s="46"/>
      <c r="RXD13" s="46"/>
      <c r="RXE13" s="46"/>
      <c r="RXF13" s="46"/>
      <c r="RXG13" s="46"/>
      <c r="RXH13" s="46"/>
      <c r="RXI13" s="46"/>
      <c r="RXJ13" s="46"/>
      <c r="RXK13" s="46"/>
      <c r="RXL13" s="46"/>
      <c r="RXM13" s="46"/>
      <c r="RXN13" s="46"/>
      <c r="RXO13" s="46"/>
      <c r="RXP13" s="46"/>
      <c r="RXQ13" s="46"/>
      <c r="RXR13" s="46"/>
      <c r="RXS13" s="46"/>
      <c r="RXT13" s="46"/>
      <c r="RXU13" s="46"/>
      <c r="RXV13" s="46"/>
      <c r="RXW13" s="46"/>
      <c r="RXX13" s="46"/>
      <c r="RXY13" s="46"/>
      <c r="RXZ13" s="46"/>
      <c r="RYA13" s="46"/>
      <c r="RYB13" s="46"/>
      <c r="RYC13" s="46"/>
      <c r="RYD13" s="46"/>
      <c r="RYE13" s="46"/>
      <c r="RYF13" s="46"/>
      <c r="RYG13" s="46"/>
      <c r="RYH13" s="46"/>
      <c r="RYI13" s="46"/>
      <c r="RYJ13" s="46"/>
      <c r="RYK13" s="46"/>
      <c r="RYL13" s="46"/>
      <c r="RYM13" s="46"/>
      <c r="RYN13" s="46"/>
      <c r="RYO13" s="46"/>
      <c r="RYP13" s="46"/>
      <c r="RYQ13" s="46"/>
      <c r="RYR13" s="46"/>
      <c r="RYS13" s="46"/>
      <c r="RYT13" s="46"/>
      <c r="RYU13" s="46"/>
      <c r="RYV13" s="46"/>
      <c r="RYW13" s="46"/>
      <c r="RYX13" s="46"/>
      <c r="RYY13" s="46"/>
      <c r="RYZ13" s="46"/>
      <c r="RZA13" s="46"/>
      <c r="RZB13" s="46"/>
      <c r="RZC13" s="46"/>
      <c r="RZD13" s="46"/>
      <c r="RZE13" s="46"/>
      <c r="RZF13" s="46"/>
      <c r="RZG13" s="46"/>
      <c r="RZH13" s="46"/>
      <c r="RZI13" s="46"/>
      <c r="RZJ13" s="46"/>
      <c r="RZK13" s="46"/>
      <c r="RZL13" s="46"/>
      <c r="RZM13" s="46"/>
      <c r="RZN13" s="46"/>
      <c r="RZO13" s="46"/>
      <c r="RZP13" s="46"/>
      <c r="RZQ13" s="46"/>
      <c r="RZR13" s="46"/>
      <c r="RZS13" s="46"/>
      <c r="RZT13" s="46"/>
      <c r="RZU13" s="46"/>
      <c r="RZV13" s="46"/>
      <c r="RZW13" s="46"/>
      <c r="RZX13" s="46"/>
      <c r="RZY13" s="46"/>
      <c r="RZZ13" s="46"/>
      <c r="SAA13" s="46"/>
      <c r="SAB13" s="46"/>
      <c r="SAC13" s="46"/>
      <c r="SAD13" s="46"/>
      <c r="SAE13" s="46"/>
      <c r="SAF13" s="46"/>
      <c r="SAG13" s="46"/>
      <c r="SAH13" s="46"/>
      <c r="SAI13" s="46"/>
      <c r="SAJ13" s="46"/>
      <c r="SAK13" s="46"/>
      <c r="SAL13" s="46"/>
      <c r="SAM13" s="46"/>
      <c r="SAN13" s="46"/>
      <c r="SAO13" s="46"/>
      <c r="SAP13" s="46"/>
      <c r="SAQ13" s="46"/>
      <c r="SAR13" s="46"/>
      <c r="SAS13" s="46"/>
      <c r="SAT13" s="46"/>
      <c r="SAU13" s="46"/>
      <c r="SAV13" s="46"/>
      <c r="SAW13" s="46"/>
      <c r="SAX13" s="46"/>
      <c r="SAY13" s="46"/>
      <c r="SAZ13" s="46"/>
      <c r="SBA13" s="46"/>
      <c r="SBB13" s="46"/>
      <c r="SBC13" s="46"/>
      <c r="SBD13" s="46"/>
      <c r="SBE13" s="46"/>
      <c r="SBF13" s="46"/>
      <c r="SBG13" s="46"/>
      <c r="SBH13" s="46"/>
      <c r="SBI13" s="46"/>
      <c r="SBJ13" s="46"/>
      <c r="SBK13" s="46"/>
      <c r="SBL13" s="46"/>
      <c r="SBM13" s="46"/>
      <c r="SBN13" s="46"/>
      <c r="SBO13" s="46"/>
      <c r="SBP13" s="46"/>
      <c r="SBQ13" s="46"/>
      <c r="SBR13" s="46"/>
      <c r="SBS13" s="46"/>
      <c r="SBT13" s="46"/>
      <c r="SBU13" s="46"/>
      <c r="SBV13" s="46"/>
      <c r="SBW13" s="46"/>
      <c r="SBX13" s="46"/>
      <c r="SBY13" s="46"/>
      <c r="SBZ13" s="46"/>
      <c r="SCA13" s="46"/>
      <c r="SCB13" s="46"/>
      <c r="SCC13" s="46"/>
      <c r="SCD13" s="46"/>
      <c r="SCE13" s="46"/>
      <c r="SCF13" s="46"/>
      <c r="SCG13" s="46"/>
      <c r="SCH13" s="46"/>
      <c r="SCI13" s="46"/>
      <c r="SCJ13" s="46"/>
      <c r="SCK13" s="46"/>
      <c r="SCL13" s="46"/>
      <c r="SCM13" s="46"/>
      <c r="SCN13" s="46"/>
      <c r="SCO13" s="46"/>
      <c r="SCP13" s="46"/>
      <c r="SCQ13" s="46"/>
      <c r="SCR13" s="46"/>
      <c r="SCS13" s="46"/>
      <c r="SCT13" s="46"/>
      <c r="SCU13" s="46"/>
      <c r="SCV13" s="46"/>
      <c r="SCW13" s="46"/>
      <c r="SCX13" s="46"/>
      <c r="SCY13" s="46"/>
      <c r="SCZ13" s="46"/>
      <c r="SDA13" s="46"/>
      <c r="SDB13" s="46"/>
      <c r="SDC13" s="46"/>
      <c r="SDD13" s="46"/>
      <c r="SDE13" s="46"/>
      <c r="SDF13" s="46"/>
      <c r="SDG13" s="46"/>
      <c r="SDH13" s="46"/>
      <c r="SDI13" s="46"/>
      <c r="SDJ13" s="46"/>
      <c r="SDK13" s="46"/>
      <c r="SDL13" s="46"/>
      <c r="SDM13" s="46"/>
      <c r="SDN13" s="46"/>
      <c r="SDO13" s="46"/>
      <c r="SDP13" s="46"/>
      <c r="SDQ13" s="46"/>
      <c r="SDR13" s="46"/>
      <c r="SDS13" s="46"/>
      <c r="SDT13" s="46"/>
      <c r="SDU13" s="46"/>
      <c r="SDV13" s="46"/>
      <c r="SDW13" s="46"/>
      <c r="SDX13" s="46"/>
      <c r="SDY13" s="46"/>
      <c r="SDZ13" s="46"/>
      <c r="SEA13" s="46"/>
      <c r="SEB13" s="46"/>
      <c r="SEC13" s="46"/>
      <c r="SED13" s="46"/>
      <c r="SEE13" s="46"/>
      <c r="SEF13" s="46"/>
      <c r="SEG13" s="46"/>
      <c r="SEH13" s="46"/>
      <c r="SEI13" s="46"/>
      <c r="SEJ13" s="46"/>
      <c r="SEK13" s="46"/>
      <c r="SEL13" s="46"/>
      <c r="SEM13" s="46"/>
      <c r="SEN13" s="46"/>
      <c r="SEO13" s="46"/>
      <c r="SEP13" s="46"/>
      <c r="SEQ13" s="46"/>
      <c r="SER13" s="46"/>
      <c r="SES13" s="46"/>
      <c r="SET13" s="46"/>
      <c r="SEU13" s="46"/>
      <c r="SEV13" s="46"/>
      <c r="SEW13" s="46"/>
      <c r="SEX13" s="46"/>
      <c r="SEY13" s="46"/>
      <c r="SEZ13" s="46"/>
      <c r="SFA13" s="46"/>
      <c r="SFB13" s="46"/>
      <c r="SFC13" s="46"/>
      <c r="SFD13" s="46"/>
      <c r="SFE13" s="46"/>
      <c r="SFF13" s="46"/>
      <c r="SFG13" s="46"/>
      <c r="SFH13" s="46"/>
      <c r="SFI13" s="46"/>
      <c r="SFJ13" s="46"/>
      <c r="SFK13" s="46"/>
      <c r="SFL13" s="46"/>
      <c r="SFM13" s="46"/>
      <c r="SFN13" s="46"/>
      <c r="SFO13" s="46"/>
      <c r="SFP13" s="46"/>
      <c r="SFQ13" s="46"/>
      <c r="SFR13" s="46"/>
      <c r="SFS13" s="46"/>
      <c r="SFT13" s="46"/>
      <c r="SFU13" s="46"/>
      <c r="SFV13" s="46"/>
      <c r="SFW13" s="46"/>
      <c r="SFX13" s="46"/>
      <c r="SFY13" s="46"/>
      <c r="SFZ13" s="46"/>
      <c r="SGA13" s="46"/>
      <c r="SGB13" s="46"/>
      <c r="SGC13" s="46"/>
      <c r="SGD13" s="46"/>
      <c r="SGE13" s="46"/>
      <c r="SGF13" s="46"/>
      <c r="SGG13" s="46"/>
      <c r="SGH13" s="46"/>
      <c r="SGI13" s="46"/>
      <c r="SGJ13" s="46"/>
      <c r="SGK13" s="46"/>
      <c r="SGL13" s="46"/>
      <c r="SGM13" s="46"/>
      <c r="SGN13" s="46"/>
      <c r="SGO13" s="46"/>
      <c r="SGP13" s="46"/>
      <c r="SGQ13" s="46"/>
      <c r="SGR13" s="46"/>
      <c r="SGS13" s="46"/>
      <c r="SGT13" s="46"/>
      <c r="SGU13" s="46"/>
      <c r="SGV13" s="46"/>
      <c r="SGW13" s="46"/>
      <c r="SGX13" s="46"/>
      <c r="SGY13" s="46"/>
      <c r="SGZ13" s="46"/>
      <c r="SHA13" s="46"/>
      <c r="SHB13" s="46"/>
      <c r="SHC13" s="46"/>
      <c r="SHD13" s="46"/>
      <c r="SHE13" s="46"/>
      <c r="SHF13" s="46"/>
      <c r="SHG13" s="46"/>
      <c r="SHH13" s="46"/>
      <c r="SHI13" s="46"/>
      <c r="SHJ13" s="46"/>
      <c r="SHK13" s="46"/>
      <c r="SHL13" s="46"/>
      <c r="SHM13" s="46"/>
      <c r="SHN13" s="46"/>
      <c r="SHO13" s="46"/>
      <c r="SHP13" s="46"/>
      <c r="SHQ13" s="46"/>
      <c r="SHR13" s="46"/>
      <c r="SHS13" s="46"/>
      <c r="SHT13" s="46"/>
      <c r="SHU13" s="46"/>
      <c r="SHV13" s="46"/>
      <c r="SHW13" s="46"/>
      <c r="SHX13" s="46"/>
      <c r="SHY13" s="46"/>
      <c r="SHZ13" s="46"/>
      <c r="SIA13" s="46"/>
      <c r="SIB13" s="46"/>
      <c r="SIC13" s="46"/>
      <c r="SID13" s="46"/>
      <c r="SIE13" s="46"/>
      <c r="SIF13" s="46"/>
      <c r="SIG13" s="46"/>
      <c r="SIH13" s="46"/>
      <c r="SII13" s="46"/>
      <c r="SIJ13" s="46"/>
      <c r="SIK13" s="46"/>
      <c r="SIL13" s="46"/>
      <c r="SIM13" s="46"/>
      <c r="SIN13" s="46"/>
      <c r="SIO13" s="46"/>
      <c r="SIP13" s="46"/>
      <c r="SIQ13" s="46"/>
      <c r="SIR13" s="46"/>
      <c r="SIS13" s="46"/>
      <c r="SIT13" s="46"/>
      <c r="SIU13" s="46"/>
      <c r="SIV13" s="46"/>
      <c r="SIW13" s="46"/>
      <c r="SIX13" s="46"/>
      <c r="SIY13" s="46"/>
      <c r="SIZ13" s="46"/>
      <c r="SJA13" s="46"/>
      <c r="SJB13" s="46"/>
      <c r="SJC13" s="46"/>
      <c r="SJD13" s="46"/>
      <c r="SJE13" s="46"/>
      <c r="SJF13" s="46"/>
      <c r="SJG13" s="46"/>
      <c r="SJH13" s="46"/>
      <c r="SJI13" s="46"/>
      <c r="SJJ13" s="46"/>
      <c r="SJK13" s="46"/>
      <c r="SJL13" s="46"/>
      <c r="SJM13" s="46"/>
      <c r="SJN13" s="46"/>
      <c r="SJO13" s="46"/>
      <c r="SJP13" s="46"/>
      <c r="SJQ13" s="46"/>
      <c r="SJR13" s="46"/>
      <c r="SJS13" s="46"/>
      <c r="SJT13" s="46"/>
      <c r="SJU13" s="46"/>
      <c r="SJV13" s="46"/>
      <c r="SJW13" s="46"/>
      <c r="SJX13" s="46"/>
      <c r="SJY13" s="46"/>
      <c r="SJZ13" s="46"/>
      <c r="SKA13" s="46"/>
      <c r="SKB13" s="46"/>
      <c r="SKC13" s="46"/>
      <c r="SKD13" s="46"/>
      <c r="SKE13" s="46"/>
      <c r="SKF13" s="46"/>
      <c r="SKG13" s="46"/>
      <c r="SKH13" s="46"/>
      <c r="SKI13" s="46"/>
      <c r="SKJ13" s="46"/>
      <c r="SKK13" s="46"/>
      <c r="SKL13" s="46"/>
      <c r="SKM13" s="46"/>
      <c r="SKN13" s="46"/>
      <c r="SKO13" s="46"/>
      <c r="SKP13" s="46"/>
      <c r="SKQ13" s="46"/>
      <c r="SKR13" s="46"/>
      <c r="SKS13" s="46"/>
      <c r="SKT13" s="46"/>
      <c r="SKU13" s="46"/>
      <c r="SKV13" s="46"/>
      <c r="SKW13" s="46"/>
      <c r="SKX13" s="46"/>
      <c r="SKY13" s="46"/>
      <c r="SKZ13" s="46"/>
      <c r="SLA13" s="46"/>
      <c r="SLB13" s="46"/>
      <c r="SLC13" s="46"/>
      <c r="SLD13" s="46"/>
      <c r="SLE13" s="46"/>
      <c r="SLF13" s="46"/>
      <c r="SLG13" s="46"/>
      <c r="SLH13" s="46"/>
      <c r="SLI13" s="46"/>
      <c r="SLJ13" s="46"/>
      <c r="SLK13" s="46"/>
      <c r="SLL13" s="46"/>
      <c r="SLM13" s="46"/>
      <c r="SLN13" s="46"/>
      <c r="SLO13" s="46"/>
      <c r="SLP13" s="46"/>
      <c r="SLQ13" s="46"/>
      <c r="SLR13" s="46"/>
      <c r="SLS13" s="46"/>
      <c r="SLT13" s="46"/>
      <c r="SLU13" s="46"/>
      <c r="SLV13" s="46"/>
      <c r="SLW13" s="46"/>
      <c r="SLX13" s="46"/>
      <c r="SLY13" s="46"/>
      <c r="SLZ13" s="46"/>
      <c r="SMA13" s="46"/>
      <c r="SMB13" s="46"/>
      <c r="SMC13" s="46"/>
      <c r="SMD13" s="46"/>
      <c r="SME13" s="46"/>
      <c r="SMF13" s="46"/>
      <c r="SMG13" s="46"/>
      <c r="SMH13" s="46"/>
      <c r="SMI13" s="46"/>
      <c r="SMJ13" s="46"/>
      <c r="SMK13" s="46"/>
      <c r="SML13" s="46"/>
      <c r="SMM13" s="46"/>
      <c r="SMN13" s="46"/>
      <c r="SMO13" s="46"/>
      <c r="SMP13" s="46"/>
      <c r="SMQ13" s="46"/>
      <c r="SMR13" s="46"/>
      <c r="SMS13" s="46"/>
      <c r="SMT13" s="46"/>
      <c r="SMU13" s="46"/>
      <c r="SMV13" s="46"/>
      <c r="SMW13" s="46"/>
      <c r="SMX13" s="46"/>
      <c r="SMY13" s="46"/>
      <c r="SMZ13" s="46"/>
      <c r="SNA13" s="46"/>
      <c r="SNB13" s="46"/>
      <c r="SNC13" s="46"/>
      <c r="SND13" s="46"/>
      <c r="SNE13" s="46"/>
      <c r="SNF13" s="46"/>
      <c r="SNG13" s="46"/>
      <c r="SNH13" s="46"/>
      <c r="SNI13" s="46"/>
      <c r="SNJ13" s="46"/>
      <c r="SNK13" s="46"/>
      <c r="SNL13" s="46"/>
      <c r="SNM13" s="46"/>
      <c r="SNN13" s="46"/>
      <c r="SNO13" s="46"/>
      <c r="SNP13" s="46"/>
      <c r="SNQ13" s="46"/>
      <c r="SNR13" s="46"/>
      <c r="SNS13" s="46"/>
      <c r="SNT13" s="46"/>
      <c r="SNU13" s="46"/>
      <c r="SNV13" s="46"/>
      <c r="SNW13" s="46"/>
      <c r="SNX13" s="46"/>
      <c r="SNY13" s="46"/>
      <c r="SNZ13" s="46"/>
      <c r="SOA13" s="46"/>
      <c r="SOB13" s="46"/>
      <c r="SOC13" s="46"/>
      <c r="SOD13" s="46"/>
      <c r="SOE13" s="46"/>
      <c r="SOF13" s="46"/>
      <c r="SOG13" s="46"/>
      <c r="SOH13" s="46"/>
      <c r="SOI13" s="46"/>
      <c r="SOJ13" s="46"/>
      <c r="SOK13" s="46"/>
      <c r="SOL13" s="46"/>
      <c r="SOM13" s="46"/>
      <c r="SON13" s="46"/>
      <c r="SOO13" s="46"/>
      <c r="SOP13" s="46"/>
      <c r="SOQ13" s="46"/>
      <c r="SOR13" s="46"/>
      <c r="SOS13" s="46"/>
      <c r="SOT13" s="46"/>
      <c r="SOU13" s="46"/>
      <c r="SOV13" s="46"/>
      <c r="SOW13" s="46"/>
      <c r="SOX13" s="46"/>
      <c r="SOY13" s="46"/>
      <c r="SOZ13" s="46"/>
      <c r="SPA13" s="46"/>
      <c r="SPB13" s="46"/>
      <c r="SPC13" s="46"/>
      <c r="SPD13" s="46"/>
      <c r="SPE13" s="46"/>
      <c r="SPF13" s="46"/>
      <c r="SPG13" s="46"/>
      <c r="SPH13" s="46"/>
      <c r="SPI13" s="46"/>
      <c r="SPJ13" s="46"/>
      <c r="SPK13" s="46"/>
      <c r="SPL13" s="46"/>
      <c r="SPM13" s="46"/>
      <c r="SPN13" s="46"/>
      <c r="SPO13" s="46"/>
      <c r="SPP13" s="46"/>
      <c r="SPQ13" s="46"/>
      <c r="SPR13" s="46"/>
      <c r="SPS13" s="46"/>
      <c r="SPT13" s="46"/>
      <c r="SPU13" s="46"/>
      <c r="SPV13" s="46"/>
      <c r="SPW13" s="46"/>
      <c r="SPX13" s="46"/>
      <c r="SPY13" s="46"/>
      <c r="SPZ13" s="46"/>
      <c r="SQA13" s="46"/>
      <c r="SQB13" s="46"/>
      <c r="SQC13" s="46"/>
      <c r="SQD13" s="46"/>
      <c r="SQE13" s="46"/>
      <c r="SQF13" s="46"/>
      <c r="SQG13" s="46"/>
      <c r="SQH13" s="46"/>
      <c r="SQI13" s="46"/>
      <c r="SQJ13" s="46"/>
      <c r="SQK13" s="46"/>
      <c r="SQL13" s="46"/>
      <c r="SQM13" s="46"/>
      <c r="SQN13" s="46"/>
      <c r="SQO13" s="46"/>
      <c r="SQP13" s="46"/>
      <c r="SQQ13" s="46"/>
      <c r="SQR13" s="46"/>
      <c r="SQS13" s="46"/>
      <c r="SQT13" s="46"/>
      <c r="SQU13" s="46"/>
      <c r="SQV13" s="46"/>
      <c r="SQW13" s="46"/>
      <c r="SQX13" s="46"/>
      <c r="SQY13" s="46"/>
      <c r="SQZ13" s="46"/>
      <c r="SRA13" s="46"/>
      <c r="SRB13" s="46"/>
      <c r="SRC13" s="46"/>
      <c r="SRD13" s="46"/>
      <c r="SRE13" s="46"/>
      <c r="SRF13" s="46"/>
      <c r="SRG13" s="46"/>
      <c r="SRH13" s="46"/>
      <c r="SRI13" s="46"/>
      <c r="SRJ13" s="46"/>
      <c r="SRK13" s="46"/>
      <c r="SRL13" s="46"/>
      <c r="SRM13" s="46"/>
      <c r="SRN13" s="46"/>
      <c r="SRO13" s="46"/>
      <c r="SRP13" s="46"/>
      <c r="SRQ13" s="46"/>
      <c r="SRR13" s="46"/>
      <c r="SRS13" s="46"/>
      <c r="SRT13" s="46"/>
      <c r="SRU13" s="46"/>
      <c r="SRV13" s="46"/>
      <c r="SRW13" s="46"/>
      <c r="SRX13" s="46"/>
      <c r="SRY13" s="46"/>
      <c r="SRZ13" s="46"/>
      <c r="SSA13" s="46"/>
      <c r="SSB13" s="46"/>
      <c r="SSC13" s="46"/>
      <c r="SSD13" s="46"/>
      <c r="SSE13" s="46"/>
      <c r="SSF13" s="46"/>
      <c r="SSG13" s="46"/>
      <c r="SSH13" s="46"/>
      <c r="SSI13" s="46"/>
      <c r="SSJ13" s="46"/>
      <c r="SSK13" s="46"/>
      <c r="SSL13" s="46"/>
      <c r="SSM13" s="46"/>
      <c r="SSN13" s="46"/>
      <c r="SSO13" s="46"/>
      <c r="SSP13" s="46"/>
      <c r="SSQ13" s="46"/>
      <c r="SSR13" s="46"/>
      <c r="SSS13" s="46"/>
      <c r="SST13" s="46"/>
      <c r="SSU13" s="46"/>
      <c r="SSV13" s="46"/>
      <c r="SSW13" s="46"/>
      <c r="SSX13" s="46"/>
      <c r="SSY13" s="46"/>
      <c r="SSZ13" s="46"/>
      <c r="STA13" s="46"/>
      <c r="STB13" s="46"/>
      <c r="STC13" s="46"/>
      <c r="STD13" s="46"/>
      <c r="STE13" s="46"/>
      <c r="STF13" s="46"/>
      <c r="STG13" s="46"/>
      <c r="STH13" s="46"/>
      <c r="STI13" s="46"/>
      <c r="STJ13" s="46"/>
      <c r="STK13" s="46"/>
      <c r="STL13" s="46"/>
      <c r="STM13" s="46"/>
      <c r="STN13" s="46"/>
      <c r="STO13" s="46"/>
      <c r="STP13" s="46"/>
      <c r="STQ13" s="46"/>
      <c r="STR13" s="46"/>
      <c r="STS13" s="46"/>
      <c r="STT13" s="46"/>
      <c r="STU13" s="46"/>
      <c r="STV13" s="46"/>
      <c r="STW13" s="46"/>
      <c r="STX13" s="46"/>
      <c r="STY13" s="46"/>
      <c r="STZ13" s="46"/>
      <c r="SUA13" s="46"/>
      <c r="SUB13" s="46"/>
      <c r="SUC13" s="46"/>
      <c r="SUD13" s="46"/>
      <c r="SUE13" s="46"/>
      <c r="SUF13" s="46"/>
      <c r="SUG13" s="46"/>
      <c r="SUH13" s="46"/>
      <c r="SUI13" s="46"/>
      <c r="SUJ13" s="46"/>
      <c r="SUK13" s="46"/>
      <c r="SUL13" s="46"/>
      <c r="SUM13" s="46"/>
      <c r="SUN13" s="46"/>
      <c r="SUO13" s="46"/>
      <c r="SUP13" s="46"/>
      <c r="SUQ13" s="46"/>
      <c r="SUR13" s="46"/>
      <c r="SUS13" s="46"/>
      <c r="SUT13" s="46"/>
      <c r="SUU13" s="46"/>
      <c r="SUV13" s="46"/>
      <c r="SUW13" s="46"/>
      <c r="SUX13" s="46"/>
      <c r="SUY13" s="46"/>
      <c r="SUZ13" s="46"/>
      <c r="SVA13" s="46"/>
      <c r="SVB13" s="46"/>
      <c r="SVC13" s="46"/>
      <c r="SVD13" s="46"/>
      <c r="SVE13" s="46"/>
      <c r="SVF13" s="46"/>
      <c r="SVG13" s="46"/>
      <c r="SVH13" s="46"/>
      <c r="SVI13" s="46"/>
      <c r="SVJ13" s="46"/>
      <c r="SVK13" s="46"/>
      <c r="SVL13" s="46"/>
      <c r="SVM13" s="46"/>
      <c r="SVN13" s="46"/>
      <c r="SVO13" s="46"/>
      <c r="SVP13" s="46"/>
      <c r="SVQ13" s="46"/>
      <c r="SVR13" s="46"/>
      <c r="SVS13" s="46"/>
      <c r="SVT13" s="46"/>
      <c r="SVU13" s="46"/>
      <c r="SVV13" s="46"/>
      <c r="SVW13" s="46"/>
      <c r="SVX13" s="46"/>
      <c r="SVY13" s="46"/>
      <c r="SVZ13" s="46"/>
      <c r="SWA13" s="46"/>
      <c r="SWB13" s="46"/>
      <c r="SWC13" s="46"/>
      <c r="SWD13" s="46"/>
      <c r="SWE13" s="46"/>
      <c r="SWF13" s="46"/>
      <c r="SWG13" s="46"/>
      <c r="SWH13" s="46"/>
      <c r="SWI13" s="46"/>
      <c r="SWJ13" s="46"/>
      <c r="SWK13" s="46"/>
      <c r="SWL13" s="46"/>
      <c r="SWM13" s="46"/>
      <c r="SWN13" s="46"/>
      <c r="SWO13" s="46"/>
      <c r="SWP13" s="46"/>
      <c r="SWQ13" s="46"/>
      <c r="SWR13" s="46"/>
      <c r="SWS13" s="46"/>
      <c r="SWT13" s="46"/>
      <c r="SWU13" s="46"/>
      <c r="SWV13" s="46"/>
      <c r="SWW13" s="46"/>
      <c r="SWX13" s="46"/>
      <c r="SWY13" s="46"/>
      <c r="SWZ13" s="46"/>
      <c r="SXA13" s="46"/>
      <c r="SXB13" s="46"/>
      <c r="SXC13" s="46"/>
      <c r="SXD13" s="46"/>
      <c r="SXE13" s="46"/>
      <c r="SXF13" s="46"/>
      <c r="SXG13" s="46"/>
      <c r="SXH13" s="46"/>
      <c r="SXI13" s="46"/>
      <c r="SXJ13" s="46"/>
      <c r="SXK13" s="46"/>
      <c r="SXL13" s="46"/>
      <c r="SXM13" s="46"/>
      <c r="SXN13" s="46"/>
      <c r="SXO13" s="46"/>
      <c r="SXP13" s="46"/>
      <c r="SXQ13" s="46"/>
      <c r="SXR13" s="46"/>
      <c r="SXS13" s="46"/>
      <c r="SXT13" s="46"/>
      <c r="SXU13" s="46"/>
      <c r="SXV13" s="46"/>
      <c r="SXW13" s="46"/>
      <c r="SXX13" s="46"/>
      <c r="SXY13" s="46"/>
      <c r="SXZ13" s="46"/>
      <c r="SYA13" s="46"/>
      <c r="SYB13" s="46"/>
      <c r="SYC13" s="46"/>
      <c r="SYD13" s="46"/>
      <c r="SYE13" s="46"/>
      <c r="SYF13" s="46"/>
      <c r="SYG13" s="46"/>
      <c r="SYH13" s="46"/>
      <c r="SYI13" s="46"/>
      <c r="SYJ13" s="46"/>
      <c r="SYK13" s="46"/>
      <c r="SYL13" s="46"/>
      <c r="SYM13" s="46"/>
      <c r="SYN13" s="46"/>
      <c r="SYO13" s="46"/>
      <c r="SYP13" s="46"/>
      <c r="SYQ13" s="46"/>
      <c r="SYR13" s="46"/>
      <c r="SYS13" s="46"/>
      <c r="SYT13" s="46"/>
      <c r="SYU13" s="46"/>
      <c r="SYV13" s="46"/>
      <c r="SYW13" s="46"/>
      <c r="SYX13" s="46"/>
      <c r="SYY13" s="46"/>
      <c r="SYZ13" s="46"/>
      <c r="SZA13" s="46"/>
      <c r="SZB13" s="46"/>
      <c r="SZC13" s="46"/>
      <c r="SZD13" s="46"/>
      <c r="SZE13" s="46"/>
      <c r="SZF13" s="46"/>
      <c r="SZG13" s="46"/>
      <c r="SZH13" s="46"/>
      <c r="SZI13" s="46"/>
      <c r="SZJ13" s="46"/>
      <c r="SZK13" s="46"/>
      <c r="SZL13" s="46"/>
      <c r="SZM13" s="46"/>
      <c r="SZN13" s="46"/>
      <c r="SZO13" s="46"/>
      <c r="SZP13" s="46"/>
      <c r="SZQ13" s="46"/>
      <c r="SZR13" s="46"/>
      <c r="SZS13" s="46"/>
      <c r="SZT13" s="46"/>
      <c r="SZU13" s="46"/>
      <c r="SZV13" s="46"/>
      <c r="SZW13" s="46"/>
      <c r="SZX13" s="46"/>
      <c r="SZY13" s="46"/>
      <c r="SZZ13" s="46"/>
      <c r="TAA13" s="46"/>
      <c r="TAB13" s="46"/>
      <c r="TAC13" s="46"/>
      <c r="TAD13" s="46"/>
      <c r="TAE13" s="46"/>
      <c r="TAF13" s="46"/>
      <c r="TAG13" s="46"/>
      <c r="TAH13" s="46"/>
      <c r="TAI13" s="46"/>
      <c r="TAJ13" s="46"/>
      <c r="TAK13" s="46"/>
      <c r="TAL13" s="46"/>
      <c r="TAM13" s="46"/>
      <c r="TAN13" s="46"/>
      <c r="TAO13" s="46"/>
      <c r="TAP13" s="46"/>
      <c r="TAQ13" s="46"/>
      <c r="TAR13" s="46"/>
      <c r="TAS13" s="46"/>
      <c r="TAT13" s="46"/>
      <c r="TAU13" s="46"/>
      <c r="TAV13" s="46"/>
      <c r="TAW13" s="46"/>
      <c r="TAX13" s="46"/>
      <c r="TAY13" s="46"/>
      <c r="TAZ13" s="46"/>
      <c r="TBA13" s="46"/>
      <c r="TBB13" s="46"/>
      <c r="TBC13" s="46"/>
      <c r="TBD13" s="46"/>
      <c r="TBE13" s="46"/>
      <c r="TBF13" s="46"/>
      <c r="TBG13" s="46"/>
      <c r="TBH13" s="46"/>
      <c r="TBI13" s="46"/>
      <c r="TBJ13" s="46"/>
      <c r="TBK13" s="46"/>
      <c r="TBL13" s="46"/>
      <c r="TBM13" s="46"/>
      <c r="TBN13" s="46"/>
      <c r="TBO13" s="46"/>
      <c r="TBP13" s="46"/>
      <c r="TBQ13" s="46"/>
      <c r="TBR13" s="46"/>
      <c r="TBS13" s="46"/>
      <c r="TBT13" s="46"/>
      <c r="TBU13" s="46"/>
      <c r="TBV13" s="46"/>
      <c r="TBW13" s="46"/>
      <c r="TBX13" s="46"/>
      <c r="TBY13" s="46"/>
      <c r="TBZ13" s="46"/>
      <c r="TCA13" s="46"/>
      <c r="TCB13" s="46"/>
      <c r="TCC13" s="46"/>
      <c r="TCD13" s="46"/>
      <c r="TCE13" s="46"/>
      <c r="TCF13" s="46"/>
      <c r="TCG13" s="46"/>
      <c r="TCH13" s="46"/>
      <c r="TCI13" s="46"/>
      <c r="TCJ13" s="46"/>
      <c r="TCK13" s="46"/>
      <c r="TCL13" s="46"/>
      <c r="TCM13" s="46"/>
      <c r="TCN13" s="46"/>
      <c r="TCO13" s="46"/>
      <c r="TCP13" s="46"/>
      <c r="TCQ13" s="46"/>
      <c r="TCR13" s="46"/>
      <c r="TCS13" s="46"/>
      <c r="TCT13" s="46"/>
      <c r="TCU13" s="46"/>
      <c r="TCV13" s="46"/>
      <c r="TCW13" s="46"/>
      <c r="TCX13" s="46"/>
      <c r="TCY13" s="46"/>
      <c r="TCZ13" s="46"/>
      <c r="TDA13" s="46"/>
      <c r="TDB13" s="46"/>
      <c r="TDC13" s="46"/>
      <c r="TDD13" s="46"/>
      <c r="TDE13" s="46"/>
      <c r="TDF13" s="46"/>
      <c r="TDG13" s="46"/>
      <c r="TDH13" s="46"/>
      <c r="TDI13" s="46"/>
      <c r="TDJ13" s="46"/>
      <c r="TDK13" s="46"/>
      <c r="TDL13" s="46"/>
      <c r="TDM13" s="46"/>
      <c r="TDN13" s="46"/>
      <c r="TDO13" s="46"/>
      <c r="TDP13" s="46"/>
      <c r="TDQ13" s="46"/>
      <c r="TDR13" s="46"/>
      <c r="TDS13" s="46"/>
      <c r="TDT13" s="46"/>
      <c r="TDU13" s="46"/>
      <c r="TDV13" s="46"/>
      <c r="TDW13" s="46"/>
      <c r="TDX13" s="46"/>
      <c r="TDY13" s="46"/>
      <c r="TDZ13" s="46"/>
      <c r="TEA13" s="46"/>
      <c r="TEB13" s="46"/>
      <c r="TEC13" s="46"/>
      <c r="TED13" s="46"/>
      <c r="TEE13" s="46"/>
      <c r="TEF13" s="46"/>
      <c r="TEG13" s="46"/>
      <c r="TEH13" s="46"/>
      <c r="TEI13" s="46"/>
      <c r="TEJ13" s="46"/>
      <c r="TEK13" s="46"/>
      <c r="TEL13" s="46"/>
      <c r="TEM13" s="46"/>
      <c r="TEN13" s="46"/>
      <c r="TEO13" s="46"/>
      <c r="TEP13" s="46"/>
      <c r="TEQ13" s="46"/>
      <c r="TER13" s="46"/>
      <c r="TES13" s="46"/>
      <c r="TET13" s="46"/>
      <c r="TEU13" s="46"/>
      <c r="TEV13" s="46"/>
      <c r="TEW13" s="46"/>
      <c r="TEX13" s="46"/>
      <c r="TEY13" s="46"/>
      <c r="TEZ13" s="46"/>
      <c r="TFA13" s="46"/>
      <c r="TFB13" s="46"/>
      <c r="TFC13" s="46"/>
      <c r="TFD13" s="46"/>
      <c r="TFE13" s="46"/>
      <c r="TFF13" s="46"/>
      <c r="TFG13" s="46"/>
      <c r="TFH13" s="46"/>
      <c r="TFI13" s="46"/>
      <c r="TFJ13" s="46"/>
      <c r="TFK13" s="46"/>
      <c r="TFL13" s="46"/>
      <c r="TFM13" s="46"/>
      <c r="TFN13" s="46"/>
      <c r="TFO13" s="46"/>
      <c r="TFP13" s="46"/>
      <c r="TFQ13" s="46"/>
      <c r="TFR13" s="46"/>
      <c r="TFS13" s="46"/>
      <c r="TFT13" s="46"/>
      <c r="TFU13" s="46"/>
      <c r="TFV13" s="46"/>
      <c r="TFW13" s="46"/>
      <c r="TFX13" s="46"/>
      <c r="TFY13" s="46"/>
      <c r="TFZ13" s="46"/>
      <c r="TGA13" s="46"/>
      <c r="TGB13" s="46"/>
      <c r="TGC13" s="46"/>
      <c r="TGD13" s="46"/>
      <c r="TGE13" s="46"/>
      <c r="TGF13" s="46"/>
      <c r="TGG13" s="46"/>
      <c r="TGH13" s="46"/>
      <c r="TGI13" s="46"/>
      <c r="TGJ13" s="46"/>
      <c r="TGK13" s="46"/>
      <c r="TGL13" s="46"/>
      <c r="TGM13" s="46"/>
      <c r="TGN13" s="46"/>
      <c r="TGO13" s="46"/>
      <c r="TGP13" s="46"/>
      <c r="TGQ13" s="46"/>
      <c r="TGR13" s="46"/>
      <c r="TGS13" s="46"/>
      <c r="TGT13" s="46"/>
      <c r="TGU13" s="46"/>
      <c r="TGV13" s="46"/>
      <c r="TGW13" s="46"/>
      <c r="TGX13" s="46"/>
      <c r="TGY13" s="46"/>
      <c r="TGZ13" s="46"/>
      <c r="THA13" s="46"/>
      <c r="THB13" s="46"/>
      <c r="THC13" s="46"/>
      <c r="THD13" s="46"/>
      <c r="THE13" s="46"/>
      <c r="THF13" s="46"/>
      <c r="THG13" s="46"/>
      <c r="THH13" s="46"/>
      <c r="THI13" s="46"/>
      <c r="THJ13" s="46"/>
      <c r="THK13" s="46"/>
      <c r="THL13" s="46"/>
      <c r="THM13" s="46"/>
      <c r="THN13" s="46"/>
      <c r="THO13" s="46"/>
      <c r="THP13" s="46"/>
      <c r="THQ13" s="46"/>
      <c r="THR13" s="46"/>
      <c r="THS13" s="46"/>
      <c r="THT13" s="46"/>
      <c r="THU13" s="46"/>
      <c r="THV13" s="46"/>
      <c r="THW13" s="46"/>
      <c r="THX13" s="46"/>
      <c r="THY13" s="46"/>
      <c r="THZ13" s="46"/>
      <c r="TIA13" s="46"/>
      <c r="TIB13" s="46"/>
      <c r="TIC13" s="46"/>
      <c r="TID13" s="46"/>
      <c r="TIE13" s="46"/>
      <c r="TIF13" s="46"/>
      <c r="TIG13" s="46"/>
      <c r="TIH13" s="46"/>
      <c r="TII13" s="46"/>
      <c r="TIJ13" s="46"/>
      <c r="TIK13" s="46"/>
      <c r="TIL13" s="46"/>
      <c r="TIM13" s="46"/>
      <c r="TIN13" s="46"/>
      <c r="TIO13" s="46"/>
      <c r="TIP13" s="46"/>
      <c r="TIQ13" s="46"/>
      <c r="TIR13" s="46"/>
      <c r="TIS13" s="46"/>
      <c r="TIT13" s="46"/>
      <c r="TIU13" s="46"/>
      <c r="TIV13" s="46"/>
      <c r="TIW13" s="46"/>
      <c r="TIX13" s="46"/>
      <c r="TIY13" s="46"/>
      <c r="TIZ13" s="46"/>
      <c r="TJA13" s="46"/>
      <c r="TJB13" s="46"/>
      <c r="TJC13" s="46"/>
      <c r="TJD13" s="46"/>
      <c r="TJE13" s="46"/>
      <c r="TJF13" s="46"/>
      <c r="TJG13" s="46"/>
      <c r="TJH13" s="46"/>
      <c r="TJI13" s="46"/>
      <c r="TJJ13" s="46"/>
      <c r="TJK13" s="46"/>
      <c r="TJL13" s="46"/>
      <c r="TJM13" s="46"/>
      <c r="TJN13" s="46"/>
      <c r="TJO13" s="46"/>
      <c r="TJP13" s="46"/>
      <c r="TJQ13" s="46"/>
      <c r="TJR13" s="46"/>
      <c r="TJS13" s="46"/>
      <c r="TJT13" s="46"/>
      <c r="TJU13" s="46"/>
      <c r="TJV13" s="46"/>
      <c r="TJW13" s="46"/>
      <c r="TJX13" s="46"/>
      <c r="TJY13" s="46"/>
      <c r="TJZ13" s="46"/>
      <c r="TKA13" s="46"/>
      <c r="TKB13" s="46"/>
      <c r="TKC13" s="46"/>
      <c r="TKD13" s="46"/>
      <c r="TKE13" s="46"/>
      <c r="TKF13" s="46"/>
      <c r="TKG13" s="46"/>
      <c r="TKH13" s="46"/>
      <c r="TKI13" s="46"/>
      <c r="TKJ13" s="46"/>
      <c r="TKK13" s="46"/>
      <c r="TKL13" s="46"/>
      <c r="TKM13" s="46"/>
      <c r="TKN13" s="46"/>
      <c r="TKO13" s="46"/>
      <c r="TKP13" s="46"/>
      <c r="TKQ13" s="46"/>
      <c r="TKR13" s="46"/>
      <c r="TKS13" s="46"/>
      <c r="TKT13" s="46"/>
      <c r="TKU13" s="46"/>
      <c r="TKV13" s="46"/>
      <c r="TKW13" s="46"/>
      <c r="TKX13" s="46"/>
      <c r="TKY13" s="46"/>
      <c r="TKZ13" s="46"/>
      <c r="TLA13" s="46"/>
      <c r="TLB13" s="46"/>
      <c r="TLC13" s="46"/>
      <c r="TLD13" s="46"/>
      <c r="TLE13" s="46"/>
      <c r="TLF13" s="46"/>
      <c r="TLG13" s="46"/>
      <c r="TLH13" s="46"/>
      <c r="TLI13" s="46"/>
      <c r="TLJ13" s="46"/>
      <c r="TLK13" s="46"/>
      <c r="TLL13" s="46"/>
      <c r="TLM13" s="46"/>
      <c r="TLN13" s="46"/>
      <c r="TLO13" s="46"/>
      <c r="TLP13" s="46"/>
      <c r="TLQ13" s="46"/>
      <c r="TLR13" s="46"/>
      <c r="TLS13" s="46"/>
      <c r="TLT13" s="46"/>
      <c r="TLU13" s="46"/>
      <c r="TLV13" s="46"/>
      <c r="TLW13" s="46"/>
      <c r="TLX13" s="46"/>
      <c r="TLY13" s="46"/>
      <c r="TLZ13" s="46"/>
      <c r="TMA13" s="46"/>
      <c r="TMB13" s="46"/>
      <c r="TMC13" s="46"/>
      <c r="TMD13" s="46"/>
      <c r="TME13" s="46"/>
      <c r="TMF13" s="46"/>
      <c r="TMG13" s="46"/>
      <c r="TMH13" s="46"/>
      <c r="TMI13" s="46"/>
      <c r="TMJ13" s="46"/>
      <c r="TMK13" s="46"/>
      <c r="TML13" s="46"/>
      <c r="TMM13" s="46"/>
      <c r="TMN13" s="46"/>
      <c r="TMO13" s="46"/>
      <c r="TMP13" s="46"/>
      <c r="TMQ13" s="46"/>
      <c r="TMR13" s="46"/>
      <c r="TMS13" s="46"/>
      <c r="TMT13" s="46"/>
      <c r="TMU13" s="46"/>
      <c r="TMV13" s="46"/>
      <c r="TMW13" s="46"/>
      <c r="TMX13" s="46"/>
      <c r="TMY13" s="46"/>
      <c r="TMZ13" s="46"/>
      <c r="TNA13" s="46"/>
      <c r="TNB13" s="46"/>
      <c r="TNC13" s="46"/>
      <c r="TND13" s="46"/>
      <c r="TNE13" s="46"/>
      <c r="TNF13" s="46"/>
      <c r="TNG13" s="46"/>
      <c r="TNH13" s="46"/>
      <c r="TNI13" s="46"/>
      <c r="TNJ13" s="46"/>
      <c r="TNK13" s="46"/>
      <c r="TNL13" s="46"/>
      <c r="TNM13" s="46"/>
      <c r="TNN13" s="46"/>
      <c r="TNO13" s="46"/>
      <c r="TNP13" s="46"/>
      <c r="TNQ13" s="46"/>
      <c r="TNR13" s="46"/>
      <c r="TNS13" s="46"/>
      <c r="TNT13" s="46"/>
      <c r="TNU13" s="46"/>
      <c r="TNV13" s="46"/>
      <c r="TNW13" s="46"/>
      <c r="TNX13" s="46"/>
      <c r="TNY13" s="46"/>
      <c r="TNZ13" s="46"/>
      <c r="TOA13" s="46"/>
      <c r="TOB13" s="46"/>
      <c r="TOC13" s="46"/>
      <c r="TOD13" s="46"/>
      <c r="TOE13" s="46"/>
      <c r="TOF13" s="46"/>
      <c r="TOG13" s="46"/>
      <c r="TOH13" s="46"/>
      <c r="TOI13" s="46"/>
      <c r="TOJ13" s="46"/>
      <c r="TOK13" s="46"/>
      <c r="TOL13" s="46"/>
      <c r="TOM13" s="46"/>
      <c r="TON13" s="46"/>
      <c r="TOO13" s="46"/>
      <c r="TOP13" s="46"/>
      <c r="TOQ13" s="46"/>
      <c r="TOR13" s="46"/>
      <c r="TOS13" s="46"/>
      <c r="TOT13" s="46"/>
      <c r="TOU13" s="46"/>
      <c r="TOV13" s="46"/>
      <c r="TOW13" s="46"/>
      <c r="TOX13" s="46"/>
      <c r="TOY13" s="46"/>
      <c r="TOZ13" s="46"/>
      <c r="TPA13" s="46"/>
      <c r="TPB13" s="46"/>
      <c r="TPC13" s="46"/>
      <c r="TPD13" s="46"/>
      <c r="TPE13" s="46"/>
      <c r="TPF13" s="46"/>
      <c r="TPG13" s="46"/>
      <c r="TPH13" s="46"/>
      <c r="TPI13" s="46"/>
      <c r="TPJ13" s="46"/>
      <c r="TPK13" s="46"/>
      <c r="TPL13" s="46"/>
      <c r="TPM13" s="46"/>
      <c r="TPN13" s="46"/>
      <c r="TPO13" s="46"/>
      <c r="TPP13" s="46"/>
      <c r="TPQ13" s="46"/>
      <c r="TPR13" s="46"/>
      <c r="TPS13" s="46"/>
      <c r="TPT13" s="46"/>
      <c r="TPU13" s="46"/>
      <c r="TPV13" s="46"/>
      <c r="TPW13" s="46"/>
      <c r="TPX13" s="46"/>
      <c r="TPY13" s="46"/>
      <c r="TPZ13" s="46"/>
      <c r="TQA13" s="46"/>
      <c r="TQB13" s="46"/>
      <c r="TQC13" s="46"/>
      <c r="TQD13" s="46"/>
      <c r="TQE13" s="46"/>
      <c r="TQF13" s="46"/>
      <c r="TQG13" s="46"/>
      <c r="TQH13" s="46"/>
      <c r="TQI13" s="46"/>
      <c r="TQJ13" s="46"/>
      <c r="TQK13" s="46"/>
      <c r="TQL13" s="46"/>
      <c r="TQM13" s="46"/>
      <c r="TQN13" s="46"/>
      <c r="TQO13" s="46"/>
      <c r="TQP13" s="46"/>
      <c r="TQQ13" s="46"/>
      <c r="TQR13" s="46"/>
      <c r="TQS13" s="46"/>
      <c r="TQT13" s="46"/>
      <c r="TQU13" s="46"/>
      <c r="TQV13" s="46"/>
      <c r="TQW13" s="46"/>
      <c r="TQX13" s="46"/>
      <c r="TQY13" s="46"/>
      <c r="TQZ13" s="46"/>
      <c r="TRA13" s="46"/>
      <c r="TRB13" s="46"/>
      <c r="TRC13" s="46"/>
      <c r="TRD13" s="46"/>
      <c r="TRE13" s="46"/>
      <c r="TRF13" s="46"/>
      <c r="TRG13" s="46"/>
      <c r="TRH13" s="46"/>
      <c r="TRI13" s="46"/>
      <c r="TRJ13" s="46"/>
      <c r="TRK13" s="46"/>
      <c r="TRL13" s="46"/>
      <c r="TRM13" s="46"/>
      <c r="TRN13" s="46"/>
      <c r="TRO13" s="46"/>
      <c r="TRP13" s="46"/>
      <c r="TRQ13" s="46"/>
      <c r="TRR13" s="46"/>
      <c r="TRS13" s="46"/>
      <c r="TRT13" s="46"/>
      <c r="TRU13" s="46"/>
      <c r="TRV13" s="46"/>
      <c r="TRW13" s="46"/>
      <c r="TRX13" s="46"/>
      <c r="TRY13" s="46"/>
      <c r="TRZ13" s="46"/>
      <c r="TSA13" s="46"/>
      <c r="TSB13" s="46"/>
      <c r="TSC13" s="46"/>
      <c r="TSD13" s="46"/>
      <c r="TSE13" s="46"/>
      <c r="TSF13" s="46"/>
      <c r="TSG13" s="46"/>
      <c r="TSH13" s="46"/>
      <c r="TSI13" s="46"/>
      <c r="TSJ13" s="46"/>
      <c r="TSK13" s="46"/>
      <c r="TSL13" s="46"/>
      <c r="TSM13" s="46"/>
      <c r="TSN13" s="46"/>
      <c r="TSO13" s="46"/>
      <c r="TSP13" s="46"/>
      <c r="TSQ13" s="46"/>
      <c r="TSR13" s="46"/>
      <c r="TSS13" s="46"/>
      <c r="TST13" s="46"/>
      <c r="TSU13" s="46"/>
      <c r="TSV13" s="46"/>
      <c r="TSW13" s="46"/>
      <c r="TSX13" s="46"/>
      <c r="TSY13" s="46"/>
      <c r="TSZ13" s="46"/>
      <c r="TTA13" s="46"/>
      <c r="TTB13" s="46"/>
      <c r="TTC13" s="46"/>
      <c r="TTD13" s="46"/>
      <c r="TTE13" s="46"/>
      <c r="TTF13" s="46"/>
      <c r="TTG13" s="46"/>
      <c r="TTH13" s="46"/>
      <c r="TTI13" s="46"/>
      <c r="TTJ13" s="46"/>
      <c r="TTK13" s="46"/>
      <c r="TTL13" s="46"/>
      <c r="TTM13" s="46"/>
      <c r="TTN13" s="46"/>
      <c r="TTO13" s="46"/>
      <c r="TTP13" s="46"/>
      <c r="TTQ13" s="46"/>
      <c r="TTR13" s="46"/>
      <c r="TTS13" s="46"/>
      <c r="TTT13" s="46"/>
      <c r="TTU13" s="46"/>
      <c r="TTV13" s="46"/>
      <c r="TTW13" s="46"/>
      <c r="TTX13" s="46"/>
      <c r="TTY13" s="46"/>
      <c r="TTZ13" s="46"/>
      <c r="TUA13" s="46"/>
      <c r="TUB13" s="46"/>
      <c r="TUC13" s="46"/>
      <c r="TUD13" s="46"/>
      <c r="TUE13" s="46"/>
      <c r="TUF13" s="46"/>
      <c r="TUG13" s="46"/>
      <c r="TUH13" s="46"/>
      <c r="TUI13" s="46"/>
      <c r="TUJ13" s="46"/>
      <c r="TUK13" s="46"/>
      <c r="TUL13" s="46"/>
      <c r="TUM13" s="46"/>
      <c r="TUN13" s="46"/>
      <c r="TUO13" s="46"/>
      <c r="TUP13" s="46"/>
      <c r="TUQ13" s="46"/>
      <c r="TUR13" s="46"/>
      <c r="TUS13" s="46"/>
      <c r="TUT13" s="46"/>
      <c r="TUU13" s="46"/>
      <c r="TUV13" s="46"/>
      <c r="TUW13" s="46"/>
      <c r="TUX13" s="46"/>
      <c r="TUY13" s="46"/>
      <c r="TUZ13" s="46"/>
      <c r="TVA13" s="46"/>
      <c r="TVB13" s="46"/>
      <c r="TVC13" s="46"/>
      <c r="TVD13" s="46"/>
      <c r="TVE13" s="46"/>
      <c r="TVF13" s="46"/>
      <c r="TVG13" s="46"/>
      <c r="TVH13" s="46"/>
      <c r="TVI13" s="46"/>
      <c r="TVJ13" s="46"/>
      <c r="TVK13" s="46"/>
      <c r="TVL13" s="46"/>
      <c r="TVM13" s="46"/>
      <c r="TVN13" s="46"/>
      <c r="TVO13" s="46"/>
      <c r="TVP13" s="46"/>
      <c r="TVQ13" s="46"/>
      <c r="TVR13" s="46"/>
      <c r="TVS13" s="46"/>
      <c r="TVT13" s="46"/>
      <c r="TVU13" s="46"/>
      <c r="TVV13" s="46"/>
      <c r="TVW13" s="46"/>
      <c r="TVX13" s="46"/>
      <c r="TVY13" s="46"/>
      <c r="TVZ13" s="46"/>
      <c r="TWA13" s="46"/>
      <c r="TWB13" s="46"/>
      <c r="TWC13" s="46"/>
      <c r="TWD13" s="46"/>
      <c r="TWE13" s="46"/>
      <c r="TWF13" s="46"/>
      <c r="TWG13" s="46"/>
      <c r="TWH13" s="46"/>
      <c r="TWI13" s="46"/>
      <c r="TWJ13" s="46"/>
      <c r="TWK13" s="46"/>
      <c r="TWL13" s="46"/>
      <c r="TWM13" s="46"/>
      <c r="TWN13" s="46"/>
      <c r="TWO13" s="46"/>
      <c r="TWP13" s="46"/>
      <c r="TWQ13" s="46"/>
      <c r="TWR13" s="46"/>
      <c r="TWS13" s="46"/>
      <c r="TWT13" s="46"/>
      <c r="TWU13" s="46"/>
      <c r="TWV13" s="46"/>
      <c r="TWW13" s="46"/>
      <c r="TWX13" s="46"/>
      <c r="TWY13" s="46"/>
      <c r="TWZ13" s="46"/>
      <c r="TXA13" s="46"/>
      <c r="TXB13" s="46"/>
      <c r="TXC13" s="46"/>
      <c r="TXD13" s="46"/>
      <c r="TXE13" s="46"/>
      <c r="TXF13" s="46"/>
      <c r="TXG13" s="46"/>
      <c r="TXH13" s="46"/>
      <c r="TXI13" s="46"/>
      <c r="TXJ13" s="46"/>
      <c r="TXK13" s="46"/>
      <c r="TXL13" s="46"/>
      <c r="TXM13" s="46"/>
      <c r="TXN13" s="46"/>
      <c r="TXO13" s="46"/>
      <c r="TXP13" s="46"/>
      <c r="TXQ13" s="46"/>
      <c r="TXR13" s="46"/>
      <c r="TXS13" s="46"/>
      <c r="TXT13" s="46"/>
      <c r="TXU13" s="46"/>
      <c r="TXV13" s="46"/>
      <c r="TXW13" s="46"/>
      <c r="TXX13" s="46"/>
      <c r="TXY13" s="46"/>
      <c r="TXZ13" s="46"/>
      <c r="TYA13" s="46"/>
      <c r="TYB13" s="46"/>
      <c r="TYC13" s="46"/>
      <c r="TYD13" s="46"/>
      <c r="TYE13" s="46"/>
      <c r="TYF13" s="46"/>
      <c r="TYG13" s="46"/>
      <c r="TYH13" s="46"/>
      <c r="TYI13" s="46"/>
      <c r="TYJ13" s="46"/>
      <c r="TYK13" s="46"/>
      <c r="TYL13" s="46"/>
      <c r="TYM13" s="46"/>
      <c r="TYN13" s="46"/>
      <c r="TYO13" s="46"/>
      <c r="TYP13" s="46"/>
      <c r="TYQ13" s="46"/>
      <c r="TYR13" s="46"/>
      <c r="TYS13" s="46"/>
      <c r="TYT13" s="46"/>
      <c r="TYU13" s="46"/>
      <c r="TYV13" s="46"/>
      <c r="TYW13" s="46"/>
      <c r="TYX13" s="46"/>
      <c r="TYY13" s="46"/>
      <c r="TYZ13" s="46"/>
      <c r="TZA13" s="46"/>
      <c r="TZB13" s="46"/>
      <c r="TZC13" s="46"/>
      <c r="TZD13" s="46"/>
      <c r="TZE13" s="46"/>
      <c r="TZF13" s="46"/>
      <c r="TZG13" s="46"/>
      <c r="TZH13" s="46"/>
      <c r="TZI13" s="46"/>
      <c r="TZJ13" s="46"/>
      <c r="TZK13" s="46"/>
      <c r="TZL13" s="46"/>
      <c r="TZM13" s="46"/>
      <c r="TZN13" s="46"/>
      <c r="TZO13" s="46"/>
      <c r="TZP13" s="46"/>
      <c r="TZQ13" s="46"/>
      <c r="TZR13" s="46"/>
      <c r="TZS13" s="46"/>
      <c r="TZT13" s="46"/>
      <c r="TZU13" s="46"/>
      <c r="TZV13" s="46"/>
      <c r="TZW13" s="46"/>
      <c r="TZX13" s="46"/>
      <c r="TZY13" s="46"/>
      <c r="TZZ13" s="46"/>
      <c r="UAA13" s="46"/>
      <c r="UAB13" s="46"/>
      <c r="UAC13" s="46"/>
      <c r="UAD13" s="46"/>
      <c r="UAE13" s="46"/>
      <c r="UAF13" s="46"/>
      <c r="UAG13" s="46"/>
      <c r="UAH13" s="46"/>
      <c r="UAI13" s="46"/>
      <c r="UAJ13" s="46"/>
      <c r="UAK13" s="46"/>
      <c r="UAL13" s="46"/>
      <c r="UAM13" s="46"/>
      <c r="UAN13" s="46"/>
      <c r="UAO13" s="46"/>
      <c r="UAP13" s="46"/>
      <c r="UAQ13" s="46"/>
      <c r="UAR13" s="46"/>
      <c r="UAS13" s="46"/>
      <c r="UAT13" s="46"/>
      <c r="UAU13" s="46"/>
      <c r="UAV13" s="46"/>
      <c r="UAW13" s="46"/>
      <c r="UAX13" s="46"/>
      <c r="UAY13" s="46"/>
      <c r="UAZ13" s="46"/>
      <c r="UBA13" s="46"/>
      <c r="UBB13" s="46"/>
      <c r="UBC13" s="46"/>
      <c r="UBD13" s="46"/>
      <c r="UBE13" s="46"/>
      <c r="UBF13" s="46"/>
      <c r="UBG13" s="46"/>
      <c r="UBH13" s="46"/>
      <c r="UBI13" s="46"/>
      <c r="UBJ13" s="46"/>
      <c r="UBK13" s="46"/>
      <c r="UBL13" s="46"/>
      <c r="UBM13" s="46"/>
      <c r="UBN13" s="46"/>
      <c r="UBO13" s="46"/>
      <c r="UBP13" s="46"/>
      <c r="UBQ13" s="46"/>
      <c r="UBR13" s="46"/>
      <c r="UBS13" s="46"/>
      <c r="UBT13" s="46"/>
      <c r="UBU13" s="46"/>
      <c r="UBV13" s="46"/>
      <c r="UBW13" s="46"/>
      <c r="UBX13" s="46"/>
      <c r="UBY13" s="46"/>
      <c r="UBZ13" s="46"/>
      <c r="UCA13" s="46"/>
      <c r="UCB13" s="46"/>
      <c r="UCC13" s="46"/>
      <c r="UCD13" s="46"/>
      <c r="UCE13" s="46"/>
      <c r="UCF13" s="46"/>
      <c r="UCG13" s="46"/>
      <c r="UCH13" s="46"/>
      <c r="UCI13" s="46"/>
      <c r="UCJ13" s="46"/>
      <c r="UCK13" s="46"/>
      <c r="UCL13" s="46"/>
      <c r="UCM13" s="46"/>
      <c r="UCN13" s="46"/>
      <c r="UCO13" s="46"/>
      <c r="UCP13" s="46"/>
      <c r="UCQ13" s="46"/>
      <c r="UCR13" s="46"/>
      <c r="UCS13" s="46"/>
      <c r="UCT13" s="46"/>
      <c r="UCU13" s="46"/>
      <c r="UCV13" s="46"/>
      <c r="UCW13" s="46"/>
      <c r="UCX13" s="46"/>
      <c r="UCY13" s="46"/>
      <c r="UCZ13" s="46"/>
      <c r="UDA13" s="46"/>
      <c r="UDB13" s="46"/>
      <c r="UDC13" s="46"/>
      <c r="UDD13" s="46"/>
      <c r="UDE13" s="46"/>
      <c r="UDF13" s="46"/>
      <c r="UDG13" s="46"/>
      <c r="UDH13" s="46"/>
      <c r="UDI13" s="46"/>
      <c r="UDJ13" s="46"/>
      <c r="UDK13" s="46"/>
      <c r="UDL13" s="46"/>
      <c r="UDM13" s="46"/>
      <c r="UDN13" s="46"/>
      <c r="UDO13" s="46"/>
      <c r="UDP13" s="46"/>
      <c r="UDQ13" s="46"/>
      <c r="UDR13" s="46"/>
      <c r="UDS13" s="46"/>
      <c r="UDT13" s="46"/>
      <c r="UDU13" s="46"/>
      <c r="UDV13" s="46"/>
      <c r="UDW13" s="46"/>
      <c r="UDX13" s="46"/>
      <c r="UDY13" s="46"/>
      <c r="UDZ13" s="46"/>
      <c r="UEA13" s="46"/>
      <c r="UEB13" s="46"/>
      <c r="UEC13" s="46"/>
      <c r="UED13" s="46"/>
      <c r="UEE13" s="46"/>
      <c r="UEF13" s="46"/>
      <c r="UEG13" s="46"/>
      <c r="UEH13" s="46"/>
      <c r="UEI13" s="46"/>
      <c r="UEJ13" s="46"/>
      <c r="UEK13" s="46"/>
      <c r="UEL13" s="46"/>
      <c r="UEM13" s="46"/>
      <c r="UEN13" s="46"/>
      <c r="UEO13" s="46"/>
      <c r="UEP13" s="46"/>
      <c r="UEQ13" s="46"/>
      <c r="UER13" s="46"/>
      <c r="UES13" s="46"/>
      <c r="UET13" s="46"/>
      <c r="UEU13" s="46"/>
      <c r="UEV13" s="46"/>
      <c r="UEW13" s="46"/>
      <c r="UEX13" s="46"/>
      <c r="UEY13" s="46"/>
      <c r="UEZ13" s="46"/>
      <c r="UFA13" s="46"/>
      <c r="UFB13" s="46"/>
      <c r="UFC13" s="46"/>
      <c r="UFD13" s="46"/>
      <c r="UFE13" s="46"/>
      <c r="UFF13" s="46"/>
      <c r="UFG13" s="46"/>
      <c r="UFH13" s="46"/>
      <c r="UFI13" s="46"/>
      <c r="UFJ13" s="46"/>
      <c r="UFK13" s="46"/>
      <c r="UFL13" s="46"/>
      <c r="UFM13" s="46"/>
      <c r="UFN13" s="46"/>
      <c r="UFO13" s="46"/>
      <c r="UFP13" s="46"/>
      <c r="UFQ13" s="46"/>
      <c r="UFR13" s="46"/>
      <c r="UFS13" s="46"/>
      <c r="UFT13" s="46"/>
      <c r="UFU13" s="46"/>
      <c r="UFV13" s="46"/>
      <c r="UFW13" s="46"/>
      <c r="UFX13" s="46"/>
      <c r="UFY13" s="46"/>
      <c r="UFZ13" s="46"/>
      <c r="UGA13" s="46"/>
      <c r="UGB13" s="46"/>
      <c r="UGC13" s="46"/>
      <c r="UGD13" s="46"/>
      <c r="UGE13" s="46"/>
      <c r="UGF13" s="46"/>
      <c r="UGG13" s="46"/>
      <c r="UGH13" s="46"/>
      <c r="UGI13" s="46"/>
      <c r="UGJ13" s="46"/>
      <c r="UGK13" s="46"/>
      <c r="UGL13" s="46"/>
      <c r="UGM13" s="46"/>
      <c r="UGN13" s="46"/>
      <c r="UGO13" s="46"/>
      <c r="UGP13" s="46"/>
      <c r="UGQ13" s="46"/>
      <c r="UGR13" s="46"/>
      <c r="UGS13" s="46"/>
      <c r="UGT13" s="46"/>
      <c r="UGU13" s="46"/>
      <c r="UGV13" s="46"/>
      <c r="UGW13" s="46"/>
      <c r="UGX13" s="46"/>
      <c r="UGY13" s="46"/>
      <c r="UGZ13" s="46"/>
      <c r="UHA13" s="46"/>
      <c r="UHB13" s="46"/>
      <c r="UHC13" s="46"/>
      <c r="UHD13" s="46"/>
      <c r="UHE13" s="46"/>
      <c r="UHF13" s="46"/>
      <c r="UHG13" s="46"/>
      <c r="UHH13" s="46"/>
      <c r="UHI13" s="46"/>
      <c r="UHJ13" s="46"/>
      <c r="UHK13" s="46"/>
      <c r="UHL13" s="46"/>
      <c r="UHM13" s="46"/>
      <c r="UHN13" s="46"/>
      <c r="UHO13" s="46"/>
      <c r="UHP13" s="46"/>
      <c r="UHQ13" s="46"/>
      <c r="UHR13" s="46"/>
      <c r="UHS13" s="46"/>
      <c r="UHT13" s="46"/>
      <c r="UHU13" s="46"/>
      <c r="UHV13" s="46"/>
      <c r="UHW13" s="46"/>
      <c r="UHX13" s="46"/>
      <c r="UHY13" s="46"/>
      <c r="UHZ13" s="46"/>
      <c r="UIA13" s="46"/>
      <c r="UIB13" s="46"/>
      <c r="UIC13" s="46"/>
      <c r="UID13" s="46"/>
      <c r="UIE13" s="46"/>
      <c r="UIF13" s="46"/>
      <c r="UIG13" s="46"/>
      <c r="UIH13" s="46"/>
      <c r="UII13" s="46"/>
      <c r="UIJ13" s="46"/>
      <c r="UIK13" s="46"/>
      <c r="UIL13" s="46"/>
      <c r="UIM13" s="46"/>
      <c r="UIN13" s="46"/>
      <c r="UIO13" s="46"/>
      <c r="UIP13" s="46"/>
      <c r="UIQ13" s="46"/>
      <c r="UIR13" s="46"/>
      <c r="UIS13" s="46"/>
      <c r="UIT13" s="46"/>
      <c r="UIU13" s="46"/>
      <c r="UIV13" s="46"/>
      <c r="UIW13" s="46"/>
      <c r="UIX13" s="46"/>
      <c r="UIY13" s="46"/>
      <c r="UIZ13" s="46"/>
      <c r="UJA13" s="46"/>
      <c r="UJB13" s="46"/>
      <c r="UJC13" s="46"/>
      <c r="UJD13" s="46"/>
      <c r="UJE13" s="46"/>
      <c r="UJF13" s="46"/>
      <c r="UJG13" s="46"/>
      <c r="UJH13" s="46"/>
      <c r="UJI13" s="46"/>
      <c r="UJJ13" s="46"/>
      <c r="UJK13" s="46"/>
      <c r="UJL13" s="46"/>
      <c r="UJM13" s="46"/>
      <c r="UJN13" s="46"/>
      <c r="UJO13" s="46"/>
      <c r="UJP13" s="46"/>
      <c r="UJQ13" s="46"/>
      <c r="UJR13" s="46"/>
      <c r="UJS13" s="46"/>
      <c r="UJT13" s="46"/>
      <c r="UJU13" s="46"/>
      <c r="UJV13" s="46"/>
      <c r="UJW13" s="46"/>
      <c r="UJX13" s="46"/>
      <c r="UJY13" s="46"/>
      <c r="UJZ13" s="46"/>
      <c r="UKA13" s="46"/>
      <c r="UKB13" s="46"/>
      <c r="UKC13" s="46"/>
      <c r="UKD13" s="46"/>
      <c r="UKE13" s="46"/>
      <c r="UKF13" s="46"/>
      <c r="UKG13" s="46"/>
      <c r="UKH13" s="46"/>
      <c r="UKI13" s="46"/>
      <c r="UKJ13" s="46"/>
      <c r="UKK13" s="46"/>
      <c r="UKL13" s="46"/>
      <c r="UKM13" s="46"/>
      <c r="UKN13" s="46"/>
      <c r="UKO13" s="46"/>
      <c r="UKP13" s="46"/>
      <c r="UKQ13" s="46"/>
      <c r="UKR13" s="46"/>
      <c r="UKS13" s="46"/>
      <c r="UKT13" s="46"/>
      <c r="UKU13" s="46"/>
      <c r="UKV13" s="46"/>
      <c r="UKW13" s="46"/>
      <c r="UKX13" s="46"/>
      <c r="UKY13" s="46"/>
      <c r="UKZ13" s="46"/>
      <c r="ULA13" s="46"/>
      <c r="ULB13" s="46"/>
      <c r="ULC13" s="46"/>
      <c r="ULD13" s="46"/>
      <c r="ULE13" s="46"/>
      <c r="ULF13" s="46"/>
      <c r="ULG13" s="46"/>
      <c r="ULH13" s="46"/>
      <c r="ULI13" s="46"/>
      <c r="ULJ13" s="46"/>
      <c r="ULK13" s="46"/>
      <c r="ULL13" s="46"/>
      <c r="ULM13" s="46"/>
      <c r="ULN13" s="46"/>
      <c r="ULO13" s="46"/>
      <c r="ULP13" s="46"/>
      <c r="ULQ13" s="46"/>
      <c r="ULR13" s="46"/>
      <c r="ULS13" s="46"/>
      <c r="ULT13" s="46"/>
      <c r="ULU13" s="46"/>
      <c r="ULV13" s="46"/>
      <c r="ULW13" s="46"/>
      <c r="ULX13" s="46"/>
      <c r="ULY13" s="46"/>
      <c r="ULZ13" s="46"/>
      <c r="UMA13" s="46"/>
      <c r="UMB13" s="46"/>
      <c r="UMC13" s="46"/>
      <c r="UMD13" s="46"/>
      <c r="UME13" s="46"/>
      <c r="UMF13" s="46"/>
      <c r="UMG13" s="46"/>
      <c r="UMH13" s="46"/>
      <c r="UMI13" s="46"/>
      <c r="UMJ13" s="46"/>
      <c r="UMK13" s="46"/>
      <c r="UML13" s="46"/>
      <c r="UMM13" s="46"/>
      <c r="UMN13" s="46"/>
      <c r="UMO13" s="46"/>
      <c r="UMP13" s="46"/>
      <c r="UMQ13" s="46"/>
      <c r="UMR13" s="46"/>
      <c r="UMS13" s="46"/>
      <c r="UMT13" s="46"/>
      <c r="UMU13" s="46"/>
      <c r="UMV13" s="46"/>
      <c r="UMW13" s="46"/>
      <c r="UMX13" s="46"/>
      <c r="UMY13" s="46"/>
      <c r="UMZ13" s="46"/>
      <c r="UNA13" s="46"/>
      <c r="UNB13" s="46"/>
      <c r="UNC13" s="46"/>
      <c r="UND13" s="46"/>
      <c r="UNE13" s="46"/>
      <c r="UNF13" s="46"/>
      <c r="UNG13" s="46"/>
      <c r="UNH13" s="46"/>
      <c r="UNI13" s="46"/>
      <c r="UNJ13" s="46"/>
      <c r="UNK13" s="46"/>
      <c r="UNL13" s="46"/>
      <c r="UNM13" s="46"/>
      <c r="UNN13" s="46"/>
      <c r="UNO13" s="46"/>
      <c r="UNP13" s="46"/>
      <c r="UNQ13" s="46"/>
      <c r="UNR13" s="46"/>
      <c r="UNS13" s="46"/>
      <c r="UNT13" s="46"/>
      <c r="UNU13" s="46"/>
      <c r="UNV13" s="46"/>
      <c r="UNW13" s="46"/>
      <c r="UNX13" s="46"/>
      <c r="UNY13" s="46"/>
      <c r="UNZ13" s="46"/>
      <c r="UOA13" s="46"/>
      <c r="UOB13" s="46"/>
      <c r="UOC13" s="46"/>
      <c r="UOD13" s="46"/>
      <c r="UOE13" s="46"/>
      <c r="UOF13" s="46"/>
      <c r="UOG13" s="46"/>
      <c r="UOH13" s="46"/>
      <c r="UOI13" s="46"/>
      <c r="UOJ13" s="46"/>
      <c r="UOK13" s="46"/>
      <c r="UOL13" s="46"/>
      <c r="UOM13" s="46"/>
      <c r="UON13" s="46"/>
      <c r="UOO13" s="46"/>
      <c r="UOP13" s="46"/>
      <c r="UOQ13" s="46"/>
      <c r="UOR13" s="46"/>
      <c r="UOS13" s="46"/>
      <c r="UOT13" s="46"/>
      <c r="UOU13" s="46"/>
      <c r="UOV13" s="46"/>
      <c r="UOW13" s="46"/>
      <c r="UOX13" s="46"/>
      <c r="UOY13" s="46"/>
      <c r="UOZ13" s="46"/>
      <c r="UPA13" s="46"/>
      <c r="UPB13" s="46"/>
      <c r="UPC13" s="46"/>
      <c r="UPD13" s="46"/>
      <c r="UPE13" s="46"/>
      <c r="UPF13" s="46"/>
      <c r="UPG13" s="46"/>
      <c r="UPH13" s="46"/>
      <c r="UPI13" s="46"/>
      <c r="UPJ13" s="46"/>
      <c r="UPK13" s="46"/>
      <c r="UPL13" s="46"/>
      <c r="UPM13" s="46"/>
      <c r="UPN13" s="46"/>
      <c r="UPO13" s="46"/>
      <c r="UPP13" s="46"/>
      <c r="UPQ13" s="46"/>
      <c r="UPR13" s="46"/>
      <c r="UPS13" s="46"/>
      <c r="UPT13" s="46"/>
      <c r="UPU13" s="46"/>
      <c r="UPV13" s="46"/>
      <c r="UPW13" s="46"/>
      <c r="UPX13" s="46"/>
      <c r="UPY13" s="46"/>
      <c r="UPZ13" s="46"/>
      <c r="UQA13" s="46"/>
      <c r="UQB13" s="46"/>
      <c r="UQC13" s="46"/>
      <c r="UQD13" s="46"/>
      <c r="UQE13" s="46"/>
      <c r="UQF13" s="46"/>
      <c r="UQG13" s="46"/>
      <c r="UQH13" s="46"/>
      <c r="UQI13" s="46"/>
      <c r="UQJ13" s="46"/>
      <c r="UQK13" s="46"/>
      <c r="UQL13" s="46"/>
      <c r="UQM13" s="46"/>
      <c r="UQN13" s="46"/>
      <c r="UQO13" s="46"/>
      <c r="UQP13" s="46"/>
      <c r="UQQ13" s="46"/>
      <c r="UQR13" s="46"/>
      <c r="UQS13" s="46"/>
      <c r="UQT13" s="46"/>
      <c r="UQU13" s="46"/>
      <c r="UQV13" s="46"/>
      <c r="UQW13" s="46"/>
      <c r="UQX13" s="46"/>
      <c r="UQY13" s="46"/>
      <c r="UQZ13" s="46"/>
      <c r="URA13" s="46"/>
      <c r="URB13" s="46"/>
      <c r="URC13" s="46"/>
      <c r="URD13" s="46"/>
      <c r="URE13" s="46"/>
      <c r="URF13" s="46"/>
      <c r="URG13" s="46"/>
      <c r="URH13" s="46"/>
      <c r="URI13" s="46"/>
      <c r="URJ13" s="46"/>
      <c r="URK13" s="46"/>
      <c r="URL13" s="46"/>
      <c r="URM13" s="46"/>
      <c r="URN13" s="46"/>
      <c r="URO13" s="46"/>
      <c r="URP13" s="46"/>
      <c r="URQ13" s="46"/>
      <c r="URR13" s="46"/>
      <c r="URS13" s="46"/>
      <c r="URT13" s="46"/>
      <c r="URU13" s="46"/>
      <c r="URV13" s="46"/>
      <c r="URW13" s="46"/>
      <c r="URX13" s="46"/>
      <c r="URY13" s="46"/>
      <c r="URZ13" s="46"/>
      <c r="USA13" s="46"/>
      <c r="USB13" s="46"/>
      <c r="USC13" s="46"/>
      <c r="USD13" s="46"/>
      <c r="USE13" s="46"/>
      <c r="USF13" s="46"/>
      <c r="USG13" s="46"/>
      <c r="USH13" s="46"/>
      <c r="USI13" s="46"/>
      <c r="USJ13" s="46"/>
      <c r="USK13" s="46"/>
      <c r="USL13" s="46"/>
      <c r="USM13" s="46"/>
      <c r="USN13" s="46"/>
      <c r="USO13" s="46"/>
      <c r="USP13" s="46"/>
      <c r="USQ13" s="46"/>
      <c r="USR13" s="46"/>
      <c r="USS13" s="46"/>
      <c r="UST13" s="46"/>
      <c r="USU13" s="46"/>
      <c r="USV13" s="46"/>
      <c r="USW13" s="46"/>
      <c r="USX13" s="46"/>
      <c r="USY13" s="46"/>
      <c r="USZ13" s="46"/>
      <c r="UTA13" s="46"/>
      <c r="UTB13" s="46"/>
      <c r="UTC13" s="46"/>
      <c r="UTD13" s="46"/>
      <c r="UTE13" s="46"/>
      <c r="UTF13" s="46"/>
      <c r="UTG13" s="46"/>
      <c r="UTH13" s="46"/>
      <c r="UTI13" s="46"/>
      <c r="UTJ13" s="46"/>
      <c r="UTK13" s="46"/>
      <c r="UTL13" s="46"/>
      <c r="UTM13" s="46"/>
      <c r="UTN13" s="46"/>
      <c r="UTO13" s="46"/>
      <c r="UTP13" s="46"/>
      <c r="UTQ13" s="46"/>
      <c r="UTR13" s="46"/>
      <c r="UTS13" s="46"/>
      <c r="UTT13" s="46"/>
      <c r="UTU13" s="46"/>
      <c r="UTV13" s="46"/>
      <c r="UTW13" s="46"/>
      <c r="UTX13" s="46"/>
      <c r="UTY13" s="46"/>
      <c r="UTZ13" s="46"/>
      <c r="UUA13" s="46"/>
      <c r="UUB13" s="46"/>
      <c r="UUC13" s="46"/>
      <c r="UUD13" s="46"/>
      <c r="UUE13" s="46"/>
      <c r="UUF13" s="46"/>
      <c r="UUG13" s="46"/>
      <c r="UUH13" s="46"/>
      <c r="UUI13" s="46"/>
      <c r="UUJ13" s="46"/>
      <c r="UUK13" s="46"/>
      <c r="UUL13" s="46"/>
      <c r="UUM13" s="46"/>
      <c r="UUN13" s="46"/>
      <c r="UUO13" s="46"/>
      <c r="UUP13" s="46"/>
      <c r="UUQ13" s="46"/>
      <c r="UUR13" s="46"/>
      <c r="UUS13" s="46"/>
      <c r="UUT13" s="46"/>
      <c r="UUU13" s="46"/>
      <c r="UUV13" s="46"/>
      <c r="UUW13" s="46"/>
      <c r="UUX13" s="46"/>
      <c r="UUY13" s="46"/>
      <c r="UUZ13" s="46"/>
      <c r="UVA13" s="46"/>
      <c r="UVB13" s="46"/>
      <c r="UVC13" s="46"/>
      <c r="UVD13" s="46"/>
      <c r="UVE13" s="46"/>
      <c r="UVF13" s="46"/>
      <c r="UVG13" s="46"/>
      <c r="UVH13" s="46"/>
      <c r="UVI13" s="46"/>
      <c r="UVJ13" s="46"/>
      <c r="UVK13" s="46"/>
      <c r="UVL13" s="46"/>
      <c r="UVM13" s="46"/>
      <c r="UVN13" s="46"/>
      <c r="UVO13" s="46"/>
      <c r="UVP13" s="46"/>
      <c r="UVQ13" s="46"/>
      <c r="UVR13" s="46"/>
      <c r="UVS13" s="46"/>
      <c r="UVT13" s="46"/>
      <c r="UVU13" s="46"/>
      <c r="UVV13" s="46"/>
      <c r="UVW13" s="46"/>
      <c r="UVX13" s="46"/>
      <c r="UVY13" s="46"/>
      <c r="UVZ13" s="46"/>
      <c r="UWA13" s="46"/>
      <c r="UWB13" s="46"/>
      <c r="UWC13" s="46"/>
      <c r="UWD13" s="46"/>
      <c r="UWE13" s="46"/>
      <c r="UWF13" s="46"/>
      <c r="UWG13" s="46"/>
      <c r="UWH13" s="46"/>
      <c r="UWI13" s="46"/>
      <c r="UWJ13" s="46"/>
      <c r="UWK13" s="46"/>
      <c r="UWL13" s="46"/>
      <c r="UWM13" s="46"/>
      <c r="UWN13" s="46"/>
      <c r="UWO13" s="46"/>
      <c r="UWP13" s="46"/>
      <c r="UWQ13" s="46"/>
      <c r="UWR13" s="46"/>
      <c r="UWS13" s="46"/>
      <c r="UWT13" s="46"/>
      <c r="UWU13" s="46"/>
      <c r="UWV13" s="46"/>
      <c r="UWW13" s="46"/>
      <c r="UWX13" s="46"/>
      <c r="UWY13" s="46"/>
      <c r="UWZ13" s="46"/>
      <c r="UXA13" s="46"/>
      <c r="UXB13" s="46"/>
      <c r="UXC13" s="46"/>
      <c r="UXD13" s="46"/>
      <c r="UXE13" s="46"/>
      <c r="UXF13" s="46"/>
      <c r="UXG13" s="46"/>
      <c r="UXH13" s="46"/>
      <c r="UXI13" s="46"/>
      <c r="UXJ13" s="46"/>
      <c r="UXK13" s="46"/>
      <c r="UXL13" s="46"/>
      <c r="UXM13" s="46"/>
      <c r="UXN13" s="46"/>
      <c r="UXO13" s="46"/>
      <c r="UXP13" s="46"/>
      <c r="UXQ13" s="46"/>
      <c r="UXR13" s="46"/>
      <c r="UXS13" s="46"/>
      <c r="UXT13" s="46"/>
      <c r="UXU13" s="46"/>
      <c r="UXV13" s="46"/>
      <c r="UXW13" s="46"/>
      <c r="UXX13" s="46"/>
      <c r="UXY13" s="46"/>
      <c r="UXZ13" s="46"/>
      <c r="UYA13" s="46"/>
      <c r="UYB13" s="46"/>
      <c r="UYC13" s="46"/>
      <c r="UYD13" s="46"/>
      <c r="UYE13" s="46"/>
      <c r="UYF13" s="46"/>
      <c r="UYG13" s="46"/>
      <c r="UYH13" s="46"/>
      <c r="UYI13" s="46"/>
      <c r="UYJ13" s="46"/>
      <c r="UYK13" s="46"/>
      <c r="UYL13" s="46"/>
      <c r="UYM13" s="46"/>
      <c r="UYN13" s="46"/>
      <c r="UYO13" s="46"/>
      <c r="UYP13" s="46"/>
      <c r="UYQ13" s="46"/>
      <c r="UYR13" s="46"/>
      <c r="UYS13" s="46"/>
      <c r="UYT13" s="46"/>
      <c r="UYU13" s="46"/>
      <c r="UYV13" s="46"/>
      <c r="UYW13" s="46"/>
      <c r="UYX13" s="46"/>
      <c r="UYY13" s="46"/>
      <c r="UYZ13" s="46"/>
      <c r="UZA13" s="46"/>
      <c r="UZB13" s="46"/>
      <c r="UZC13" s="46"/>
      <c r="UZD13" s="46"/>
      <c r="UZE13" s="46"/>
      <c r="UZF13" s="46"/>
      <c r="UZG13" s="46"/>
      <c r="UZH13" s="46"/>
      <c r="UZI13" s="46"/>
      <c r="UZJ13" s="46"/>
      <c r="UZK13" s="46"/>
      <c r="UZL13" s="46"/>
      <c r="UZM13" s="46"/>
      <c r="UZN13" s="46"/>
      <c r="UZO13" s="46"/>
      <c r="UZP13" s="46"/>
      <c r="UZQ13" s="46"/>
      <c r="UZR13" s="46"/>
      <c r="UZS13" s="46"/>
      <c r="UZT13" s="46"/>
      <c r="UZU13" s="46"/>
      <c r="UZV13" s="46"/>
      <c r="UZW13" s="46"/>
      <c r="UZX13" s="46"/>
      <c r="UZY13" s="46"/>
      <c r="UZZ13" s="46"/>
      <c r="VAA13" s="46"/>
      <c r="VAB13" s="46"/>
      <c r="VAC13" s="46"/>
      <c r="VAD13" s="46"/>
      <c r="VAE13" s="46"/>
      <c r="VAF13" s="46"/>
      <c r="VAG13" s="46"/>
      <c r="VAH13" s="46"/>
      <c r="VAI13" s="46"/>
      <c r="VAJ13" s="46"/>
      <c r="VAK13" s="46"/>
      <c r="VAL13" s="46"/>
      <c r="VAM13" s="46"/>
      <c r="VAN13" s="46"/>
      <c r="VAO13" s="46"/>
      <c r="VAP13" s="46"/>
      <c r="VAQ13" s="46"/>
      <c r="VAR13" s="46"/>
      <c r="VAS13" s="46"/>
      <c r="VAT13" s="46"/>
      <c r="VAU13" s="46"/>
      <c r="VAV13" s="46"/>
      <c r="VAW13" s="46"/>
      <c r="VAX13" s="46"/>
      <c r="VAY13" s="46"/>
      <c r="VAZ13" s="46"/>
      <c r="VBA13" s="46"/>
      <c r="VBB13" s="46"/>
      <c r="VBC13" s="46"/>
      <c r="VBD13" s="46"/>
      <c r="VBE13" s="46"/>
      <c r="VBF13" s="46"/>
      <c r="VBG13" s="46"/>
      <c r="VBH13" s="46"/>
      <c r="VBI13" s="46"/>
      <c r="VBJ13" s="46"/>
      <c r="VBK13" s="46"/>
      <c r="VBL13" s="46"/>
      <c r="VBM13" s="46"/>
      <c r="VBN13" s="46"/>
      <c r="VBO13" s="46"/>
      <c r="VBP13" s="46"/>
      <c r="VBQ13" s="46"/>
      <c r="VBR13" s="46"/>
      <c r="VBS13" s="46"/>
      <c r="VBT13" s="46"/>
      <c r="VBU13" s="46"/>
      <c r="VBV13" s="46"/>
      <c r="VBW13" s="46"/>
      <c r="VBX13" s="46"/>
      <c r="VBY13" s="46"/>
      <c r="VBZ13" s="46"/>
      <c r="VCA13" s="46"/>
      <c r="VCB13" s="46"/>
      <c r="VCC13" s="46"/>
      <c r="VCD13" s="46"/>
      <c r="VCE13" s="46"/>
      <c r="VCF13" s="46"/>
      <c r="VCG13" s="46"/>
      <c r="VCH13" s="46"/>
      <c r="VCI13" s="46"/>
      <c r="VCJ13" s="46"/>
      <c r="VCK13" s="46"/>
      <c r="VCL13" s="46"/>
      <c r="VCM13" s="46"/>
      <c r="VCN13" s="46"/>
      <c r="VCO13" s="46"/>
      <c r="VCP13" s="46"/>
      <c r="VCQ13" s="46"/>
      <c r="VCR13" s="46"/>
      <c r="VCS13" s="46"/>
      <c r="VCT13" s="46"/>
      <c r="VCU13" s="46"/>
      <c r="VCV13" s="46"/>
      <c r="VCW13" s="46"/>
      <c r="VCX13" s="46"/>
      <c r="VCY13" s="46"/>
      <c r="VCZ13" s="46"/>
      <c r="VDA13" s="46"/>
      <c r="VDB13" s="46"/>
      <c r="VDC13" s="46"/>
      <c r="VDD13" s="46"/>
      <c r="VDE13" s="46"/>
      <c r="VDF13" s="46"/>
      <c r="VDG13" s="46"/>
      <c r="VDH13" s="46"/>
      <c r="VDI13" s="46"/>
      <c r="VDJ13" s="46"/>
      <c r="VDK13" s="46"/>
      <c r="VDL13" s="46"/>
      <c r="VDM13" s="46"/>
      <c r="VDN13" s="46"/>
      <c r="VDO13" s="46"/>
      <c r="VDP13" s="46"/>
      <c r="VDQ13" s="46"/>
      <c r="VDR13" s="46"/>
      <c r="VDS13" s="46"/>
      <c r="VDT13" s="46"/>
      <c r="VDU13" s="46"/>
      <c r="VDV13" s="46"/>
      <c r="VDW13" s="46"/>
      <c r="VDX13" s="46"/>
      <c r="VDY13" s="46"/>
      <c r="VDZ13" s="46"/>
      <c r="VEA13" s="46"/>
      <c r="VEB13" s="46"/>
      <c r="VEC13" s="46"/>
      <c r="VED13" s="46"/>
      <c r="VEE13" s="46"/>
      <c r="VEF13" s="46"/>
      <c r="VEG13" s="46"/>
      <c r="VEH13" s="46"/>
      <c r="VEI13" s="46"/>
      <c r="VEJ13" s="46"/>
      <c r="VEK13" s="46"/>
      <c r="VEL13" s="46"/>
      <c r="VEM13" s="46"/>
      <c r="VEN13" s="46"/>
      <c r="VEO13" s="46"/>
      <c r="VEP13" s="46"/>
      <c r="VEQ13" s="46"/>
      <c r="VER13" s="46"/>
      <c r="VES13" s="46"/>
      <c r="VET13" s="46"/>
      <c r="VEU13" s="46"/>
      <c r="VEV13" s="46"/>
      <c r="VEW13" s="46"/>
      <c r="VEX13" s="46"/>
      <c r="VEY13" s="46"/>
      <c r="VEZ13" s="46"/>
      <c r="VFA13" s="46"/>
      <c r="VFB13" s="46"/>
      <c r="VFC13" s="46"/>
      <c r="VFD13" s="46"/>
      <c r="VFE13" s="46"/>
      <c r="VFF13" s="46"/>
      <c r="VFG13" s="46"/>
      <c r="VFH13" s="46"/>
      <c r="VFI13" s="46"/>
      <c r="VFJ13" s="46"/>
      <c r="VFK13" s="46"/>
      <c r="VFL13" s="46"/>
      <c r="VFM13" s="46"/>
      <c r="VFN13" s="46"/>
      <c r="VFO13" s="46"/>
      <c r="VFP13" s="46"/>
      <c r="VFQ13" s="46"/>
      <c r="VFR13" s="46"/>
      <c r="VFS13" s="46"/>
      <c r="VFT13" s="46"/>
      <c r="VFU13" s="46"/>
      <c r="VFV13" s="46"/>
      <c r="VFW13" s="46"/>
      <c r="VFX13" s="46"/>
      <c r="VFY13" s="46"/>
      <c r="VFZ13" s="46"/>
      <c r="VGA13" s="46"/>
      <c r="VGB13" s="46"/>
      <c r="VGC13" s="46"/>
      <c r="VGD13" s="46"/>
      <c r="VGE13" s="46"/>
      <c r="VGF13" s="46"/>
      <c r="VGG13" s="46"/>
      <c r="VGH13" s="46"/>
      <c r="VGI13" s="46"/>
      <c r="VGJ13" s="46"/>
      <c r="VGK13" s="46"/>
      <c r="VGL13" s="46"/>
      <c r="VGM13" s="46"/>
      <c r="VGN13" s="46"/>
      <c r="VGO13" s="46"/>
      <c r="VGP13" s="46"/>
      <c r="VGQ13" s="46"/>
      <c r="VGR13" s="46"/>
      <c r="VGS13" s="46"/>
      <c r="VGT13" s="46"/>
      <c r="VGU13" s="46"/>
      <c r="VGV13" s="46"/>
      <c r="VGW13" s="46"/>
      <c r="VGX13" s="46"/>
      <c r="VGY13" s="46"/>
      <c r="VGZ13" s="46"/>
      <c r="VHA13" s="46"/>
      <c r="VHB13" s="46"/>
      <c r="VHC13" s="46"/>
      <c r="VHD13" s="46"/>
      <c r="VHE13" s="46"/>
      <c r="VHF13" s="46"/>
      <c r="VHG13" s="46"/>
      <c r="VHH13" s="46"/>
      <c r="VHI13" s="46"/>
      <c r="VHJ13" s="46"/>
      <c r="VHK13" s="46"/>
      <c r="VHL13" s="46"/>
      <c r="VHM13" s="46"/>
      <c r="VHN13" s="46"/>
      <c r="VHO13" s="46"/>
      <c r="VHP13" s="46"/>
      <c r="VHQ13" s="46"/>
      <c r="VHR13" s="46"/>
      <c r="VHS13" s="46"/>
      <c r="VHT13" s="46"/>
      <c r="VHU13" s="46"/>
      <c r="VHV13" s="46"/>
      <c r="VHW13" s="46"/>
      <c r="VHX13" s="46"/>
      <c r="VHY13" s="46"/>
      <c r="VHZ13" s="46"/>
      <c r="VIA13" s="46"/>
      <c r="VIB13" s="46"/>
      <c r="VIC13" s="46"/>
      <c r="VID13" s="46"/>
      <c r="VIE13" s="46"/>
      <c r="VIF13" s="46"/>
      <c r="VIG13" s="46"/>
      <c r="VIH13" s="46"/>
      <c r="VII13" s="46"/>
      <c r="VIJ13" s="46"/>
      <c r="VIK13" s="46"/>
      <c r="VIL13" s="46"/>
      <c r="VIM13" s="46"/>
      <c r="VIN13" s="46"/>
      <c r="VIO13" s="46"/>
      <c r="VIP13" s="46"/>
      <c r="VIQ13" s="46"/>
      <c r="VIR13" s="46"/>
      <c r="VIS13" s="46"/>
      <c r="VIT13" s="46"/>
      <c r="VIU13" s="46"/>
      <c r="VIV13" s="46"/>
      <c r="VIW13" s="46"/>
      <c r="VIX13" s="46"/>
      <c r="VIY13" s="46"/>
      <c r="VIZ13" s="46"/>
      <c r="VJA13" s="46"/>
      <c r="VJB13" s="46"/>
      <c r="VJC13" s="46"/>
      <c r="VJD13" s="46"/>
      <c r="VJE13" s="46"/>
      <c r="VJF13" s="46"/>
      <c r="VJG13" s="46"/>
      <c r="VJH13" s="46"/>
      <c r="VJI13" s="46"/>
      <c r="VJJ13" s="46"/>
      <c r="VJK13" s="46"/>
      <c r="VJL13" s="46"/>
      <c r="VJM13" s="46"/>
      <c r="VJN13" s="46"/>
      <c r="VJO13" s="46"/>
      <c r="VJP13" s="46"/>
      <c r="VJQ13" s="46"/>
      <c r="VJR13" s="46"/>
      <c r="VJS13" s="46"/>
      <c r="VJT13" s="46"/>
      <c r="VJU13" s="46"/>
      <c r="VJV13" s="46"/>
      <c r="VJW13" s="46"/>
      <c r="VJX13" s="46"/>
      <c r="VJY13" s="46"/>
      <c r="VJZ13" s="46"/>
      <c r="VKA13" s="46"/>
      <c r="VKB13" s="46"/>
      <c r="VKC13" s="46"/>
      <c r="VKD13" s="46"/>
      <c r="VKE13" s="46"/>
      <c r="VKF13" s="46"/>
      <c r="VKG13" s="46"/>
      <c r="VKH13" s="46"/>
      <c r="VKI13" s="46"/>
      <c r="VKJ13" s="46"/>
      <c r="VKK13" s="46"/>
      <c r="VKL13" s="46"/>
      <c r="VKM13" s="46"/>
      <c r="VKN13" s="46"/>
      <c r="VKO13" s="46"/>
      <c r="VKP13" s="46"/>
      <c r="VKQ13" s="46"/>
      <c r="VKR13" s="46"/>
      <c r="VKS13" s="46"/>
      <c r="VKT13" s="46"/>
      <c r="VKU13" s="46"/>
      <c r="VKV13" s="46"/>
      <c r="VKW13" s="46"/>
      <c r="VKX13" s="46"/>
      <c r="VKY13" s="46"/>
      <c r="VKZ13" s="46"/>
      <c r="VLA13" s="46"/>
      <c r="VLB13" s="46"/>
      <c r="VLC13" s="46"/>
      <c r="VLD13" s="46"/>
      <c r="VLE13" s="46"/>
      <c r="VLF13" s="46"/>
      <c r="VLG13" s="46"/>
      <c r="VLH13" s="46"/>
      <c r="VLI13" s="46"/>
      <c r="VLJ13" s="46"/>
      <c r="VLK13" s="46"/>
      <c r="VLL13" s="46"/>
      <c r="VLM13" s="46"/>
      <c r="VLN13" s="46"/>
      <c r="VLO13" s="46"/>
      <c r="VLP13" s="46"/>
      <c r="VLQ13" s="46"/>
      <c r="VLR13" s="46"/>
      <c r="VLS13" s="46"/>
      <c r="VLT13" s="46"/>
      <c r="VLU13" s="46"/>
      <c r="VLV13" s="46"/>
      <c r="VLW13" s="46"/>
      <c r="VLX13" s="46"/>
      <c r="VLY13" s="46"/>
      <c r="VLZ13" s="46"/>
      <c r="VMA13" s="46"/>
      <c r="VMB13" s="46"/>
      <c r="VMC13" s="46"/>
      <c r="VMD13" s="46"/>
      <c r="VME13" s="46"/>
      <c r="VMF13" s="46"/>
      <c r="VMG13" s="46"/>
      <c r="VMH13" s="46"/>
      <c r="VMI13" s="46"/>
      <c r="VMJ13" s="46"/>
      <c r="VMK13" s="46"/>
      <c r="VML13" s="46"/>
      <c r="VMM13" s="46"/>
      <c r="VMN13" s="46"/>
      <c r="VMO13" s="46"/>
      <c r="VMP13" s="46"/>
      <c r="VMQ13" s="46"/>
      <c r="VMR13" s="46"/>
      <c r="VMS13" s="46"/>
      <c r="VMT13" s="46"/>
      <c r="VMU13" s="46"/>
      <c r="VMV13" s="46"/>
      <c r="VMW13" s="46"/>
      <c r="VMX13" s="46"/>
      <c r="VMY13" s="46"/>
      <c r="VMZ13" s="46"/>
      <c r="VNA13" s="46"/>
      <c r="VNB13" s="46"/>
      <c r="VNC13" s="46"/>
      <c r="VND13" s="46"/>
      <c r="VNE13" s="46"/>
      <c r="VNF13" s="46"/>
      <c r="VNG13" s="46"/>
      <c r="VNH13" s="46"/>
      <c r="VNI13" s="46"/>
      <c r="VNJ13" s="46"/>
      <c r="VNK13" s="46"/>
      <c r="VNL13" s="46"/>
      <c r="VNM13" s="46"/>
      <c r="VNN13" s="46"/>
      <c r="VNO13" s="46"/>
      <c r="VNP13" s="46"/>
      <c r="VNQ13" s="46"/>
      <c r="VNR13" s="46"/>
      <c r="VNS13" s="46"/>
      <c r="VNT13" s="46"/>
      <c r="VNU13" s="46"/>
      <c r="VNV13" s="46"/>
      <c r="VNW13" s="46"/>
      <c r="VNX13" s="46"/>
      <c r="VNY13" s="46"/>
      <c r="VNZ13" s="46"/>
      <c r="VOA13" s="46"/>
      <c r="VOB13" s="46"/>
      <c r="VOC13" s="46"/>
      <c r="VOD13" s="46"/>
      <c r="VOE13" s="46"/>
      <c r="VOF13" s="46"/>
      <c r="VOG13" s="46"/>
      <c r="VOH13" s="46"/>
      <c r="VOI13" s="46"/>
      <c r="VOJ13" s="46"/>
      <c r="VOK13" s="46"/>
      <c r="VOL13" s="46"/>
      <c r="VOM13" s="46"/>
      <c r="VON13" s="46"/>
      <c r="VOO13" s="46"/>
      <c r="VOP13" s="46"/>
      <c r="VOQ13" s="46"/>
      <c r="VOR13" s="46"/>
      <c r="VOS13" s="46"/>
      <c r="VOT13" s="46"/>
      <c r="VOU13" s="46"/>
      <c r="VOV13" s="46"/>
      <c r="VOW13" s="46"/>
      <c r="VOX13" s="46"/>
      <c r="VOY13" s="46"/>
      <c r="VOZ13" s="46"/>
      <c r="VPA13" s="46"/>
      <c r="VPB13" s="46"/>
      <c r="VPC13" s="46"/>
      <c r="VPD13" s="46"/>
      <c r="VPE13" s="46"/>
      <c r="VPF13" s="46"/>
      <c r="VPG13" s="46"/>
      <c r="VPH13" s="46"/>
      <c r="VPI13" s="46"/>
      <c r="VPJ13" s="46"/>
      <c r="VPK13" s="46"/>
      <c r="VPL13" s="46"/>
      <c r="VPM13" s="46"/>
      <c r="VPN13" s="46"/>
      <c r="VPO13" s="46"/>
      <c r="VPP13" s="46"/>
      <c r="VPQ13" s="46"/>
      <c r="VPR13" s="46"/>
      <c r="VPS13" s="46"/>
      <c r="VPT13" s="46"/>
      <c r="VPU13" s="46"/>
      <c r="VPV13" s="46"/>
      <c r="VPW13" s="46"/>
      <c r="VPX13" s="46"/>
      <c r="VPY13" s="46"/>
      <c r="VPZ13" s="46"/>
      <c r="VQA13" s="46"/>
      <c r="VQB13" s="46"/>
      <c r="VQC13" s="46"/>
      <c r="VQD13" s="46"/>
      <c r="VQE13" s="46"/>
      <c r="VQF13" s="46"/>
      <c r="VQG13" s="46"/>
      <c r="VQH13" s="46"/>
      <c r="VQI13" s="46"/>
      <c r="VQJ13" s="46"/>
      <c r="VQK13" s="46"/>
      <c r="VQL13" s="46"/>
      <c r="VQM13" s="46"/>
      <c r="VQN13" s="46"/>
      <c r="VQO13" s="46"/>
      <c r="VQP13" s="46"/>
      <c r="VQQ13" s="46"/>
      <c r="VQR13" s="46"/>
      <c r="VQS13" s="46"/>
      <c r="VQT13" s="46"/>
      <c r="VQU13" s="46"/>
      <c r="VQV13" s="46"/>
      <c r="VQW13" s="46"/>
      <c r="VQX13" s="46"/>
      <c r="VQY13" s="46"/>
      <c r="VQZ13" s="46"/>
      <c r="VRA13" s="46"/>
      <c r="VRB13" s="46"/>
      <c r="VRC13" s="46"/>
      <c r="VRD13" s="46"/>
      <c r="VRE13" s="46"/>
      <c r="VRF13" s="46"/>
      <c r="VRG13" s="46"/>
      <c r="VRH13" s="46"/>
      <c r="VRI13" s="46"/>
      <c r="VRJ13" s="46"/>
      <c r="VRK13" s="46"/>
      <c r="VRL13" s="46"/>
      <c r="VRM13" s="46"/>
      <c r="VRN13" s="46"/>
      <c r="VRO13" s="46"/>
      <c r="VRP13" s="46"/>
      <c r="VRQ13" s="46"/>
      <c r="VRR13" s="46"/>
      <c r="VRS13" s="46"/>
      <c r="VRT13" s="46"/>
      <c r="VRU13" s="46"/>
      <c r="VRV13" s="46"/>
      <c r="VRW13" s="46"/>
      <c r="VRX13" s="46"/>
      <c r="VRY13" s="46"/>
      <c r="VRZ13" s="46"/>
      <c r="VSA13" s="46"/>
      <c r="VSB13" s="46"/>
      <c r="VSC13" s="46"/>
      <c r="VSD13" s="46"/>
      <c r="VSE13" s="46"/>
      <c r="VSF13" s="46"/>
      <c r="VSG13" s="46"/>
      <c r="VSH13" s="46"/>
      <c r="VSI13" s="46"/>
      <c r="VSJ13" s="46"/>
      <c r="VSK13" s="46"/>
      <c r="VSL13" s="46"/>
      <c r="VSM13" s="46"/>
      <c r="VSN13" s="46"/>
      <c r="VSO13" s="46"/>
      <c r="VSP13" s="46"/>
      <c r="VSQ13" s="46"/>
      <c r="VSR13" s="46"/>
      <c r="VSS13" s="46"/>
      <c r="VST13" s="46"/>
      <c r="VSU13" s="46"/>
      <c r="VSV13" s="46"/>
      <c r="VSW13" s="46"/>
      <c r="VSX13" s="46"/>
      <c r="VSY13" s="46"/>
      <c r="VSZ13" s="46"/>
      <c r="VTA13" s="46"/>
      <c r="VTB13" s="46"/>
      <c r="VTC13" s="46"/>
      <c r="VTD13" s="46"/>
      <c r="VTE13" s="46"/>
      <c r="VTF13" s="46"/>
      <c r="VTG13" s="46"/>
      <c r="VTH13" s="46"/>
      <c r="VTI13" s="46"/>
      <c r="VTJ13" s="46"/>
      <c r="VTK13" s="46"/>
      <c r="VTL13" s="46"/>
      <c r="VTM13" s="46"/>
      <c r="VTN13" s="46"/>
      <c r="VTO13" s="46"/>
      <c r="VTP13" s="46"/>
      <c r="VTQ13" s="46"/>
      <c r="VTR13" s="46"/>
      <c r="VTS13" s="46"/>
      <c r="VTT13" s="46"/>
      <c r="VTU13" s="46"/>
      <c r="VTV13" s="46"/>
      <c r="VTW13" s="46"/>
      <c r="VTX13" s="46"/>
      <c r="VTY13" s="46"/>
      <c r="VTZ13" s="46"/>
      <c r="VUA13" s="46"/>
      <c r="VUB13" s="46"/>
      <c r="VUC13" s="46"/>
      <c r="VUD13" s="46"/>
      <c r="VUE13" s="46"/>
      <c r="VUF13" s="46"/>
      <c r="VUG13" s="46"/>
      <c r="VUH13" s="46"/>
      <c r="VUI13" s="46"/>
      <c r="VUJ13" s="46"/>
      <c r="VUK13" s="46"/>
      <c r="VUL13" s="46"/>
      <c r="VUM13" s="46"/>
      <c r="VUN13" s="46"/>
      <c r="VUO13" s="46"/>
      <c r="VUP13" s="46"/>
      <c r="VUQ13" s="46"/>
      <c r="VUR13" s="46"/>
      <c r="VUS13" s="46"/>
      <c r="VUT13" s="46"/>
      <c r="VUU13" s="46"/>
      <c r="VUV13" s="46"/>
      <c r="VUW13" s="46"/>
      <c r="VUX13" s="46"/>
      <c r="VUY13" s="46"/>
      <c r="VUZ13" s="46"/>
      <c r="VVA13" s="46"/>
      <c r="VVB13" s="46"/>
      <c r="VVC13" s="46"/>
      <c r="VVD13" s="46"/>
      <c r="VVE13" s="46"/>
      <c r="VVF13" s="46"/>
      <c r="VVG13" s="46"/>
      <c r="VVH13" s="46"/>
      <c r="VVI13" s="46"/>
      <c r="VVJ13" s="46"/>
      <c r="VVK13" s="46"/>
      <c r="VVL13" s="46"/>
      <c r="VVM13" s="46"/>
      <c r="VVN13" s="46"/>
      <c r="VVO13" s="46"/>
      <c r="VVP13" s="46"/>
      <c r="VVQ13" s="46"/>
      <c r="VVR13" s="46"/>
      <c r="VVS13" s="46"/>
      <c r="VVT13" s="46"/>
      <c r="VVU13" s="46"/>
      <c r="VVV13" s="46"/>
      <c r="VVW13" s="46"/>
      <c r="VVX13" s="46"/>
      <c r="VVY13" s="46"/>
      <c r="VVZ13" s="46"/>
      <c r="VWA13" s="46"/>
      <c r="VWB13" s="46"/>
      <c r="VWC13" s="46"/>
      <c r="VWD13" s="46"/>
      <c r="VWE13" s="46"/>
      <c r="VWF13" s="46"/>
      <c r="VWG13" s="46"/>
      <c r="VWH13" s="46"/>
      <c r="VWI13" s="46"/>
      <c r="VWJ13" s="46"/>
      <c r="VWK13" s="46"/>
      <c r="VWL13" s="46"/>
      <c r="VWM13" s="46"/>
      <c r="VWN13" s="46"/>
      <c r="VWO13" s="46"/>
      <c r="VWP13" s="46"/>
      <c r="VWQ13" s="46"/>
      <c r="VWR13" s="46"/>
      <c r="VWS13" s="46"/>
      <c r="VWT13" s="46"/>
      <c r="VWU13" s="46"/>
      <c r="VWV13" s="46"/>
      <c r="VWW13" s="46"/>
      <c r="VWX13" s="46"/>
      <c r="VWY13" s="46"/>
      <c r="VWZ13" s="46"/>
      <c r="VXA13" s="46"/>
      <c r="VXB13" s="46"/>
      <c r="VXC13" s="46"/>
      <c r="VXD13" s="46"/>
      <c r="VXE13" s="46"/>
      <c r="VXF13" s="46"/>
      <c r="VXG13" s="46"/>
      <c r="VXH13" s="46"/>
      <c r="VXI13" s="46"/>
      <c r="VXJ13" s="46"/>
      <c r="VXK13" s="46"/>
      <c r="VXL13" s="46"/>
      <c r="VXM13" s="46"/>
      <c r="VXN13" s="46"/>
      <c r="VXO13" s="46"/>
      <c r="VXP13" s="46"/>
      <c r="VXQ13" s="46"/>
      <c r="VXR13" s="46"/>
      <c r="VXS13" s="46"/>
      <c r="VXT13" s="46"/>
      <c r="VXU13" s="46"/>
      <c r="VXV13" s="46"/>
      <c r="VXW13" s="46"/>
      <c r="VXX13" s="46"/>
      <c r="VXY13" s="46"/>
      <c r="VXZ13" s="46"/>
      <c r="VYA13" s="46"/>
      <c r="VYB13" s="46"/>
      <c r="VYC13" s="46"/>
      <c r="VYD13" s="46"/>
      <c r="VYE13" s="46"/>
      <c r="VYF13" s="46"/>
      <c r="VYG13" s="46"/>
      <c r="VYH13" s="46"/>
      <c r="VYI13" s="46"/>
      <c r="VYJ13" s="46"/>
      <c r="VYK13" s="46"/>
      <c r="VYL13" s="46"/>
      <c r="VYM13" s="46"/>
      <c r="VYN13" s="46"/>
      <c r="VYO13" s="46"/>
      <c r="VYP13" s="46"/>
      <c r="VYQ13" s="46"/>
      <c r="VYR13" s="46"/>
      <c r="VYS13" s="46"/>
      <c r="VYT13" s="46"/>
      <c r="VYU13" s="46"/>
      <c r="VYV13" s="46"/>
      <c r="VYW13" s="46"/>
      <c r="VYX13" s="46"/>
      <c r="VYY13" s="46"/>
      <c r="VYZ13" s="46"/>
      <c r="VZA13" s="46"/>
      <c r="VZB13" s="46"/>
      <c r="VZC13" s="46"/>
      <c r="VZD13" s="46"/>
      <c r="VZE13" s="46"/>
      <c r="VZF13" s="46"/>
      <c r="VZG13" s="46"/>
      <c r="VZH13" s="46"/>
      <c r="VZI13" s="46"/>
      <c r="VZJ13" s="46"/>
      <c r="VZK13" s="46"/>
      <c r="VZL13" s="46"/>
      <c r="VZM13" s="46"/>
      <c r="VZN13" s="46"/>
      <c r="VZO13" s="46"/>
      <c r="VZP13" s="46"/>
      <c r="VZQ13" s="46"/>
      <c r="VZR13" s="46"/>
      <c r="VZS13" s="46"/>
      <c r="VZT13" s="46"/>
      <c r="VZU13" s="46"/>
      <c r="VZV13" s="46"/>
      <c r="VZW13" s="46"/>
      <c r="VZX13" s="46"/>
      <c r="VZY13" s="46"/>
      <c r="VZZ13" s="46"/>
      <c r="WAA13" s="46"/>
      <c r="WAB13" s="46"/>
      <c r="WAC13" s="46"/>
      <c r="WAD13" s="46"/>
      <c r="WAE13" s="46"/>
      <c r="WAF13" s="46"/>
      <c r="WAG13" s="46"/>
      <c r="WAH13" s="46"/>
      <c r="WAI13" s="46"/>
      <c r="WAJ13" s="46"/>
      <c r="WAK13" s="46"/>
      <c r="WAL13" s="46"/>
      <c r="WAM13" s="46"/>
      <c r="WAN13" s="46"/>
      <c r="WAO13" s="46"/>
      <c r="WAP13" s="46"/>
      <c r="WAQ13" s="46"/>
      <c r="WAR13" s="46"/>
      <c r="WAS13" s="46"/>
      <c r="WAT13" s="46"/>
      <c r="WAU13" s="46"/>
      <c r="WAV13" s="46"/>
      <c r="WAW13" s="46"/>
      <c r="WAX13" s="46"/>
      <c r="WAY13" s="46"/>
      <c r="WAZ13" s="46"/>
      <c r="WBA13" s="46"/>
      <c r="WBB13" s="46"/>
      <c r="WBC13" s="46"/>
      <c r="WBD13" s="46"/>
      <c r="WBE13" s="46"/>
      <c r="WBF13" s="46"/>
      <c r="WBG13" s="46"/>
      <c r="WBH13" s="46"/>
      <c r="WBI13" s="46"/>
      <c r="WBJ13" s="46"/>
      <c r="WBK13" s="46"/>
      <c r="WBL13" s="46"/>
      <c r="WBM13" s="46"/>
      <c r="WBN13" s="46"/>
      <c r="WBO13" s="46"/>
      <c r="WBP13" s="46"/>
      <c r="WBQ13" s="46"/>
      <c r="WBR13" s="46"/>
      <c r="WBS13" s="46"/>
      <c r="WBT13" s="46"/>
      <c r="WBU13" s="46"/>
      <c r="WBV13" s="46"/>
      <c r="WBW13" s="46"/>
      <c r="WBX13" s="46"/>
      <c r="WBY13" s="46"/>
      <c r="WBZ13" s="46"/>
      <c r="WCA13" s="46"/>
      <c r="WCB13" s="46"/>
      <c r="WCC13" s="46"/>
      <c r="WCD13" s="46"/>
      <c r="WCE13" s="46"/>
      <c r="WCF13" s="46"/>
      <c r="WCG13" s="46"/>
      <c r="WCH13" s="46"/>
      <c r="WCI13" s="46"/>
      <c r="WCJ13" s="46"/>
      <c r="WCK13" s="46"/>
      <c r="WCL13" s="46"/>
      <c r="WCM13" s="46"/>
      <c r="WCN13" s="46"/>
      <c r="WCO13" s="46"/>
      <c r="WCP13" s="46"/>
      <c r="WCQ13" s="46"/>
      <c r="WCR13" s="46"/>
      <c r="WCS13" s="46"/>
      <c r="WCT13" s="46"/>
      <c r="WCU13" s="46"/>
      <c r="WCV13" s="46"/>
      <c r="WCW13" s="46"/>
      <c r="WCX13" s="46"/>
      <c r="WCY13" s="46"/>
      <c r="WCZ13" s="46"/>
      <c r="WDA13" s="46"/>
      <c r="WDB13" s="46"/>
      <c r="WDC13" s="46"/>
      <c r="WDD13" s="46"/>
      <c r="WDE13" s="46"/>
      <c r="WDF13" s="46"/>
      <c r="WDG13" s="46"/>
      <c r="WDH13" s="46"/>
      <c r="WDI13" s="46"/>
      <c r="WDJ13" s="46"/>
      <c r="WDK13" s="46"/>
      <c r="WDL13" s="46"/>
      <c r="WDM13" s="46"/>
      <c r="WDN13" s="46"/>
      <c r="WDO13" s="46"/>
      <c r="WDP13" s="46"/>
      <c r="WDQ13" s="46"/>
      <c r="WDR13" s="46"/>
      <c r="WDS13" s="46"/>
      <c r="WDT13" s="46"/>
      <c r="WDU13" s="46"/>
      <c r="WDV13" s="46"/>
      <c r="WDW13" s="46"/>
      <c r="WDX13" s="46"/>
      <c r="WDY13" s="46"/>
      <c r="WDZ13" s="46"/>
      <c r="WEA13" s="46"/>
      <c r="WEB13" s="46"/>
      <c r="WEC13" s="46"/>
      <c r="WED13" s="46"/>
      <c r="WEE13" s="46"/>
      <c r="WEF13" s="46"/>
      <c r="WEG13" s="46"/>
      <c r="WEH13" s="46"/>
      <c r="WEI13" s="46"/>
      <c r="WEJ13" s="46"/>
      <c r="WEK13" s="46"/>
      <c r="WEL13" s="46"/>
      <c r="WEM13" s="46"/>
      <c r="WEN13" s="46"/>
      <c r="WEO13" s="46"/>
      <c r="WEP13" s="46"/>
      <c r="WEQ13" s="46"/>
      <c r="WER13" s="46"/>
      <c r="WES13" s="46"/>
      <c r="WET13" s="46"/>
      <c r="WEU13" s="46"/>
      <c r="WEV13" s="46"/>
      <c r="WEW13" s="46"/>
      <c r="WEX13" s="46"/>
      <c r="WEY13" s="46"/>
      <c r="WEZ13" s="46"/>
      <c r="WFA13" s="46"/>
      <c r="WFB13" s="46"/>
      <c r="WFC13" s="46"/>
      <c r="WFD13" s="46"/>
      <c r="WFE13" s="46"/>
      <c r="WFF13" s="46"/>
      <c r="WFG13" s="46"/>
      <c r="WFH13" s="46"/>
      <c r="WFI13" s="46"/>
      <c r="WFJ13" s="46"/>
      <c r="WFK13" s="46"/>
      <c r="WFL13" s="46"/>
      <c r="WFM13" s="46"/>
      <c r="WFN13" s="46"/>
      <c r="WFO13" s="46"/>
      <c r="WFP13" s="46"/>
      <c r="WFQ13" s="46"/>
      <c r="WFR13" s="46"/>
      <c r="WFS13" s="46"/>
      <c r="WFT13" s="46"/>
      <c r="WFU13" s="46"/>
      <c r="WFV13" s="46"/>
      <c r="WFW13" s="46"/>
      <c r="WFX13" s="46"/>
      <c r="WFY13" s="46"/>
      <c r="WFZ13" s="46"/>
      <c r="WGA13" s="46"/>
      <c r="WGB13" s="46"/>
      <c r="WGC13" s="46"/>
      <c r="WGD13" s="46"/>
      <c r="WGE13" s="46"/>
      <c r="WGF13" s="46"/>
      <c r="WGG13" s="46"/>
      <c r="WGH13" s="46"/>
      <c r="WGI13" s="46"/>
      <c r="WGJ13" s="46"/>
      <c r="WGK13" s="46"/>
      <c r="WGL13" s="46"/>
      <c r="WGM13" s="46"/>
      <c r="WGN13" s="46"/>
      <c r="WGO13" s="46"/>
      <c r="WGP13" s="46"/>
      <c r="WGQ13" s="46"/>
      <c r="WGR13" s="46"/>
      <c r="WGS13" s="46"/>
      <c r="WGT13" s="46"/>
      <c r="WGU13" s="46"/>
      <c r="WGV13" s="46"/>
      <c r="WGW13" s="46"/>
      <c r="WGX13" s="46"/>
      <c r="WGY13" s="46"/>
      <c r="WGZ13" s="46"/>
      <c r="WHA13" s="46"/>
      <c r="WHB13" s="46"/>
      <c r="WHC13" s="46"/>
      <c r="WHD13" s="46"/>
      <c r="WHE13" s="46"/>
      <c r="WHF13" s="46"/>
      <c r="WHG13" s="46"/>
      <c r="WHH13" s="46"/>
      <c r="WHI13" s="46"/>
      <c r="WHJ13" s="46"/>
      <c r="WHK13" s="46"/>
      <c r="WHL13" s="46"/>
      <c r="WHM13" s="46"/>
      <c r="WHN13" s="46"/>
      <c r="WHO13" s="46"/>
      <c r="WHP13" s="46"/>
      <c r="WHQ13" s="46"/>
      <c r="WHR13" s="46"/>
      <c r="WHS13" s="46"/>
      <c r="WHT13" s="46"/>
      <c r="WHU13" s="46"/>
      <c r="WHV13" s="46"/>
      <c r="WHW13" s="46"/>
      <c r="WHX13" s="46"/>
      <c r="WHY13" s="46"/>
      <c r="WHZ13" s="46"/>
      <c r="WIA13" s="46"/>
      <c r="WIB13" s="46"/>
      <c r="WIC13" s="46"/>
      <c r="WID13" s="46"/>
      <c r="WIE13" s="46"/>
      <c r="WIF13" s="46"/>
      <c r="WIG13" s="46"/>
      <c r="WIH13" s="46"/>
      <c r="WII13" s="46"/>
      <c r="WIJ13" s="46"/>
      <c r="WIK13" s="46"/>
      <c r="WIL13" s="46"/>
      <c r="WIM13" s="46"/>
      <c r="WIN13" s="46"/>
      <c r="WIO13" s="46"/>
      <c r="WIP13" s="46"/>
      <c r="WIQ13" s="46"/>
      <c r="WIR13" s="46"/>
      <c r="WIS13" s="46"/>
      <c r="WIT13" s="46"/>
      <c r="WIU13" s="46"/>
      <c r="WIV13" s="46"/>
      <c r="WIW13" s="46"/>
      <c r="WIX13" s="46"/>
      <c r="WIY13" s="46"/>
      <c r="WIZ13" s="46"/>
      <c r="WJA13" s="46"/>
      <c r="WJB13" s="46"/>
      <c r="WJC13" s="46"/>
      <c r="WJD13" s="46"/>
      <c r="WJE13" s="46"/>
      <c r="WJF13" s="46"/>
      <c r="WJG13" s="46"/>
      <c r="WJH13" s="46"/>
      <c r="WJI13" s="46"/>
      <c r="WJJ13" s="46"/>
      <c r="WJK13" s="46"/>
      <c r="WJL13" s="46"/>
      <c r="WJM13" s="46"/>
      <c r="WJN13" s="46"/>
      <c r="WJO13" s="46"/>
      <c r="WJP13" s="46"/>
      <c r="WJQ13" s="46"/>
      <c r="WJR13" s="46"/>
      <c r="WJS13" s="46"/>
      <c r="WJT13" s="46"/>
      <c r="WJU13" s="46"/>
      <c r="WJV13" s="46"/>
      <c r="WJW13" s="46"/>
      <c r="WJX13" s="46"/>
      <c r="WJY13" s="46"/>
      <c r="WJZ13" s="46"/>
      <c r="WKA13" s="46"/>
      <c r="WKB13" s="46"/>
      <c r="WKC13" s="46"/>
      <c r="WKD13" s="46"/>
      <c r="WKE13" s="46"/>
      <c r="WKF13" s="46"/>
      <c r="WKG13" s="46"/>
      <c r="WKH13" s="46"/>
      <c r="WKI13" s="46"/>
      <c r="WKJ13" s="46"/>
      <c r="WKK13" s="46"/>
      <c r="WKL13" s="46"/>
      <c r="WKM13" s="46"/>
      <c r="WKN13" s="46"/>
      <c r="WKO13" s="46"/>
      <c r="WKP13" s="46"/>
      <c r="WKQ13" s="46"/>
      <c r="WKR13" s="46"/>
      <c r="WKS13" s="46"/>
      <c r="WKT13" s="46"/>
      <c r="WKU13" s="46"/>
      <c r="WKV13" s="46"/>
      <c r="WKW13" s="46"/>
      <c r="WKX13" s="46"/>
      <c r="WKY13" s="46"/>
      <c r="WKZ13" s="46"/>
      <c r="WLA13" s="46"/>
      <c r="WLB13" s="46"/>
      <c r="WLC13" s="46"/>
      <c r="WLD13" s="46"/>
      <c r="WLE13" s="46"/>
      <c r="WLF13" s="46"/>
      <c r="WLG13" s="46"/>
      <c r="WLH13" s="46"/>
      <c r="WLI13" s="46"/>
      <c r="WLJ13" s="46"/>
      <c r="WLK13" s="46"/>
      <c r="WLL13" s="46"/>
      <c r="WLM13" s="46"/>
      <c r="WLN13" s="46"/>
      <c r="WLO13" s="46"/>
      <c r="WLP13" s="46"/>
      <c r="WLQ13" s="46"/>
      <c r="WLR13" s="46"/>
      <c r="WLS13" s="46"/>
      <c r="WLT13" s="46"/>
      <c r="WLU13" s="46"/>
      <c r="WLV13" s="46"/>
      <c r="WLW13" s="46"/>
      <c r="WLX13" s="46"/>
      <c r="WLY13" s="46"/>
      <c r="WLZ13" s="46"/>
      <c r="WMA13" s="46"/>
      <c r="WMB13" s="46"/>
      <c r="WMC13" s="46"/>
      <c r="WMD13" s="46"/>
      <c r="WME13" s="46"/>
      <c r="WMF13" s="46"/>
      <c r="WMG13" s="46"/>
      <c r="WMH13" s="46"/>
      <c r="WMI13" s="46"/>
      <c r="WMJ13" s="46"/>
      <c r="WMK13" s="46"/>
      <c r="WML13" s="46"/>
      <c r="WMM13" s="46"/>
      <c r="WMN13" s="46"/>
      <c r="WMO13" s="46"/>
      <c r="WMP13" s="46"/>
      <c r="WMQ13" s="46"/>
      <c r="WMR13" s="46"/>
      <c r="WMS13" s="46"/>
      <c r="WMT13" s="46"/>
      <c r="WMU13" s="46"/>
      <c r="WMV13" s="46"/>
      <c r="WMW13" s="46"/>
      <c r="WMX13" s="46"/>
      <c r="WMY13" s="46"/>
      <c r="WMZ13" s="46"/>
      <c r="WNA13" s="46"/>
      <c r="WNB13" s="46"/>
      <c r="WNC13" s="46"/>
      <c r="WND13" s="46"/>
      <c r="WNE13" s="46"/>
      <c r="WNF13" s="46"/>
      <c r="WNG13" s="46"/>
      <c r="WNH13" s="46"/>
      <c r="WNI13" s="46"/>
      <c r="WNJ13" s="46"/>
      <c r="WNK13" s="46"/>
      <c r="WNL13" s="46"/>
      <c r="WNM13" s="46"/>
      <c r="WNN13" s="46"/>
      <c r="WNO13" s="46"/>
      <c r="WNP13" s="46"/>
      <c r="WNQ13" s="46"/>
      <c r="WNR13" s="46"/>
      <c r="WNS13" s="46"/>
      <c r="WNT13" s="46"/>
      <c r="WNU13" s="46"/>
      <c r="WNV13" s="46"/>
      <c r="WNW13" s="46"/>
      <c r="WNX13" s="46"/>
      <c r="WNY13" s="46"/>
      <c r="WNZ13" s="46"/>
      <c r="WOA13" s="46"/>
      <c r="WOB13" s="46"/>
      <c r="WOC13" s="46"/>
      <c r="WOD13" s="46"/>
      <c r="WOE13" s="46"/>
      <c r="WOF13" s="46"/>
      <c r="WOG13" s="46"/>
      <c r="WOH13" s="46"/>
      <c r="WOI13" s="46"/>
      <c r="WOJ13" s="46"/>
      <c r="WOK13" s="46"/>
      <c r="WOL13" s="46"/>
      <c r="WOM13" s="46"/>
      <c r="WON13" s="46"/>
      <c r="WOO13" s="46"/>
      <c r="WOP13" s="46"/>
      <c r="WOQ13" s="46"/>
      <c r="WOR13" s="46"/>
      <c r="WOS13" s="46"/>
      <c r="WOT13" s="46"/>
      <c r="WOU13" s="46"/>
      <c r="WOV13" s="46"/>
      <c r="WOW13" s="46"/>
      <c r="WOX13" s="46"/>
      <c r="WOY13" s="46"/>
      <c r="WOZ13" s="46"/>
      <c r="WPA13" s="46"/>
      <c r="WPB13" s="46"/>
      <c r="WPC13" s="46"/>
      <c r="WPD13" s="46"/>
      <c r="WPE13" s="46"/>
      <c r="WPF13" s="46"/>
      <c r="WPG13" s="46"/>
      <c r="WPH13" s="46"/>
      <c r="WPI13" s="46"/>
      <c r="WPJ13" s="46"/>
      <c r="WPK13" s="46"/>
      <c r="WPL13" s="46"/>
      <c r="WPM13" s="46"/>
      <c r="WPN13" s="46"/>
      <c r="WPO13" s="46"/>
      <c r="WPP13" s="46"/>
      <c r="WPQ13" s="46"/>
      <c r="WPR13" s="46"/>
      <c r="WPS13" s="46"/>
      <c r="WPT13" s="46"/>
      <c r="WPU13" s="46"/>
      <c r="WPV13" s="46"/>
      <c r="WPW13" s="46"/>
      <c r="WPX13" s="46"/>
      <c r="WPY13" s="46"/>
      <c r="WPZ13" s="46"/>
      <c r="WQA13" s="46"/>
      <c r="WQB13" s="46"/>
      <c r="WQC13" s="46"/>
      <c r="WQD13" s="46"/>
      <c r="WQE13" s="46"/>
      <c r="WQF13" s="46"/>
      <c r="WQG13" s="46"/>
      <c r="WQH13" s="46"/>
      <c r="WQI13" s="46"/>
      <c r="WQJ13" s="46"/>
      <c r="WQK13" s="46"/>
      <c r="WQL13" s="46"/>
      <c r="WQM13" s="46"/>
      <c r="WQN13" s="46"/>
      <c r="WQO13" s="46"/>
      <c r="WQP13" s="46"/>
      <c r="WQQ13" s="46"/>
      <c r="WQR13" s="46"/>
      <c r="WQS13" s="46"/>
      <c r="WQT13" s="46"/>
      <c r="WQU13" s="46"/>
      <c r="WQV13" s="46"/>
      <c r="WQW13" s="46"/>
      <c r="WQX13" s="46"/>
      <c r="WQY13" s="46"/>
      <c r="WQZ13" s="46"/>
      <c r="WRA13" s="46"/>
      <c r="WRB13" s="46"/>
      <c r="WRC13" s="46"/>
      <c r="WRD13" s="46"/>
      <c r="WRE13" s="46"/>
      <c r="WRF13" s="46"/>
      <c r="WRG13" s="46"/>
      <c r="WRH13" s="46"/>
      <c r="WRI13" s="46"/>
      <c r="WRJ13" s="46"/>
      <c r="WRK13" s="46"/>
      <c r="WRL13" s="46"/>
      <c r="WRM13" s="46"/>
      <c r="WRN13" s="46"/>
      <c r="WRO13" s="46"/>
      <c r="WRP13" s="46"/>
      <c r="WRQ13" s="46"/>
      <c r="WRR13" s="46"/>
      <c r="WRS13" s="46"/>
      <c r="WRT13" s="46"/>
      <c r="WRU13" s="46"/>
      <c r="WRV13" s="46"/>
      <c r="WRW13" s="46"/>
      <c r="WRX13" s="46"/>
      <c r="WRY13" s="46"/>
      <c r="WRZ13" s="46"/>
      <c r="WSA13" s="46"/>
      <c r="WSB13" s="46"/>
      <c r="WSC13" s="46"/>
      <c r="WSD13" s="46"/>
      <c r="WSE13" s="46"/>
      <c r="WSF13" s="46"/>
      <c r="WSG13" s="46"/>
      <c r="WSH13" s="46"/>
      <c r="WSI13" s="46"/>
      <c r="WSJ13" s="46"/>
      <c r="WSK13" s="46"/>
      <c r="WSL13" s="46"/>
      <c r="WSM13" s="46"/>
      <c r="WSN13" s="46"/>
      <c r="WSO13" s="46"/>
      <c r="WSP13" s="46"/>
      <c r="WSQ13" s="46"/>
      <c r="WSR13" s="46"/>
      <c r="WSS13" s="46"/>
      <c r="WST13" s="46"/>
      <c r="WSU13" s="46"/>
      <c r="WSV13" s="46"/>
      <c r="WSW13" s="46"/>
      <c r="WSX13" s="46"/>
      <c r="WSY13" s="46"/>
      <c r="WSZ13" s="46"/>
      <c r="WTA13" s="46"/>
      <c r="WTB13" s="46"/>
      <c r="WTC13" s="46"/>
      <c r="WTD13" s="46"/>
      <c r="WTE13" s="46"/>
      <c r="WTF13" s="46"/>
      <c r="WTG13" s="46"/>
      <c r="WTH13" s="46"/>
      <c r="WTI13" s="46"/>
      <c r="WTJ13" s="46"/>
      <c r="WTK13" s="46"/>
      <c r="WTL13" s="46"/>
      <c r="WTM13" s="46"/>
      <c r="WTN13" s="46"/>
      <c r="WTO13" s="46"/>
      <c r="WTP13" s="46"/>
      <c r="WTQ13" s="46"/>
      <c r="WTR13" s="46"/>
      <c r="WTS13" s="46"/>
      <c r="WTT13" s="46"/>
      <c r="WTU13" s="46"/>
      <c r="WTV13" s="46"/>
      <c r="WTW13" s="46"/>
      <c r="WTX13" s="46"/>
      <c r="WTY13" s="46"/>
      <c r="WTZ13" s="46"/>
      <c r="WUA13" s="46"/>
      <c r="WUB13" s="46"/>
      <c r="WUC13" s="46"/>
      <c r="WUD13" s="46"/>
      <c r="WUE13" s="46"/>
      <c r="WUF13" s="46"/>
      <c r="WUG13" s="46"/>
      <c r="WUH13" s="46"/>
      <c r="WUI13" s="46"/>
      <c r="WUJ13" s="46"/>
      <c r="WUK13" s="46"/>
      <c r="WUL13" s="46"/>
      <c r="WUM13" s="46"/>
      <c r="WUN13" s="46"/>
      <c r="WUO13" s="46"/>
      <c r="WUP13" s="46"/>
      <c r="WUQ13" s="46"/>
      <c r="WUR13" s="46"/>
      <c r="WUS13" s="46"/>
      <c r="WUT13" s="46"/>
      <c r="WUU13" s="46"/>
      <c r="WUV13" s="46"/>
      <c r="WUW13" s="46"/>
      <c r="WUX13" s="46"/>
      <c r="WUY13" s="46"/>
      <c r="WUZ13" s="46"/>
      <c r="WVA13" s="46"/>
      <c r="WVB13" s="46"/>
      <c r="WVC13" s="46"/>
      <c r="WVD13" s="46"/>
      <c r="WVE13" s="46"/>
      <c r="WVF13" s="46"/>
      <c r="WVG13" s="46"/>
      <c r="WVH13" s="46"/>
      <c r="WVI13" s="46"/>
      <c r="WVJ13" s="46"/>
      <c r="WVK13" s="46"/>
      <c r="WVL13" s="46"/>
      <c r="WVM13" s="46"/>
      <c r="WVN13" s="46"/>
      <c r="WVO13" s="46"/>
      <c r="WVP13" s="46"/>
      <c r="WVQ13" s="46"/>
      <c r="WVR13" s="46"/>
      <c r="WVS13" s="46"/>
      <c r="WVT13" s="46"/>
      <c r="WVU13" s="46"/>
      <c r="WVV13" s="46"/>
      <c r="WVW13" s="46"/>
      <c r="WVX13" s="46"/>
      <c r="WVY13" s="46"/>
      <c r="WVZ13" s="46"/>
      <c r="WWA13" s="46"/>
      <c r="WWB13" s="46"/>
      <c r="WWC13" s="46"/>
      <c r="WWD13" s="46"/>
      <c r="WWE13" s="46"/>
      <c r="WWF13" s="46"/>
      <c r="WWG13" s="46"/>
      <c r="WWH13" s="46"/>
      <c r="WWI13" s="46"/>
      <c r="WWJ13" s="46"/>
      <c r="WWK13" s="46"/>
      <c r="WWL13" s="46"/>
      <c r="WWM13" s="46"/>
      <c r="WWN13" s="46"/>
      <c r="WWO13" s="46"/>
      <c r="WWP13" s="46"/>
      <c r="WWQ13" s="46"/>
      <c r="WWR13" s="46"/>
      <c r="WWS13" s="46"/>
      <c r="WWT13" s="46"/>
      <c r="WWU13" s="46"/>
      <c r="WWV13" s="46"/>
      <c r="WWW13" s="46"/>
      <c r="WWX13" s="46"/>
      <c r="WWY13" s="46"/>
      <c r="WWZ13" s="46"/>
      <c r="WXA13" s="46"/>
      <c r="WXB13" s="46"/>
      <c r="WXC13" s="46"/>
      <c r="WXD13" s="46"/>
      <c r="WXE13" s="46"/>
      <c r="WXF13" s="46"/>
      <c r="WXG13" s="46"/>
      <c r="WXH13" s="46"/>
      <c r="WXI13" s="46"/>
      <c r="WXJ13" s="46"/>
      <c r="WXK13" s="46"/>
      <c r="WXL13" s="46"/>
      <c r="WXM13" s="46"/>
      <c r="WXN13" s="46"/>
      <c r="WXO13" s="46"/>
      <c r="WXP13" s="46"/>
      <c r="WXQ13" s="46"/>
      <c r="WXR13" s="46"/>
      <c r="WXS13" s="46"/>
      <c r="WXT13" s="46"/>
      <c r="WXU13" s="46"/>
      <c r="WXV13" s="46"/>
      <c r="WXW13" s="46"/>
      <c r="WXX13" s="46"/>
      <c r="WXY13" s="46"/>
      <c r="WXZ13" s="46"/>
      <c r="WYA13" s="46"/>
      <c r="WYB13" s="46"/>
      <c r="WYC13" s="46"/>
      <c r="WYD13" s="46"/>
      <c r="WYE13" s="46"/>
      <c r="WYF13" s="46"/>
      <c r="WYG13" s="46"/>
      <c r="WYH13" s="46"/>
      <c r="WYI13" s="46"/>
      <c r="WYJ13" s="46"/>
      <c r="WYK13" s="46"/>
      <c r="WYL13" s="46"/>
      <c r="WYM13" s="46"/>
      <c r="WYN13" s="46"/>
      <c r="WYO13" s="46"/>
      <c r="WYP13" s="46"/>
      <c r="WYQ13" s="46"/>
      <c r="WYR13" s="46"/>
      <c r="WYS13" s="46"/>
      <c r="WYT13" s="46"/>
      <c r="WYU13" s="46"/>
      <c r="WYV13" s="46"/>
      <c r="WYW13" s="46"/>
      <c r="WYX13" s="46"/>
      <c r="WYY13" s="46"/>
      <c r="WYZ13" s="46"/>
      <c r="WZA13" s="46"/>
      <c r="WZB13" s="46"/>
      <c r="WZC13" s="46"/>
      <c r="WZD13" s="46"/>
      <c r="WZE13" s="46"/>
      <c r="WZF13" s="46"/>
      <c r="WZG13" s="46"/>
      <c r="WZH13" s="46"/>
      <c r="WZI13" s="46"/>
      <c r="WZJ13" s="46"/>
      <c r="WZK13" s="46"/>
      <c r="WZL13" s="46"/>
      <c r="WZM13" s="46"/>
      <c r="WZN13" s="46"/>
      <c r="WZO13" s="46"/>
      <c r="WZP13" s="46"/>
      <c r="WZQ13" s="46"/>
      <c r="WZR13" s="46"/>
      <c r="WZS13" s="46"/>
      <c r="WZT13" s="46"/>
      <c r="WZU13" s="46"/>
      <c r="WZV13" s="46"/>
      <c r="WZW13" s="46"/>
      <c r="WZX13" s="46"/>
      <c r="WZY13" s="46"/>
      <c r="WZZ13" s="46"/>
      <c r="XAA13" s="46"/>
      <c r="XAB13" s="46"/>
      <c r="XAC13" s="46"/>
      <c r="XAD13" s="46"/>
      <c r="XAE13" s="46"/>
      <c r="XAF13" s="46"/>
      <c r="XAG13" s="46"/>
      <c r="XAH13" s="46"/>
      <c r="XAI13" s="46"/>
      <c r="XAJ13" s="46"/>
      <c r="XAK13" s="46"/>
      <c r="XAL13" s="46"/>
      <c r="XAM13" s="46"/>
      <c r="XAN13" s="46"/>
      <c r="XAO13" s="46"/>
      <c r="XAP13" s="46"/>
      <c r="XAQ13" s="46"/>
      <c r="XAR13" s="46"/>
      <c r="XAS13" s="46"/>
      <c r="XAT13" s="46"/>
      <c r="XAU13" s="46"/>
      <c r="XAV13" s="46"/>
      <c r="XAW13" s="46"/>
      <c r="XAX13" s="46"/>
      <c r="XAY13" s="46"/>
      <c r="XAZ13" s="46"/>
      <c r="XBA13" s="46"/>
      <c r="XBB13" s="46"/>
      <c r="XBC13" s="46"/>
      <c r="XBD13" s="46"/>
      <c r="XBE13" s="46"/>
      <c r="XBF13" s="46"/>
      <c r="XBG13" s="46"/>
      <c r="XBH13" s="46"/>
      <c r="XBI13" s="46"/>
      <c r="XBJ13" s="46"/>
      <c r="XBK13" s="46"/>
      <c r="XBL13" s="46"/>
      <c r="XBM13" s="46"/>
      <c r="XBN13" s="46"/>
      <c r="XBO13" s="46"/>
      <c r="XBP13" s="46"/>
      <c r="XBQ13" s="46"/>
      <c r="XBR13" s="46"/>
      <c r="XBS13" s="46"/>
      <c r="XBT13" s="46"/>
      <c r="XBU13" s="46"/>
      <c r="XBV13" s="46"/>
      <c r="XBW13" s="46"/>
      <c r="XBX13" s="46"/>
      <c r="XBY13" s="46"/>
      <c r="XBZ13" s="46"/>
      <c r="XCA13" s="46"/>
      <c r="XCB13" s="46"/>
      <c r="XCC13" s="46"/>
      <c r="XCD13" s="46"/>
      <c r="XCE13" s="46"/>
      <c r="XCF13" s="46"/>
      <c r="XCG13" s="46"/>
      <c r="XCH13" s="46"/>
      <c r="XCI13" s="46"/>
      <c r="XCJ13" s="46"/>
      <c r="XCK13" s="46"/>
      <c r="XCL13" s="46"/>
      <c r="XCM13" s="46"/>
      <c r="XCN13" s="46"/>
      <c r="XCO13" s="46"/>
      <c r="XCP13" s="46"/>
      <c r="XCQ13" s="46"/>
      <c r="XCR13" s="46"/>
      <c r="XCS13" s="46"/>
      <c r="XCT13" s="46"/>
      <c r="XCU13" s="46"/>
      <c r="XCV13" s="46"/>
      <c r="XCW13" s="46"/>
      <c r="XCX13" s="46"/>
      <c r="XCY13" s="46"/>
      <c r="XCZ13" s="46"/>
      <c r="XDA13" s="46"/>
      <c r="XDB13" s="46"/>
      <c r="XDC13" s="46"/>
      <c r="XDD13" s="46"/>
      <c r="XDE13" s="46"/>
      <c r="XDF13" s="46"/>
      <c r="XDG13" s="46"/>
      <c r="XDH13" s="46"/>
      <c r="XDI13" s="46"/>
      <c r="XDJ13" s="46"/>
      <c r="XDK13" s="46"/>
      <c r="XDL13" s="46"/>
      <c r="XDM13" s="46"/>
      <c r="XDN13" s="46"/>
      <c r="XDO13" s="46"/>
      <c r="XDP13" s="46"/>
      <c r="XDQ13" s="46"/>
      <c r="XDR13" s="46"/>
      <c r="XDS13" s="46"/>
      <c r="XDT13" s="46"/>
      <c r="XDU13" s="46"/>
      <c r="XDV13" s="46"/>
      <c r="XDW13" s="46"/>
      <c r="XDX13" s="46"/>
      <c r="XDY13" s="46"/>
      <c r="XDZ13" s="46"/>
      <c r="XEA13" s="46"/>
      <c r="XEB13" s="46"/>
      <c r="XEC13" s="46"/>
      <c r="XED13" s="46"/>
      <c r="XEE13" s="46"/>
      <c r="XEF13" s="46"/>
      <c r="XEG13" s="46"/>
      <c r="XEH13" s="46"/>
      <c r="XEI13" s="46"/>
      <c r="XEJ13" s="46"/>
      <c r="XEK13" s="46"/>
      <c r="XEL13" s="46"/>
      <c r="XEM13" s="46"/>
      <c r="XEN13" s="46"/>
      <c r="XEO13" s="46"/>
      <c r="XEP13" s="46"/>
      <c r="XEQ13" s="46"/>
      <c r="XER13" s="46"/>
      <c r="XES13" s="46"/>
      <c r="XET13" s="46"/>
    </row>
    <row r="14" spans="1:16374" ht="13.5" thickTop="1" x14ac:dyDescent="0.2"/>
    <row r="16" spans="1:16374" ht="12" customHeight="1" x14ac:dyDescent="0.2"/>
    <row r="17" ht="12" customHeight="1" x14ac:dyDescent="0.2"/>
  </sheetData>
  <printOptions gridLine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XDS14"/>
  <sheetViews>
    <sheetView zoomScaleNormal="100" workbookViewId="0">
      <selection activeCell="D18" sqref="D18"/>
    </sheetView>
  </sheetViews>
  <sheetFormatPr defaultColWidth="16.140625" defaultRowHeight="12.75" x14ac:dyDescent="0.2"/>
  <cols>
    <col min="1" max="1" width="19.85546875" customWidth="1"/>
    <col min="2" max="2" width="19.42578125" customWidth="1"/>
    <col min="3" max="3" width="14" customWidth="1"/>
    <col min="4" max="4" width="8.85546875" customWidth="1"/>
    <col min="5" max="5" width="15.85546875" customWidth="1"/>
    <col min="6" max="14" width="14.42578125" customWidth="1"/>
    <col min="15" max="17" width="20.28515625" customWidth="1"/>
    <col min="18" max="18" width="12.5703125" customWidth="1"/>
    <col min="19" max="20" width="14.7109375" customWidth="1"/>
    <col min="21" max="21" width="10.85546875" customWidth="1"/>
    <col min="22" max="22" width="12" customWidth="1"/>
    <col min="23" max="25" width="13.85546875" customWidth="1"/>
    <col min="26" max="26" width="15.85546875" customWidth="1"/>
    <col min="27" max="27" width="12.7109375" customWidth="1"/>
    <col min="28" max="30" width="14.28515625" customWidth="1"/>
    <col min="31" max="37" width="12.5703125" customWidth="1"/>
    <col min="38" max="39" width="13" customWidth="1"/>
    <col min="40" max="40" width="15.7109375" customWidth="1"/>
    <col min="41" max="55" width="13.5703125" customWidth="1"/>
    <col min="56" max="63" width="17.140625" customWidth="1"/>
    <col min="64" max="65" width="15.5703125" customWidth="1"/>
    <col min="66" max="77" width="13.5703125" customWidth="1"/>
    <col min="78" max="79" width="14.28515625" customWidth="1"/>
    <col min="80" max="82" width="16.5703125" customWidth="1"/>
    <col min="83" max="84" width="14.28515625" customWidth="1"/>
    <col min="85" max="85" width="17" customWidth="1"/>
    <col min="86" max="86" width="19.140625" customWidth="1"/>
    <col min="87" max="87" width="17.42578125" customWidth="1"/>
    <col min="88" max="88" width="14.28515625" customWidth="1"/>
    <col min="89" max="89" width="13.7109375" customWidth="1"/>
    <col min="90" max="90" width="16.85546875" customWidth="1"/>
    <col min="91" max="91" width="15.5703125" customWidth="1"/>
    <col min="92" max="93" width="19.5703125" customWidth="1"/>
    <col min="94" max="94" width="14.42578125" customWidth="1"/>
    <col min="95" max="95" width="17.85546875" customWidth="1"/>
    <col min="96" max="98" width="11.42578125" customWidth="1"/>
    <col min="99" max="99" width="13.85546875" customWidth="1"/>
    <col min="100" max="100" width="13.28515625" customWidth="1"/>
    <col min="101" max="102" width="14.42578125" customWidth="1"/>
    <col min="103" max="103" width="17.7109375" bestFit="1" customWidth="1"/>
    <col min="104" max="104" width="18" bestFit="1" customWidth="1"/>
    <col min="105" max="105" width="16" customWidth="1"/>
    <col min="106" max="106" width="15.7109375" customWidth="1"/>
    <col min="107" max="107" width="15" customWidth="1"/>
    <col min="108" max="108" width="16.5703125" customWidth="1"/>
    <col min="109" max="109" width="18" customWidth="1"/>
    <col min="110" max="110" width="21.5703125" customWidth="1"/>
    <col min="111" max="111" width="18" customWidth="1"/>
    <col min="112" max="112" width="14.7109375" customWidth="1"/>
    <col min="113" max="113" width="12.140625" customWidth="1"/>
    <col min="114" max="114" width="12.28515625" customWidth="1"/>
    <col min="115" max="115" width="11.7109375" customWidth="1"/>
    <col min="116" max="116" width="10.140625" customWidth="1"/>
    <col min="117" max="119" width="14.140625" customWidth="1"/>
    <col min="120" max="122" width="13.7109375" customWidth="1"/>
    <col min="123" max="124" width="19.140625" customWidth="1"/>
    <col min="125" max="130" width="13.7109375" customWidth="1"/>
    <col min="131" max="131" width="15.42578125" customWidth="1"/>
    <col min="132" max="136" width="13.7109375" customWidth="1"/>
    <col min="137" max="137" width="24" customWidth="1"/>
    <col min="138" max="138" width="13.7109375" customWidth="1"/>
    <col min="139" max="139" width="24.42578125" customWidth="1"/>
    <col min="140" max="140" width="19" customWidth="1"/>
    <col min="141" max="142" width="21.85546875" customWidth="1"/>
    <col min="143" max="143" width="17.140625" customWidth="1"/>
    <col min="144" max="144" width="20" customWidth="1"/>
    <col min="145" max="148" width="13.7109375" customWidth="1"/>
    <col min="149" max="153" width="19.140625" customWidth="1"/>
    <col min="154" max="157" width="25.140625" customWidth="1"/>
    <col min="158" max="160" width="21.5703125" customWidth="1"/>
    <col min="161" max="162" width="20.140625" customWidth="1"/>
    <col min="163" max="164" width="25.5703125" customWidth="1"/>
    <col min="165" max="168" width="21.5703125" customWidth="1"/>
    <col min="169" max="169" width="25.140625" customWidth="1"/>
    <col min="170" max="174" width="21.5703125" customWidth="1"/>
    <col min="175" max="175" width="24.140625" customWidth="1"/>
    <col min="176" max="176" width="20.140625" customWidth="1"/>
    <col min="177" max="179" width="16.140625" customWidth="1"/>
    <col min="180" max="192" width="17.140625" customWidth="1"/>
    <col min="193" max="193" width="30.28515625" customWidth="1"/>
    <col min="194" max="194" width="32.42578125" customWidth="1"/>
    <col min="195" max="195" width="38.42578125" customWidth="1"/>
    <col min="196" max="196" width="25.140625" customWidth="1"/>
    <col min="197" max="197" width="24.28515625" customWidth="1"/>
    <col min="198" max="198" width="26.28515625" customWidth="1"/>
    <col min="199" max="199" width="20.5703125" customWidth="1"/>
    <col min="200" max="200" width="20" customWidth="1"/>
    <col min="201" max="201" width="25.140625" customWidth="1"/>
    <col min="202" max="202" width="29.7109375" customWidth="1"/>
    <col min="203" max="203" width="24" customWidth="1"/>
    <col min="204" max="204" width="23.85546875" customWidth="1"/>
    <col min="205" max="205" width="15.7109375" customWidth="1"/>
    <col min="206" max="206" width="14.7109375" customWidth="1"/>
    <col min="207" max="207" width="12.85546875" customWidth="1"/>
    <col min="208" max="208" width="14.28515625" customWidth="1"/>
    <col min="209" max="209" width="16.7109375" customWidth="1"/>
    <col min="210" max="210" width="21.42578125" customWidth="1"/>
    <col min="211" max="211" width="16.7109375" customWidth="1"/>
    <col min="212" max="212" width="14.7109375" customWidth="1"/>
    <col min="213" max="214" width="19.85546875" customWidth="1"/>
    <col min="215" max="215" width="17.28515625" customWidth="1"/>
    <col min="216" max="216" width="21.7109375" customWidth="1"/>
    <col min="217" max="217" width="10.5703125" customWidth="1"/>
    <col min="218" max="218" width="11.5703125" customWidth="1"/>
    <col min="219" max="219" width="22.140625" customWidth="1"/>
    <col min="220" max="220" width="15.42578125" customWidth="1"/>
    <col min="221" max="222" width="15" customWidth="1"/>
    <col min="223" max="225" width="16.140625" customWidth="1"/>
    <col min="226" max="226" width="17.85546875" customWidth="1"/>
    <col min="227" max="228" width="16.140625" customWidth="1"/>
    <col min="238" max="238" width="22.7109375" customWidth="1"/>
    <col min="239" max="243" width="20.7109375" customWidth="1"/>
    <col min="244" max="244" width="19.5703125" customWidth="1"/>
    <col min="251" max="251" width="20.42578125" customWidth="1"/>
    <col min="256" max="256" width="22.28515625" customWidth="1"/>
  </cols>
  <sheetData>
    <row r="1" spans="1:16347" s="46" customFormat="1" ht="14.25" thickTop="1" thickBot="1" x14ac:dyDescent="0.25">
      <c r="A1" s="2" t="s">
        <v>0</v>
      </c>
      <c r="B1" s="197" t="s">
        <v>1</v>
      </c>
      <c r="C1" s="197" t="s">
        <v>2</v>
      </c>
      <c r="D1" s="198" t="s">
        <v>3</v>
      </c>
      <c r="E1" s="198" t="s">
        <v>256</v>
      </c>
      <c r="F1" s="199" t="s">
        <v>4</v>
      </c>
      <c r="G1" s="199" t="s">
        <v>5</v>
      </c>
      <c r="H1" s="199" t="s">
        <v>241</v>
      </c>
      <c r="I1" s="199" t="s">
        <v>242</v>
      </c>
      <c r="J1" s="199" t="s">
        <v>243</v>
      </c>
      <c r="K1" s="199" t="s">
        <v>389</v>
      </c>
      <c r="L1" s="199" t="s">
        <v>390</v>
      </c>
      <c r="M1" s="199" t="s">
        <v>667</v>
      </c>
      <c r="N1" s="199" t="s">
        <v>391</v>
      </c>
      <c r="O1" s="199" t="s">
        <v>392</v>
      </c>
      <c r="P1" s="199" t="s">
        <v>416</v>
      </c>
      <c r="Q1" s="199" t="s">
        <v>411</v>
      </c>
      <c r="R1" s="199" t="s">
        <v>8</v>
      </c>
      <c r="S1" s="199" t="s">
        <v>9</v>
      </c>
      <c r="T1" s="199" t="s">
        <v>397</v>
      </c>
      <c r="U1" s="199" t="s">
        <v>21</v>
      </c>
      <c r="V1" s="199" t="s">
        <v>6</v>
      </c>
      <c r="W1" s="199" t="s">
        <v>7</v>
      </c>
      <c r="X1" s="199" t="s">
        <v>657</v>
      </c>
      <c r="Y1" s="199" t="s">
        <v>399</v>
      </c>
      <c r="Z1" s="199" t="s">
        <v>19</v>
      </c>
      <c r="AA1" s="199" t="s">
        <v>23</v>
      </c>
      <c r="AB1" s="199" t="s">
        <v>24</v>
      </c>
      <c r="AC1" s="199" t="s">
        <v>752</v>
      </c>
      <c r="AD1" s="199" t="s">
        <v>687</v>
      </c>
      <c r="AE1" s="199" t="s">
        <v>25</v>
      </c>
      <c r="AF1" s="199" t="s">
        <v>467</v>
      </c>
      <c r="AG1" s="199" t="s">
        <v>650</v>
      </c>
      <c r="AH1" s="199" t="s">
        <v>469</v>
      </c>
      <c r="AI1" s="199" t="s">
        <v>250</v>
      </c>
      <c r="AJ1" s="199" t="s">
        <v>406</v>
      </c>
      <c r="AK1" s="199" t="s">
        <v>407</v>
      </c>
      <c r="AL1" s="199" t="s">
        <v>258</v>
      </c>
      <c r="AM1" s="199" t="s">
        <v>677</v>
      </c>
      <c r="AN1" s="199" t="s">
        <v>359</v>
      </c>
      <c r="AO1" s="199" t="s">
        <v>351</v>
      </c>
      <c r="AP1" s="199" t="s">
        <v>274</v>
      </c>
      <c r="AQ1" s="199" t="s">
        <v>275</v>
      </c>
      <c r="AR1" s="199" t="s">
        <v>686</v>
      </c>
      <c r="AS1" s="199" t="s">
        <v>615</v>
      </c>
      <c r="AT1" s="199" t="s">
        <v>621</v>
      </c>
      <c r="AU1" s="199" t="s">
        <v>620</v>
      </c>
      <c r="AV1" s="199" t="s">
        <v>616</v>
      </c>
      <c r="AW1" s="199" t="s">
        <v>617</v>
      </c>
      <c r="AX1" s="199" t="s">
        <v>693</v>
      </c>
      <c r="AY1" s="199" t="s">
        <v>696</v>
      </c>
      <c r="AZ1" s="199" t="s">
        <v>41</v>
      </c>
      <c r="BA1" s="199" t="s">
        <v>614</v>
      </c>
      <c r="BB1" s="199" t="s">
        <v>40</v>
      </c>
      <c r="BC1" s="199" t="s">
        <v>730</v>
      </c>
      <c r="BD1" s="199" t="s">
        <v>350</v>
      </c>
      <c r="BE1" s="199" t="s">
        <v>751</v>
      </c>
      <c r="BF1" s="199" t="s">
        <v>676</v>
      </c>
      <c r="BG1" s="199" t="s">
        <v>675</v>
      </c>
      <c r="BH1" s="199" t="s">
        <v>678</v>
      </c>
      <c r="BI1" s="199" t="s">
        <v>674</v>
      </c>
      <c r="BJ1" s="199" t="s">
        <v>672</v>
      </c>
      <c r="BK1" s="199" t="s">
        <v>673</v>
      </c>
      <c r="BL1" s="199" t="s">
        <v>383</v>
      </c>
      <c r="BM1" s="199" t="s">
        <v>356</v>
      </c>
      <c r="BN1" s="199" t="s">
        <v>353</v>
      </c>
      <c r="BO1" s="199" t="s">
        <v>742</v>
      </c>
      <c r="BP1" s="199" t="s">
        <v>738</v>
      </c>
      <c r="BQ1" s="199" t="s">
        <v>698</v>
      </c>
      <c r="BR1" s="199" t="s">
        <v>701</v>
      </c>
      <c r="BS1" s="199" t="s">
        <v>711</v>
      </c>
      <c r="BT1" s="199" t="s">
        <v>712</v>
      </c>
      <c r="BU1" s="199" t="s">
        <v>713</v>
      </c>
      <c r="BV1" s="199" t="s">
        <v>714</v>
      </c>
      <c r="BW1" s="199" t="s">
        <v>715</v>
      </c>
      <c r="BX1" s="199" t="s">
        <v>716</v>
      </c>
      <c r="BY1" s="199" t="s">
        <v>703</v>
      </c>
      <c r="BZ1" s="199" t="s">
        <v>227</v>
      </c>
      <c r="CA1" s="199" t="s">
        <v>718</v>
      </c>
      <c r="CB1" s="199" t="s">
        <v>358</v>
      </c>
      <c r="CC1" s="199" t="s">
        <v>722</v>
      </c>
      <c r="CD1" s="199" t="s">
        <v>717</v>
      </c>
      <c r="CE1" s="199" t="s">
        <v>357</v>
      </c>
      <c r="CF1" s="199" t="s">
        <v>487</v>
      </c>
      <c r="CG1" s="200" t="s">
        <v>237</v>
      </c>
      <c r="CH1" s="200" t="s">
        <v>239</v>
      </c>
      <c r="CI1" s="200" t="s">
        <v>228</v>
      </c>
      <c r="CJ1" s="199" t="s">
        <v>38</v>
      </c>
      <c r="CK1" s="199" t="s">
        <v>39</v>
      </c>
      <c r="CL1" s="200" t="s">
        <v>324</v>
      </c>
      <c r="CM1" s="200" t="s">
        <v>364</v>
      </c>
      <c r="CN1" s="200" t="s">
        <v>44</v>
      </c>
      <c r="CO1" s="200" t="s">
        <v>580</v>
      </c>
      <c r="CP1" s="200" t="s">
        <v>365</v>
      </c>
      <c r="CQ1" s="200" t="s">
        <v>47</v>
      </c>
      <c r="CR1" s="200" t="s">
        <v>53</v>
      </c>
      <c r="CS1" s="200" t="s">
        <v>728</v>
      </c>
      <c r="CT1" s="200" t="s">
        <v>726</v>
      </c>
      <c r="CU1" s="200" t="s">
        <v>48</v>
      </c>
      <c r="CV1" s="200" t="s">
        <v>49</v>
      </c>
      <c r="CW1" s="200" t="s">
        <v>50</v>
      </c>
      <c r="CX1" s="200" t="s">
        <v>753</v>
      </c>
      <c r="CY1" s="200" t="s">
        <v>26</v>
      </c>
      <c r="CZ1" s="200" t="s">
        <v>27</v>
      </c>
      <c r="DA1" s="200" t="s">
        <v>28</v>
      </c>
      <c r="DB1" s="200" t="s">
        <v>29</v>
      </c>
      <c r="DC1" s="200" t="s">
        <v>30</v>
      </c>
      <c r="DD1" s="200" t="s">
        <v>31</v>
      </c>
      <c r="DE1" s="200" t="s">
        <v>427</v>
      </c>
      <c r="DF1" s="200" t="s">
        <v>403</v>
      </c>
      <c r="DG1" s="200" t="s">
        <v>33</v>
      </c>
      <c r="DH1" s="200" t="s">
        <v>35</v>
      </c>
      <c r="DI1" s="200" t="s">
        <v>36</v>
      </c>
      <c r="DJ1" s="200" t="s">
        <v>51</v>
      </c>
      <c r="DK1" s="200" t="s">
        <v>52</v>
      </c>
      <c r="DL1" s="200" t="s">
        <v>54</v>
      </c>
      <c r="DM1" s="200" t="s">
        <v>55</v>
      </c>
      <c r="DN1" s="200" t="s">
        <v>232</v>
      </c>
      <c r="DO1" s="200" t="s">
        <v>233</v>
      </c>
      <c r="DP1" s="200" t="s">
        <v>56</v>
      </c>
      <c r="DQ1" s="200" t="s">
        <v>75</v>
      </c>
      <c r="DR1" s="200" t="s">
        <v>76</v>
      </c>
      <c r="DS1" s="200" t="s">
        <v>367</v>
      </c>
      <c r="DT1" s="200" t="s">
        <v>533</v>
      </c>
      <c r="DU1" s="200" t="s">
        <v>361</v>
      </c>
      <c r="DV1" s="200" t="s">
        <v>362</v>
      </c>
      <c r="DW1" s="200" t="s">
        <v>363</v>
      </c>
      <c r="DX1" s="200" t="s">
        <v>653</v>
      </c>
      <c r="DY1" s="266" t="s">
        <v>553</v>
      </c>
      <c r="DZ1" s="266" t="s">
        <v>554</v>
      </c>
      <c r="EA1" s="266" t="s">
        <v>555</v>
      </c>
      <c r="EB1" s="266" t="s">
        <v>556</v>
      </c>
      <c r="EC1" s="266" t="s">
        <v>446</v>
      </c>
      <c r="ED1" s="266" t="s">
        <v>557</v>
      </c>
      <c r="EE1" s="266" t="s">
        <v>558</v>
      </c>
      <c r="EF1" s="266" t="s">
        <v>559</v>
      </c>
      <c r="EG1" s="266" t="s">
        <v>560</v>
      </c>
      <c r="EH1" s="266" t="s">
        <v>561</v>
      </c>
      <c r="EI1" s="266" t="s">
        <v>546</v>
      </c>
      <c r="EJ1" s="266" t="s">
        <v>547</v>
      </c>
      <c r="EK1" s="266" t="s">
        <v>548</v>
      </c>
      <c r="EL1" s="266" t="s">
        <v>575</v>
      </c>
      <c r="EM1" s="266" t="s">
        <v>549</v>
      </c>
      <c r="EN1" s="266" t="s">
        <v>562</v>
      </c>
      <c r="EO1" s="266" t="s">
        <v>563</v>
      </c>
      <c r="EP1" s="266" t="s">
        <v>564</v>
      </c>
      <c r="EQ1" s="266" t="s">
        <v>571</v>
      </c>
      <c r="ER1" s="266" t="s">
        <v>573</v>
      </c>
      <c r="ES1" s="263" t="s">
        <v>593</v>
      </c>
      <c r="ET1" s="298" t="s">
        <v>594</v>
      </c>
      <c r="EU1" s="298" t="s">
        <v>595</v>
      </c>
      <c r="EV1" s="298" t="s">
        <v>596</v>
      </c>
      <c r="EW1" s="298" t="s">
        <v>597</v>
      </c>
      <c r="EX1" s="201" t="s">
        <v>318</v>
      </c>
      <c r="EY1" s="201" t="s">
        <v>598</v>
      </c>
      <c r="EZ1" s="201" t="s">
        <v>601</v>
      </c>
      <c r="FA1" s="201" t="s">
        <v>267</v>
      </c>
      <c r="FB1" s="200" t="s">
        <v>63</v>
      </c>
      <c r="FC1" s="200" t="s">
        <v>420</v>
      </c>
      <c r="FD1" s="200" t="s">
        <v>440</v>
      </c>
      <c r="FE1" s="200" t="s">
        <v>434</v>
      </c>
      <c r="FF1" s="200" t="s">
        <v>435</v>
      </c>
      <c r="FG1" s="205" t="s">
        <v>449</v>
      </c>
      <c r="FH1" s="205" t="s">
        <v>340</v>
      </c>
      <c r="FI1" s="205" t="s">
        <v>342</v>
      </c>
      <c r="FJ1" s="205" t="s">
        <v>343</v>
      </c>
      <c r="FK1" s="205" t="s">
        <v>344</v>
      </c>
      <c r="FL1" s="205" t="s">
        <v>345</v>
      </c>
      <c r="FM1" s="205" t="s">
        <v>341</v>
      </c>
      <c r="FN1" s="205" t="s">
        <v>346</v>
      </c>
      <c r="FO1" s="205" t="s">
        <v>347</v>
      </c>
      <c r="FP1" s="205" t="s">
        <v>348</v>
      </c>
      <c r="FQ1" s="205" t="s">
        <v>349</v>
      </c>
      <c r="FR1" s="200" t="s">
        <v>410</v>
      </c>
      <c r="FS1" s="200" t="s">
        <v>447</v>
      </c>
      <c r="FT1" s="200" t="s">
        <v>443</v>
      </c>
      <c r="FU1" s="200" t="s">
        <v>430</v>
      </c>
      <c r="FV1" s="200" t="s">
        <v>432</v>
      </c>
      <c r="FW1" s="200" t="s">
        <v>59</v>
      </c>
      <c r="FX1" s="202" t="s">
        <v>214</v>
      </c>
      <c r="FY1" s="202" t="s">
        <v>422</v>
      </c>
      <c r="FZ1" s="202" t="s">
        <v>451</v>
      </c>
      <c r="GA1" s="202" t="s">
        <v>452</v>
      </c>
      <c r="GB1" s="202" t="s">
        <v>453</v>
      </c>
      <c r="GC1" s="200" t="s">
        <v>60</v>
      </c>
      <c r="GD1" s="202" t="s">
        <v>454</v>
      </c>
      <c r="GE1" s="202" t="s">
        <v>455</v>
      </c>
      <c r="GF1" s="202" t="s">
        <v>456</v>
      </c>
      <c r="GG1" s="301" t="s">
        <v>602</v>
      </c>
      <c r="GH1" s="301" t="s">
        <v>603</v>
      </c>
      <c r="GI1" s="301" t="s">
        <v>604</v>
      </c>
      <c r="GJ1" s="301" t="s">
        <v>605</v>
      </c>
      <c r="GK1" s="202" t="s">
        <v>368</v>
      </c>
      <c r="GL1" s="202" t="s">
        <v>369</v>
      </c>
      <c r="GM1" s="202" t="s">
        <v>370</v>
      </c>
      <c r="GN1" s="202" t="s">
        <v>371</v>
      </c>
      <c r="GO1" s="202" t="s">
        <v>372</v>
      </c>
      <c r="GP1" s="202" t="s">
        <v>373</v>
      </c>
      <c r="GQ1" s="202" t="s">
        <v>374</v>
      </c>
      <c r="GR1" s="202" t="s">
        <v>375</v>
      </c>
      <c r="GS1" s="202" t="s">
        <v>376</v>
      </c>
      <c r="GT1" s="202" t="s">
        <v>377</v>
      </c>
      <c r="GU1" s="202" t="s">
        <v>378</v>
      </c>
      <c r="GV1" s="202" t="s">
        <v>388</v>
      </c>
      <c r="GW1" s="202" t="s">
        <v>379</v>
      </c>
      <c r="GX1" s="202" t="s">
        <v>380</v>
      </c>
      <c r="GY1" s="202" t="s">
        <v>387</v>
      </c>
      <c r="GZ1" s="202" t="s">
        <v>381</v>
      </c>
      <c r="HA1" s="202" t="s">
        <v>62</v>
      </c>
      <c r="HB1" s="202" t="s">
        <v>65</v>
      </c>
      <c r="HC1" s="202" t="s">
        <v>61</v>
      </c>
      <c r="HD1" s="202" t="s">
        <v>64</v>
      </c>
      <c r="HE1" s="200" t="s">
        <v>366</v>
      </c>
      <c r="HF1" s="200" t="s">
        <v>438</v>
      </c>
      <c r="HG1" s="202" t="s">
        <v>382</v>
      </c>
      <c r="HH1" s="200" t="s">
        <v>66</v>
      </c>
      <c r="HI1" s="200" t="s">
        <v>67</v>
      </c>
      <c r="HJ1" s="200" t="s">
        <v>68</v>
      </c>
      <c r="HK1" s="200" t="s">
        <v>70</v>
      </c>
      <c r="HL1" s="200" t="s">
        <v>71</v>
      </c>
      <c r="HM1" s="200" t="s">
        <v>72</v>
      </c>
      <c r="HN1" s="200" t="s">
        <v>224</v>
      </c>
      <c r="HO1" s="200" t="s">
        <v>73</v>
      </c>
      <c r="HP1" s="200" t="s">
        <v>246</v>
      </c>
      <c r="HQ1" s="200" t="s">
        <v>247</v>
      </c>
      <c r="HR1" s="200" t="s">
        <v>74</v>
      </c>
      <c r="HS1" s="200" t="s">
        <v>251</v>
      </c>
      <c r="HT1" s="200" t="s">
        <v>252</v>
      </c>
      <c r="HU1" s="200" t="s">
        <v>423</v>
      </c>
      <c r="HV1" s="200" t="s">
        <v>424</v>
      </c>
      <c r="HW1" s="200" t="s">
        <v>42</v>
      </c>
      <c r="HX1" s="199" t="s">
        <v>43</v>
      </c>
      <c r="HY1" s="202" t="s">
        <v>497</v>
      </c>
      <c r="HZ1" s="202" t="s">
        <v>401</v>
      </c>
      <c r="IA1" s="202" t="s">
        <v>502</v>
      </c>
      <c r="IB1" s="202" t="s">
        <v>503</v>
      </c>
      <c r="IC1" s="202" t="s">
        <v>504</v>
      </c>
      <c r="ID1" s="246" t="s">
        <v>89</v>
      </c>
      <c r="IE1" s="246" t="s">
        <v>507</v>
      </c>
      <c r="IF1" s="202" t="s">
        <v>746</v>
      </c>
      <c r="IG1" s="202" t="s">
        <v>747</v>
      </c>
      <c r="IH1" s="202" t="s">
        <v>745</v>
      </c>
      <c r="II1" s="202" t="s">
        <v>754</v>
      </c>
      <c r="IJ1" s="202" t="s">
        <v>45</v>
      </c>
      <c r="IK1" s="202" t="s">
        <v>46</v>
      </c>
      <c r="IL1" s="202" t="s">
        <v>57</v>
      </c>
      <c r="IM1" s="200" t="s">
        <v>58</v>
      </c>
      <c r="IN1" s="200" t="s">
        <v>515</v>
      </c>
      <c r="IO1" s="202" t="s">
        <v>516</v>
      </c>
      <c r="IP1" s="200" t="s">
        <v>517</v>
      </c>
      <c r="IQ1" s="201" t="s">
        <v>95</v>
      </c>
      <c r="IR1" s="201" t="s">
        <v>519</v>
      </c>
      <c r="IS1" s="200" t="s">
        <v>37</v>
      </c>
      <c r="IT1" s="200" t="s">
        <v>489</v>
      </c>
      <c r="IU1" s="200" t="s">
        <v>631</v>
      </c>
      <c r="IV1" s="200" t="s">
        <v>384</v>
      </c>
      <c r="IW1" s="200" t="s">
        <v>385</v>
      </c>
      <c r="IX1" s="200" t="s">
        <v>386</v>
      </c>
      <c r="IY1" s="201" t="s">
        <v>495</v>
      </c>
      <c r="IZ1" s="201" t="s">
        <v>230</v>
      </c>
      <c r="JA1" s="201" t="s">
        <v>231</v>
      </c>
      <c r="JB1" s="245" t="s">
        <v>97</v>
      </c>
      <c r="JC1" s="200" t="s">
        <v>98</v>
      </c>
      <c r="JD1" s="200" t="s">
        <v>99</v>
      </c>
      <c r="JE1" s="200" t="s">
        <v>528</v>
      </c>
      <c r="JF1" s="200" t="s">
        <v>529</v>
      </c>
      <c r="JG1" s="199" t="s">
        <v>100</v>
      </c>
      <c r="JH1" s="200" t="s">
        <v>649</v>
      </c>
      <c r="JI1" s="200" t="s">
        <v>644</v>
      </c>
      <c r="JJ1" s="200" t="s">
        <v>645</v>
      </c>
      <c r="JK1" s="200" t="s">
        <v>646</v>
      </c>
      <c r="JL1" s="200" t="s">
        <v>647</v>
      </c>
      <c r="JM1" s="200" t="s">
        <v>648</v>
      </c>
      <c r="JN1" s="248"/>
      <c r="JO1" s="247"/>
      <c r="JP1" s="249"/>
      <c r="JQ1" s="247"/>
      <c r="JR1" s="247"/>
      <c r="JS1" s="247"/>
      <c r="JT1" s="247"/>
      <c r="JU1" s="247"/>
      <c r="JV1" s="248"/>
      <c r="JW1" s="248"/>
      <c r="JX1" s="247"/>
      <c r="JY1" s="247"/>
      <c r="JZ1" s="247"/>
      <c r="KA1" s="247"/>
      <c r="KB1" s="247"/>
      <c r="KC1" s="248"/>
      <c r="KD1" s="248"/>
      <c r="KE1" s="248"/>
      <c r="KF1" s="250"/>
      <c r="KG1" s="247"/>
      <c r="KH1" s="247"/>
      <c r="KI1" s="247"/>
      <c r="KJ1" s="247"/>
      <c r="KK1" s="247"/>
      <c r="KL1" s="251"/>
      <c r="KM1" s="251"/>
      <c r="KN1" s="251"/>
      <c r="KO1" s="251"/>
      <c r="KP1" s="251"/>
      <c r="KQ1" s="251"/>
      <c r="KR1" s="251"/>
      <c r="KS1" s="251"/>
      <c r="KT1" s="251"/>
      <c r="KU1" s="251"/>
    </row>
    <row r="2" spans="1:16347" s="46" customFormat="1" ht="13.5" thickTop="1" x14ac:dyDescent="0.2">
      <c r="A2" s="2" t="s">
        <v>10</v>
      </c>
      <c r="B2" s="168">
        <v>3</v>
      </c>
      <c r="C2" s="168" t="s">
        <v>465</v>
      </c>
      <c r="D2" s="168" t="s">
        <v>17</v>
      </c>
      <c r="E2" s="168"/>
      <c r="F2" s="169"/>
      <c r="G2" s="169"/>
      <c r="H2" s="168"/>
      <c r="I2" s="169"/>
      <c r="J2" s="169" t="s">
        <v>466</v>
      </c>
      <c r="K2" s="169"/>
      <c r="L2" s="169"/>
      <c r="M2" s="169"/>
      <c r="N2" s="169"/>
      <c r="O2" s="169" t="s">
        <v>91</v>
      </c>
      <c r="P2" s="169" t="s">
        <v>417</v>
      </c>
      <c r="Q2" s="168">
        <v>0</v>
      </c>
      <c r="R2" s="169" t="s">
        <v>244</v>
      </c>
      <c r="S2" s="171" t="s">
        <v>22</v>
      </c>
      <c r="T2" s="171"/>
      <c r="U2" s="171" t="s">
        <v>226</v>
      </c>
      <c r="V2" s="65">
        <v>16510</v>
      </c>
      <c r="W2" s="65">
        <v>17078</v>
      </c>
      <c r="X2" s="65">
        <f>IF(W2&gt;0,W2,V2)</f>
        <v>17078</v>
      </c>
      <c r="Y2" s="65"/>
      <c r="Z2" s="65">
        <f>IF(AND(O2="Y",P2="R",NOT(ISBLANK(Y2))),Y2,IF(OR(U2="D",U2="W",U2="S"),"NULL",IF(W2&gt;0,W2,DATE(YEAR(V2)+IF(R2="M",4,-4),MONTH(V2),DAY(V2)))))</f>
        <v>17078</v>
      </c>
      <c r="AA2" s="65">
        <v>25430</v>
      </c>
      <c r="AB2" s="170">
        <f>IF(C2="383849567",[1]!NRD(AA2,0),IF(D2="2",[1]!NRD(AA2,0),IF(AA2&lt;DATE(1985,1,1),DATE(1985,4,1),AA2)))</f>
        <v>31138</v>
      </c>
      <c r="AC2" s="170">
        <f>IF(AA2&lt;DATE(1985,1,1),DATE(1985,4,1),AA2)</f>
        <v>31138</v>
      </c>
      <c r="AD2" s="170" t="str">
        <f>IF(AA2=AB2,"Y","N")</f>
        <v>N</v>
      </c>
      <c r="AE2" s="170">
        <v>38275</v>
      </c>
      <c r="AF2" s="170">
        <v>36617</v>
      </c>
      <c r="AG2" s="170">
        <v>39889</v>
      </c>
      <c r="AH2" s="170">
        <v>36617</v>
      </c>
      <c r="AI2" s="170"/>
      <c r="AJ2" s="170"/>
      <c r="AK2" s="170"/>
      <c r="AL2" s="169">
        <f>IF(AH2&lt;AB2,0,[1]!SERVYPA(AB2,AH2,AB2,1000))</f>
        <v>15</v>
      </c>
      <c r="AM2" s="169">
        <f>IF(AH2&lt;AB2,0,[1]!SERVYPA(AB2,AH2,Plan_Date,1000))</f>
        <v>15</v>
      </c>
      <c r="AN2" s="168">
        <v>33</v>
      </c>
      <c r="AO2" s="168">
        <f>IF(AL2=0,AL2,AL2-3)</f>
        <v>12</v>
      </c>
      <c r="AP2" s="170">
        <f>[1]!NRD(DATE(YEAR(AB2)+20,MONTH(AB2),DAY(AB2)),0)</f>
        <v>38443</v>
      </c>
      <c r="AQ2" s="170">
        <f>[1]!NRD(DATE(YEAR(V2)+57,MONTH(V2),DAY(V2)),0)</f>
        <v>37347</v>
      </c>
      <c r="AR2" s="170" t="str">
        <f>IF(AQ2&gt;AP2,"Y","N")</f>
        <v>N</v>
      </c>
      <c r="AS2" s="170">
        <f>[1]!NRD(DATE(YEAR(V2)+65,MONTH(V2),DAY(V2)),0)</f>
        <v>40269</v>
      </c>
      <c r="AT2" s="168">
        <f>[1]!ATT(V2,AP2)</f>
        <v>60</v>
      </c>
      <c r="AU2" s="170">
        <f>[1]!NRD(DATE(YEAR(V2)+65,MONTH(V2),DAY(V2)),0)</f>
        <v>40269</v>
      </c>
      <c r="AV2" s="168">
        <f>[1]!anb(V2,IF(AQ2&gt;=AP2,AQ2,AP2))</f>
        <v>60</v>
      </c>
      <c r="AW2" s="170">
        <f>MIN(IF(AQ2&gt;=AP2,AQ2,AP2),AS2)</f>
        <v>38443</v>
      </c>
      <c r="AX2" s="170" t="str">
        <f>IF(AE2&lt;=AW2,"Y","N")</f>
        <v>Y</v>
      </c>
      <c r="AY2" s="170" t="str">
        <f>IF(AQ2&gt;AP2,"Y","N")</f>
        <v>N</v>
      </c>
      <c r="AZ2" s="65">
        <f>MIN(IF(AQ2&gt;=AP2,AQ2,AP2),AS2)</f>
        <v>38443</v>
      </c>
      <c r="BA2" s="168">
        <f>[1]!anb(V2,AZ2)</f>
        <v>60</v>
      </c>
      <c r="BB2" s="168">
        <f>[1]!anb(V2,IF(AQ2&gt;=AP2,AQ2,AP2))</f>
        <v>60</v>
      </c>
      <c r="BC2" s="317">
        <f>[1]!COMPAYM(V2,IF(AQ2&gt;=AP2,AQ2,AP2))</f>
        <v>60</v>
      </c>
      <c r="BD2" s="169">
        <f>[1]!SERVYPA(AB2,AZ2,AB2,1000)</f>
        <v>20</v>
      </c>
      <c r="BE2" s="169">
        <f>[1]!SERVYPA(AB2,AZ2,AB2,1000)</f>
        <v>20</v>
      </c>
      <c r="BF2" s="169">
        <f>[1]!SERVYPA(AB2,AW2,Plan_Date,1000)</f>
        <v>20</v>
      </c>
      <c r="BG2" s="169">
        <f>[1]!COMPAM(AB2,AW2)/12-ROUNDDOWN(([1]!COMPAM(AB2,AW2)/12),0)</f>
        <v>0</v>
      </c>
      <c r="BH2" s="169">
        <f>[1]!COMPAM(AB2,AW2)/12</f>
        <v>20</v>
      </c>
      <c r="BI2" s="169">
        <f>[1]!SERVYPA(AA2,AZ2,AA2,1000)</f>
        <v>36</v>
      </c>
      <c r="BJ2" s="169">
        <f>IF(BI2&lt;=25,1,IF(BI2&lt;30,2,IF(BI2&gt;=30,3)))</f>
        <v>3</v>
      </c>
      <c r="BK2" s="169">
        <f>[1]!anb(AB2,AW2)</f>
        <v>20</v>
      </c>
      <c r="BL2" s="169">
        <v>38.333300000000001</v>
      </c>
      <c r="BM2" s="296">
        <f>ROUND(MIN(AL2/BD2,1),6)</f>
        <v>0.75</v>
      </c>
      <c r="BN2" s="173">
        <f>ROUND(MIN(BD2/20,1), 4)</f>
        <v>1</v>
      </c>
      <c r="BO2" s="168">
        <f>IF(AND(BI2&gt;20,BI2&lt;25),25,IF(AND(BI2&gt;25,BI2&lt;30),30,IF(BI2=20,0,IF(BI2=25,0,IF(BI2&gt;=30,0)))))</f>
        <v>0</v>
      </c>
      <c r="BP2" s="168">
        <f>IF(AND(BI2&gt;20,BI2&lt;25),20,IF(AND(BI2&gt;25,BI2&lt;30),25,IF(BI2=20,0,IF(BI2=25,0,IF(BI2&gt;=30,0)))))</f>
        <v>0</v>
      </c>
      <c r="BQ2" s="168">
        <f>[1]!SERVYPA(AA2,AZ2,AA2,1000)</f>
        <v>36</v>
      </c>
      <c r="BR2" s="172">
        <f>ROUND(VLOOKUP(BB2,Bene_Amt,IF(BI2&lt;=25,2,IF(BI2&lt;30,3,IF(BI2&gt;=30,4))),FALSE),2)</f>
        <v>2100</v>
      </c>
      <c r="BS2" s="172">
        <f>ROUND(VLOOKUP(BB2,Bene_Amt,IF(BI2&lt;=25,2,IF(BI2&lt;30,3,IF(BI2&gt;=30,4))),FALSE),2)</f>
        <v>2100</v>
      </c>
      <c r="BT2" s="172">
        <f>VLOOKUP(BB2,Bene_Amt,IF(AND(BI2&gt;20,BI2&lt;25),3,IF(AND(BI2&gt;25,BI2&lt;30),4,IF(BI2=20,2,IF(BI2=25,3,IF(BI2&gt;=30,4))))),FALSE)</f>
        <v>2100</v>
      </c>
      <c r="BU2" s="172">
        <f>(BT2-BS2)/5</f>
        <v>0</v>
      </c>
      <c r="BV2" s="168">
        <f>IF(BI2&gt;=30,0,IF(BI2&gt;=30,BI2-30,IF(BI2&gt;=25,BI2-25,IF(BI2&gt;=20,BI2-20))))</f>
        <v>0</v>
      </c>
      <c r="BW2" s="172">
        <f>ROUND((((BT2-BS2)/5)*BV2),2)</f>
        <v>0</v>
      </c>
      <c r="BX2" s="172">
        <f>ROUND(VLOOKUP(BB2,Bene_Amt,IF(BI2&lt;=25,2,IF(BI2&lt;30,3,IF(BI2&gt;=30,4))),FALSE)+((BT2-BS2)/5)*IF(BI2&gt;=30,BI2-30,IF(BI2&gt;=25,BI2-25,IF(BI2&gt;=20,BI2-20))),2)</f>
        <v>2100</v>
      </c>
      <c r="BY2" s="172">
        <f>ROUND((VLOOKUP(BB2,Bene_Amt,IF(BI2&lt;=25,2,IF(BI2&lt;30,3,IF(BI2&gt;=30,4))),FALSE)*BM2),2)</f>
        <v>1575</v>
      </c>
      <c r="BZ2" s="172">
        <f>ROUND((VLOOKUP(BB2,Bene_Amt,IF(BI2&lt;=25,2,IF(BI2&lt;30,3,IF(BI2&gt;=30,4))),FALSE)+((BT2-BS2)/5)*IF(BI2&gt;=30,BI2-30,IF(BI2&gt;=25,BI2-25,IF(BI2&gt;=20,BI2-20))))*BM2,2)</f>
        <v>1575</v>
      </c>
      <c r="CA2" s="172">
        <f>ROUND((BM2*BX2),2)</f>
        <v>1575</v>
      </c>
      <c r="CB2" s="172">
        <v>3596.18</v>
      </c>
      <c r="CC2" s="168">
        <f>[1]!ATT(V2,PC3_Date)</f>
        <v>61</v>
      </c>
      <c r="CD2" s="172">
        <f>IF([1]!ATT(V2,PC3_Date)&gt;=57,ROUND(VLOOKUP(IF([1]!ATT(V2,PC3_Date)&lt;57,57,[1]!ATT(V2,PC3_Date)),Bene_Amt,IF(BI2&lt;=25,2,IF(BI2&lt;30,3,IF(BI2&gt;=30,4))),FALSE)+((BT2-BS2)/5)*IF(BI2&gt;=30,BI2-30,IF(BI2&gt;=25,BI2-25,IF(BI2&gt;=20,BI2-20))),2),0)</f>
        <v>2200</v>
      </c>
      <c r="CE2" s="174">
        <f>ROUND((BM2*CD2),2)</f>
        <v>1650</v>
      </c>
      <c r="CF2" s="174"/>
      <c r="CG2" s="175">
        <f>[1]!SERVYPA(AA2,MIN(AE2,AG2),Plan_Date,1000)</f>
        <v>36</v>
      </c>
      <c r="CH2" s="176">
        <v>1</v>
      </c>
      <c r="CI2" s="177">
        <f>ROUND(BZ2*CH2,2)</f>
        <v>1575</v>
      </c>
      <c r="CJ2" s="171">
        <f>[1]!anb(V2,DOPT)</f>
        <v>64</v>
      </c>
      <c r="CK2" s="171">
        <f>IF(Z2="NULL","NULL",IF(Z2&gt;DOPT,0,[1]!anb(Z2,DOPT)))</f>
        <v>63</v>
      </c>
      <c r="CL2" s="182">
        <f>PBGC_MAX</f>
        <v>4500</v>
      </c>
      <c r="CM2" s="178">
        <f>MAX(AZ2,[1]!NRD(DOPT,0))</f>
        <v>40026</v>
      </c>
      <c r="CN2" s="179">
        <f>IF(AZ2&lt;DOPT,CJ2,BB2)</f>
        <v>64</v>
      </c>
      <c r="CO2" s="178">
        <f>DATE(YEAR(V2)+CN2,MONTH(V2),DAY(V2))</f>
        <v>39886</v>
      </c>
      <c r="CP2" s="178">
        <f>CM2</f>
        <v>40026</v>
      </c>
      <c r="CQ2" s="179">
        <f>MAX(CJ2,BB2)</f>
        <v>64</v>
      </c>
      <c r="CR2" s="177" t="str">
        <f>IF(D2="2","IMM",[1]!BL(DOPT,V2,AE2,"N","Y","Y",B2,IF(CO2&lt;DOPT,MAX(CN2,65),CN2),CI2))</f>
        <v>MED</v>
      </c>
      <c r="CS2" s="171">
        <f>[1]!anb(V2,DOPT)</f>
        <v>64</v>
      </c>
      <c r="CT2" s="171">
        <f>MAX(BB2,CJ2)</f>
        <v>64</v>
      </c>
      <c r="CU2" s="171">
        <f>MAX(BB2,CJ2)</f>
        <v>64</v>
      </c>
      <c r="CV2" s="178">
        <f>IF(CU2=CJ2,CP2,[1]!XRD2(B2,DOPT,CP2,CU2,V2,1))</f>
        <v>40026</v>
      </c>
      <c r="CW2" s="179">
        <f>IF(Z2="NULL","NULL",[1]!sxra(CV2,Z2))</f>
        <v>63</v>
      </c>
      <c r="CX2" s="179">
        <f>CU2-CJ2</f>
        <v>0</v>
      </c>
      <c r="CY2" s="184" t="s">
        <v>32</v>
      </c>
      <c r="CZ2" s="184" t="s">
        <v>253</v>
      </c>
      <c r="DA2" s="171">
        <f>0</f>
        <v>0</v>
      </c>
      <c r="DB2" s="176">
        <v>0.5</v>
      </c>
      <c r="DC2" s="171">
        <v>0</v>
      </c>
      <c r="DD2" s="171">
        <v>0</v>
      </c>
      <c r="DE2" s="171" t="s">
        <v>587</v>
      </c>
      <c r="DF2" s="171"/>
      <c r="DG2" s="171" t="str">
        <f>IF(OR(U2="S",U2="W",U2="D",D2="2"),"2","9")</f>
        <v>9</v>
      </c>
      <c r="DH2" s="176">
        <f>IF(DG2=CZ2,DB2,DA2)</f>
        <v>0.5</v>
      </c>
      <c r="DI2" s="171">
        <f>IF(DG2=CZ2,DD2,DC2)</f>
        <v>0</v>
      </c>
      <c r="DJ2" s="171">
        <f>+CU2</f>
        <v>64</v>
      </c>
      <c r="DK2" s="171">
        <v>999</v>
      </c>
      <c r="DL2" s="171">
        <f>IF(CV2&lt;AZ2,[1]!COMPM(CV2,AZ2),0)</f>
        <v>0</v>
      </c>
      <c r="DM2" s="183">
        <f>IF(AE2&lt;=DATE(2000,1,1),ROUND([1]!NPVF("MX","SLA","N",ERFB,"M",65-DL2/12,65,0,0,0,0,"GM71","GM71","P","","")/[1]!NPVF("MX","SLA","N",ERFB,"M",65-DL2/12,65-DL2/12,0,0,0,0,"GM71","GM71","P","",""),4),IF(AE2&lt;DATE(2003,4,1),ROUND([1]!NPVF("MX","SLA","N",ERF,"M",65-DL2/12,65,0,0,0,0,"GM83","GM83","P","","")/[1]!NPVF("MX","SLA","N",ERF,"M",65-DL2/12,65-DL2/12,0,0,0,0,"GM83","GM83","P","",""),4),IF(AE2&gt;=DATE(2003,4,1),ROUND([1]!NPVF("MX","SLA","N",ERF,"M",65-DL2/12,65,0,0,0,0,"GU94","GU94","P","","")/[1]!NPVF("MX","SLA","N",ERF,"M",65-DL2/12,65-DL2/12,0,0,0,0,"GU94","GU94","P","",""),4))))</f>
        <v>1</v>
      </c>
      <c r="DN2" s="179">
        <f>[1]!anb(V2,CV2)</f>
        <v>64</v>
      </c>
      <c r="DO2" s="179">
        <f>IF(OR(Z2="NULL",ISBLANK(Z2)),"NULL",[1]!anb(Z2,CV2))</f>
        <v>63</v>
      </c>
      <c r="DP2" s="180">
        <f>IF(AND(DG2="2",D2="1"),1,ROUND([1]!NPVF("MP","SLA","N",BFCF_Rates1,"M",DN2,DN2,DO2,0,0,0,"GU94","GU94","P","","")/[1]!NPVF("MP","JSC","N",BFCF_Rates1,"M",DN2,DN2,DO2,0.5,0,0,"GU94","GU94","P","",""),4))</f>
        <v>0.92620000000000002</v>
      </c>
      <c r="DQ2" s="185">
        <f>MIN(180,[1]!COMPM(AZ2,MAX(AZ2,CV2)))</f>
        <v>52</v>
      </c>
      <c r="DR2" s="180">
        <f>VLOOKUP(DQ2,LRFTABLE1,2,FALSE)</f>
        <v>1.4417</v>
      </c>
      <c r="DS2" s="177">
        <f>ROUND((ROUND(CI2,2)*ROUND(DM2,4)*ROUND(DP2,4)*ROUND(DR2,4)),2)</f>
        <v>2103.1</v>
      </c>
      <c r="DT2" s="177">
        <f>DS2</f>
        <v>2103.1</v>
      </c>
      <c r="DU2" s="180">
        <f>[1]!SERVYPA(AA2,MIN(AE2,PC3_Date),Plan_Date,1000)</f>
        <v>36</v>
      </c>
      <c r="DV2" s="308">
        <f>VLOOKUP(DU2,Vesting_Table,2)</f>
        <v>1</v>
      </c>
      <c r="DW2" s="177">
        <f>ROUND(CE2*DV2,2)</f>
        <v>1650</v>
      </c>
      <c r="DX2" s="177">
        <f>CI2</f>
        <v>1575</v>
      </c>
      <c r="DY2" s="171">
        <f>[1]!anb(V2,PC3_Date)</f>
        <v>61</v>
      </c>
      <c r="DZ2" s="171">
        <f>IF(U2="S",0,[1]!anb(IF(NOT(ISBLANK(W2)),W2,Z2),PC3_Date))</f>
        <v>59</v>
      </c>
      <c r="EA2" s="180" t="str">
        <f>IF([1]!ATT(V2,PC3_Date)&gt;=57,"Y","N")</f>
        <v>Y</v>
      </c>
      <c r="EB2" s="180">
        <f>IF(EA2="N","NULL",IF(OR(U2="S",U2="W"),1,ROUND([1]!NPVF("MP","SLA","N",BFCF_Rates1,"M",DY2,DY2,DZ2,0,0,0,"GU94","GU94","P","","")/[1]!NPVF("MP","JSC","N",BFCF_Rates1,"M",DY2,DY2,DZ2,0.5,0,0,"GU94","GU94","P","",""),4)))</f>
        <v>0.93230000000000002</v>
      </c>
      <c r="EC2" s="171">
        <f>IF(EA2="N","NULL",IF(PC3_Date&lt;=AZ2,[1]!COMPM(PC3_Date,AZ2),0))</f>
        <v>0</v>
      </c>
      <c r="ED2" s="180">
        <f>IF(EA2="N","NULL",IF(AE2&lt;DATE(2000,1,1),ROUND([1]!NPVF("MX","SLA","N",ERFB,"M",65,65+EC2/12,0,0,0,0,"GM71","GM71","P","","")/[1]!NPVF("MX","SLA","N",ERFB,"M",65,65,0,0,0,0,"GM71","GM71","P","",""),4),IF(AE2&lt;DATE(2003,4,1),ROUND([1]!NPVF("MX","SLA","N",ERF,"M",65,65+EC2/12,0,0,0,0,"GM83","GM83","P","","")/[1]!NPVF("MX","SLA","N",ERF,"M",65,65,DO2,0,0,0,"GM83","GM83","P","",""),4),IF(AE2&gt;=DATE(2003,4,1),ROUND([1]!NPVF("MX","SLA","N",ERF,"M",65,65+EC2/12,0,0,0,0,"GU94","GU94","P","","")/[1]!NPVF("MX","SLA","N",ERF,"M",65,65,0,0,0,0,"GU94","GU94","P","",""),4)))))</f>
        <v>1</v>
      </c>
      <c r="EE2" s="171">
        <f>IF(EA2="N","NULL",IF(PC3_Date&gt;AZ2,[1]!COMPM(AZ2,PC3_Date),0))</f>
        <v>11</v>
      </c>
      <c r="EF2" s="180">
        <f>IF(EA2="N","NULL",VLOOKUP(EE2,LRFTABLE1,2,FALSE))</f>
        <v>1.0791999999999999</v>
      </c>
      <c r="EG2" s="277">
        <f>IF(EA2="N",0,ROUND((ROUND(DW2,2)*ROUND(EB2,4)*ROUND(ED2,4)*ROUND(EF2,4)*IF(D2="2",0.5,1)),2))</f>
        <v>1660.13</v>
      </c>
      <c r="EH2" s="177">
        <f>DS2</f>
        <v>2103.1</v>
      </c>
      <c r="EI2" s="190">
        <f>IF(EA2="N","NULL",ROUND(EG2*FW2*12,0))</f>
        <v>260197</v>
      </c>
      <c r="EJ2" s="190">
        <f>IF(EA2="N","NULL",IF(DATE(YEAR(V2)+55,MONTH(V2),DAY(V2))&lt;PC3_Date,ROUND(EG2*0.5*FX2*12,0),0))</f>
        <v>0</v>
      </c>
      <c r="EK2" s="278">
        <f>IF(EA2="N","NULL",ROUND((EI2+EJ2)*GC2,0))</f>
        <v>4944</v>
      </c>
      <c r="EL2" s="278">
        <f>IF(EA2="N","NULL",ROUND(EI2+EJ2+EK2,0))</f>
        <v>265141</v>
      </c>
      <c r="EM2" s="278">
        <f>IF(EA2="N","NULL",ROUND(EI2+EJ2+EK2+EQ2+(EQ2*ROUND(GC2,6)),0))</f>
        <v>265141</v>
      </c>
      <c r="EN2" s="279">
        <v>1</v>
      </c>
      <c r="EO2" s="280">
        <f>ROUND(IF(EA2="Y",EG2,0)*EN2,2)</f>
        <v>1660.13</v>
      </c>
      <c r="EP2" s="280">
        <f>MIN(IF(EG2&gt;DT2,(EG2-EA2),0),MAX(EG2,DT2)-EO2)</f>
        <v>0</v>
      </c>
      <c r="EQ2" s="280">
        <f>ROUND((EP2*FW2*12),0)</f>
        <v>0</v>
      </c>
      <c r="ER2" s="280">
        <f>ROUND(((1 + GC2)*EQ2),0)</f>
        <v>0</v>
      </c>
      <c r="ES2" s="177">
        <f>ROUND(MAX(ROUND((DT2),2)-IF(EA2="Y",EG2,0),0),2)</f>
        <v>442.97</v>
      </c>
      <c r="ET2" s="190">
        <f>ROUND((ROUND(ES2,2)*ROUND(FW2,4)*12),0)</f>
        <v>69428</v>
      </c>
      <c r="EU2" s="190">
        <f>ROUND((ES2*0.5*FX2*12),0)</f>
        <v>0</v>
      </c>
      <c r="EV2" s="190">
        <f>ROUND((ET2+EU2)*GC2,0)</f>
        <v>1319</v>
      </c>
      <c r="EW2" s="190">
        <f xml:space="preserve"> ET2 +EU2 + EV2</f>
        <v>70747</v>
      </c>
      <c r="EX2" s="181">
        <f>IF(EO2&gt;DT2,MAX(MIN(ROUND(DT2,2),ROUND(EG2,2)),EO2),MIN(ROUND(DT2,2),ROUND(EG2,2)))+ IF(EG2&lt;ROUND(DT2,2),ROUND(ES2,6),0)</f>
        <v>2103.1000000000004</v>
      </c>
      <c r="EY2" s="181">
        <f>DS2</f>
        <v>2103.1</v>
      </c>
      <c r="EZ2" s="181" t="str">
        <f>IF(EX2=EY2,"Y","N")</f>
        <v>Y</v>
      </c>
      <c r="FA2" s="181">
        <v>0</v>
      </c>
      <c r="FB2" s="177">
        <f>ROUND(ROUND((ROUND(CI2,2)*ROUND(DM2,4)*ROUND(DP2,4)*ROUND(DR2,4)),2)*IF(D2="2",0.5,1),2)</f>
        <v>2103.1</v>
      </c>
      <c r="FC2" s="177">
        <f>IF(OR(AND(U2="M",,FR2&gt;5000,NOT(ISBLANK(AI2)),OR(ISBLANK(AJ2),AJ2&gt;AI2)),AND(DE2="Y")),ROUND(FB2*0.5,2),IF(OR(ISBLANK(AI2),AND(DG2&lt;&gt;"9",DG2&lt;&gt;"0"),AND(NOT(ISBLANK(AI2)),NOT(ISBLANK(AJ2)),O2&lt;&gt;"Y",AJ2&lt;=AI2),AND(NOT(ISBLANK(AI2)),NOT(ISBLANK(AK2)),O2="Y",AK2&lt;=AI2)),"NULL",IF(AND(AI2&gt;CV2,DF2="3"),IF(AND(DG2="9",DH2=0.5),ROUND(FN2*0.5,2),IF(DH2=0.75,ROUND(FO2*0.75,2),IF(DH2=1,FP2,ROUND(FQ2*0.5,2)))),ROUND(FB2*DH2,2))))</f>
        <v>1051.55</v>
      </c>
      <c r="FD2" s="177"/>
      <c r="FE2" s="177"/>
      <c r="FF2" s="177" t="str">
        <f>IF(OR(FA2=0),"NULL","Under Section 4022(c) of ERISA, PBGC has allocated additional funds to non-guaranteed benefits based on PBGC's experience in recovering on claims against plan sponsors. PBGC has, therefore, increased your monthly benefit, as shown below.")</f>
        <v>NULL</v>
      </c>
      <c r="FG2" s="206" t="str">
        <f>IF(OR(DF2="0",DF2="1",DF2="2",AND(NOT(ISBLANK(AI2)),AI2&lt;CV2,D2="1",FC2="NULL"),AND(U2="S",O2="N"),D2&lt;&gt;"1"),"NULL",IF(OR(DG2="2",DG2="5"),FB2,"NULL"))</f>
        <v>NULL</v>
      </c>
      <c r="FH2" s="206" t="str">
        <f>IF(OR(DF2="0",DF2="1",DF2="2",AND(NOT(ISBLANK(AI2)),AI2&lt;CV2,D2="1",FC2="NULL")),"NULL",IF(OR(D2="4",AND(NOT(ISBLANK(AI2)),AI2&lt;CV2)),IF(D2="1",FC2,FB2)*[1]!NPVF2("MP","SLA","N",PBGC_Option_Rates,"M",DO2,DO2,0,0,0,0,"AA20","AA20","P","","")*12,IF(OR(DG2="2",DG2="5"),FB2*[1]!NPVF2("MP","SLA","N",PBGC_Option_Rates,"M",DN2,DN2,0,0,DI2,0,"AA20","AA20","P","","")*12,"NULL")))</f>
        <v>NULL</v>
      </c>
      <c r="FI2" s="207" t="str">
        <f>IF(OR(DF2="0",DF2="1",DF2="2",AND(NOT(ISBLANK(AI2)),AI2&lt;CV2,D2="1",FC2="NULL")),"NULL",IF(OR(D2="4",AND(NOT(ISBLANK(AI2)),AI2&lt;CV2)),ROUND(FH2/[1]!NPVF2("MP","SLA","N",PBGC_Option_Rates,"M",DO2,DO2,0,0,0,0,"AA20","AA20","P","","")/12,2),IF(OR(DG2="2",DG2="5"),ROUND(FH2/[1]!NPVF2("MP","SLA","N",PBGC_Option_Rates,"M",DN2,DN2,0,0,0,0,"AA20","AA20","P","","")/12,2),"NULL")))</f>
        <v>NULL</v>
      </c>
      <c r="FJ2" s="207" t="str">
        <f>IF(OR(DF2="0",DF2="1",DF2="2",AND(NOT(ISBLANK(AI2)),AI2&lt;CV2,D2="1",FC2="NULL")),"NULL",IF(OR(D2="4",AND(NOT(ISBLANK(AI2)),AI2&lt;CV2)),ROUND(FH2/[1]!NPVF2("MP","SLA","N",PBGC_Option_Rates,"M",DO2,DO2,0,0,60,0,"AA20","AA20","P","","")/12,2),IF(OR(DG2="2",DG2="5"),ROUND(FH2/[1]!NPVF2("MP","SLA","N",PBGC_Option_Rates,"M",DN2,DN2,0,0,60,0,"AA20","AA20","P","","")/12,2),"NULL")))</f>
        <v>NULL</v>
      </c>
      <c r="FK2" s="207" t="str">
        <f>IF(OR(DF2="0",DF2="1",DF2="2",AND(NOT(ISBLANK(AI2)),AI2&lt;CV2,D2="1",FC2="NULL")),"NULL",IF(OR(D2="4",AND(NOT(ISBLANK(AI2)),AI2&lt;CV2)),ROUND(FH2/[1]!NPVF2("MP","SLA","N",PBGC_Option_Rates,"M",DO2,DO2,0,0,120,0,"AA20","AA20","P","","")/12,2),IF(OR(DG2="2",DG2="5"),ROUND(FH2/[1]!NPVF2("MP","SLA","N",PBGC_Option_Rates,"M",DN2,DN2,0,0,120,0,"AA20","AA20","P","","")/12,2),"NULL")))</f>
        <v>NULL</v>
      </c>
      <c r="FL2" s="207" t="str">
        <f>IF(OR(DF2="0",DF2="1",DF2="2",AND(NOT(ISBLANK(AI2)),AI2&lt;CV2,D2="1",FC2="NULL")),"NULL",IF(OR(D2="4",AND(NOT(ISBLANK(AI2)),AI2&lt;CV2)),ROUND(FH2/[1]!NPVF2("MP","SLA","N",PBGC_Option_Rates,"M",DO2,DO2,0,0,180,0,"AA20","AA20","P","","")/12,2),IF(OR(DG2="2",DG2="5"),ROUND(FH2/[1]!NPVF2("MP","SLA","N",PBGC_Option_Rates,"M",DN2,DN2,0,0,180,0,"AA20","AA20","P","","")/12,2),"NULL")))</f>
        <v>NULL</v>
      </c>
      <c r="FM2" s="207">
        <f>IF(OR(DF2="0",DF2="1",DF2="2"),"NULL",IF(AND(OR(DG2="9",DG2="0"),D2="1",OR(ISBLANK(AI2),AI2&gt;CV2)),FB2*[1]!NPVF2("MP","JSC","N",PBGC_Option_Rates,"M",DN2,DN2,DO2,DB2,DD2,0,"AA20","AA20","P","","")*12,"NULL"))</f>
        <v>299770.85439848213</v>
      </c>
      <c r="FN2" s="207">
        <f>IF(OR(DF2="0",DF2="1",DF2="2"),"NULL",IF(AND(OR(DG2="9",DG2="0"),D2="1",OR(ISBLANK(AI2),AI2&gt;CV2)),ROUND(FM2/[1]!NPVF2("MP","JSC","N",PBGC_Option_Rates,"M",DN2,DN2,DO2,0.5,0,0,"AA20","AA20","P","","")/12,2),"NULL"))</f>
        <v>2103.1</v>
      </c>
      <c r="FO2" s="207">
        <f>IF(OR(DF2="0",DF2="1",DF2="2"),"NULL",IF(AND(OR(DG2="9",DG2="0"),D2="1",OR(ISBLANK(AI2),AI2&gt;CV2)),ROUND(FM2/[1]!NPVF2("MP","JSC","N",PBGC_Option_Rates,"M",DN2,DN2,DO2,0.75,0,0,"AA20","AA20","P","","")/12,2),"NULL"))</f>
        <v>2020.89</v>
      </c>
      <c r="FP2" s="207">
        <f>IF(OR(DF2="0",DF2="1",DF2="2"),"NULL",IF(AND(OR(DG2="9",DG2="0"),D2="1",OR(ISBLANK(AI2),AI2&gt;CV2)),ROUND(FM2/[1]!NPVF2("MP","JSC","N",PBGC_Option_Rates,"M",DN2,DN2,DO2,1,0,0,"AA20","AA20","P","","")/12,2),"NULL"))</f>
        <v>1944.86</v>
      </c>
      <c r="FQ2" s="207" t="str">
        <f>IF(OR(DF2="0",DF2="1",DF2="2"),"NULL",IF(AND(OR(DG2="9",DG2="0"),D2="1",OR(ISBLANK(AI2),AI2&gt;CV2),FI2&lt;&gt;"NULL"),ROUND((FM2-(FI2*([1]!NPVF2("MP","SLA","N",PBGC_Option_Rates,"M",DN2,DN2,0,0,0,0,"AA20","AA20","P","","")-[1]!NPVF2("MP","JSJ","N",PBGC_Option_Rates,"M",DN2,DN2,DO2,0,0,0,"AA20","AA20","P","",""))*12))/(([1]!NPVF2("MP","JSC","N",PBGC_Option_Rates,"M",DN2,DN2,DO2,0.5,0,0,"AA20","AA20","P","","")-[1]!NPVF2("MP","SLA","N",PBGC_Option_Rates,"M",DN2,DN2,0,0,0,0,"AA20","AA20","P","","")+[1]!NPVF2("MP","JSJ","N",PBGC_Option_Rates,"M",DN2,DN2,DO2,0,0,0,"AA20","AA20","P","",""))*12),2),"NULL"))</f>
        <v>NULL</v>
      </c>
      <c r="FR2" s="177"/>
      <c r="FS2" s="177"/>
      <c r="FT2" s="177" t="str">
        <f>IF(OR(ISBLANK(DF2),DF2&lt;&gt;"3"),"NULL",IF(DG2="2",FI2,IF(DG2="0",FQ2,IF(DH2=0.5,FN2,IF(DH2=0.75,FO2,IF(DH2=1,FP2,IF(DI2=60,FJ2,IF(DI2=120,FK2,FL2))))))))</f>
        <v>NULL</v>
      </c>
      <c r="FU2" s="177" t="str">
        <f>IF(OR(ISBLANK(FR2)),"NULL",IF(AND(IF(ISBLANK(FS2),FR2,FS2)&gt;IF(OR(NOT(ISBLANK(FS2)),FT2="NULL"),IF(FC2="NULL",FB2,FC2),FT2),IF(ISBLANK(FS2),FR2,FS2)-IF(OR(NOT(ISBLANK(FS2)),FT2="NULL"),IF(FC2="NULL",FB2,FC2),FT2)&gt;=5),"D",IF(AND(IF(ISBLANK(FS2),FR2,FS2)&gt;IF(OR(NOT(ISBLANK(FS2)),FT2="NULL"),IF(FC2="NULL",FB2,FC2),FT2),IF(ISBLANK(FS2),FR2,FS2)-IF(OR(NOT(ISBLANK(FS2)),FT2="NULL"),IF(FC2="NULL",FB2,FC2),FT2)&lt;5),"N",IF(IF(ISBLANK(FS2),FR2,FS2)=IF(OR(NOT(ISBLANK(FS2)),FT2="NULL"),IF(FC2="NULL",FB2,FC2),FT2),"M","I"))))</f>
        <v>NULL</v>
      </c>
      <c r="FV2" s="177" t="str">
        <f>IF(OR(ISBLANK(FR2)),"NULL",IF(FU2="D","Your current monthly benefit of $"&amp;TEXT(IF(ISBLANK(FS2),FR2,FS2),"000.00")&amp;" will decrease to $"&amp;TEXT(IF(OR(NOT(ISBLANK(FS2)),FT2="NULL"),IF(FC2="NULL",FB2,FC2),FT2),"000.00")&amp;" because of the limitations placed on the monthly benefit payable at DOPT.  See the Benefit Calculation section for further details.",IF(FU2="N","Your current monthly benefit of $"&amp;TEXT(IF(ISBLANK(FS2),FR2,FS2),"000.00")&amp;" will not change. Although the amount of the PBGC monthly benefit shown above is slightly less than the amount you are currently receiving, we will not change the amount of your current monthly benefit",IF(FU2="I","Your current monthly benefit of $"&amp;TEXT(IF(ISBLANK(FS2),FR2,FS2),"000.00")&amp;" will increase to $"&amp;TEXT(IF(OR(NOT(ISBLANK(FS2)),FT2="NULL"),IF(FC2="NULL",FB2,FC2),FT2),"000.00")&amp;".","Your current monthly benefit of $"&amp;TEXT(IF(ISBLANK(FS2),FR2,FS2),"000.00")&amp;" will not change."))))</f>
        <v>NULL</v>
      </c>
      <c r="FW2" s="180">
        <f>ROUND([1]!NPVF2("MP",IF(DG2="9","JSC","SLA"),"N",Annuity_Rates,IF(D2="2",S2,R2),IF(D2="2",CK2,CJ2),CU2,IF(CW2="NULL",0,CW2),DH2,DI2,0,DOPT,DOPT,"P","","",Q2),4)</f>
        <v>13.0611</v>
      </c>
      <c r="FX2" s="186">
        <f>IF(OR(CJ2=CU2,DG2="2"),0,ROUND((1-[1]!lx(IF(R2="M","2M09","2F09"),R2,CU2)/[1]!lx(IF(R2="M","2M09","2F09"),R2,CJ2))*[1]!NPVF2("MP","SLA","N",Annuity_Rates,IF(R2="M","F","M"),CK2,CW2,0,0,0,0,"2M09","2F09","N","","",""),4))</f>
        <v>0</v>
      </c>
      <c r="FY2" s="186">
        <f>IF(CJ2=CU2,0,ROUND(1-[1]!lx(IF(R2="M","2M09","2F09"),R2,CU2)/[1]!lx(IF(R2="M","2M09","2F09"),R2,CJ2),4))</f>
        <v>0</v>
      </c>
      <c r="FZ2" s="190">
        <f>ROUND(ROUND(DS2,2)*ROUND(FW2,4)*12,0)</f>
        <v>329626</v>
      </c>
      <c r="GA2" s="187">
        <f>ROUND(DS2*0.5*FX2*12,0)</f>
        <v>0</v>
      </c>
      <c r="GB2" s="187">
        <f>FZ2 +  GA2</f>
        <v>329626</v>
      </c>
      <c r="GC2" s="279">
        <f>Load_Percent</f>
        <v>1.9E-2</v>
      </c>
      <c r="GD2" s="190">
        <f>ROUND(GB2*GC2,0)</f>
        <v>6263</v>
      </c>
      <c r="GE2" s="190">
        <f>GB2+GD2</f>
        <v>335889</v>
      </c>
      <c r="GF2" s="187">
        <f>GA2 + GB2</f>
        <v>329626</v>
      </c>
      <c r="GG2" s="280">
        <f>DS2- DT2</f>
        <v>0</v>
      </c>
      <c r="GH2" s="187">
        <f>ROUND(GG2*0.5*FX2*12,0)</f>
        <v>0</v>
      </c>
      <c r="GI2" s="187">
        <f>ROUND((GG2*FW2*12)*GC2,0)</f>
        <v>0</v>
      </c>
      <c r="GJ2" s="187">
        <f>(GG2*FW2*12)+GI2</f>
        <v>0</v>
      </c>
      <c r="GK2" s="187">
        <f>ROUND(EX2*FW2*12,0)</f>
        <v>329626</v>
      </c>
      <c r="GL2" s="187">
        <f>GK2</f>
        <v>329626</v>
      </c>
      <c r="GM2" s="187">
        <f>ROUND(FA2*FW2*12,0)</f>
        <v>0</v>
      </c>
      <c r="GN2" s="187">
        <f>GK2+GM2</f>
        <v>329626</v>
      </c>
      <c r="GO2" s="187">
        <f>ROUND(EX2*0.5*FX2*12,0)</f>
        <v>0</v>
      </c>
      <c r="GP2" s="187">
        <f>GO2</f>
        <v>0</v>
      </c>
      <c r="GQ2" s="187">
        <f>ROUND(FA2*0.5*FX2*12,0)</f>
        <v>0</v>
      </c>
      <c r="GR2" s="187">
        <f>GO2+GQ2</f>
        <v>0</v>
      </c>
      <c r="GS2" s="188">
        <f>GK2+GO2</f>
        <v>329626</v>
      </c>
      <c r="GT2" s="189">
        <f>GS2</f>
        <v>329626</v>
      </c>
      <c r="GU2" s="189">
        <f>GM2+GQ2</f>
        <v>0</v>
      </c>
      <c r="GV2" s="189">
        <f>GS2+GU2</f>
        <v>329626</v>
      </c>
      <c r="GW2" s="188">
        <f>ROUND(GS2*GC2,0)</f>
        <v>6263</v>
      </c>
      <c r="GX2" s="189">
        <f>GW2</f>
        <v>6263</v>
      </c>
      <c r="GY2" s="189">
        <f>ROUND(GU2*GC2,0)</f>
        <v>0</v>
      </c>
      <c r="GZ2" s="189">
        <f>GW2+GY2</f>
        <v>6263</v>
      </c>
      <c r="HA2" s="189">
        <f>GS2+GW2</f>
        <v>335889</v>
      </c>
      <c r="HB2" s="189">
        <f>IF(EM2="NULL",0,EM2)+EW2</f>
        <v>335888</v>
      </c>
      <c r="HC2" s="189">
        <f>GU2+GY2</f>
        <v>0</v>
      </c>
      <c r="HD2" s="189">
        <f>HA2+HC2</f>
        <v>335889</v>
      </c>
      <c r="HE2" s="180">
        <f>IF(OR(DG2="2",DG2="5",DO2=0),1,ROUND([1]!NPVF("MP","SLA","N",BFCF_Rates1,"M",DN2,DN2,0,0,0,0,"GU94","GU94","P","","")/[1]!NPVF("MP","JSC","N",BFCF_Rates1,"M",DN2,DN2,IF(ISBLANK(W2),DN2,DO2),0.5,0,0,"GU94","GU94","P","",""),4))</f>
        <v>0.92620000000000002</v>
      </c>
      <c r="HF2" s="180">
        <f>IF(OR(DG2="2",DG2="5",DO2=0),1,ROUND(HE2/DP2,4))</f>
        <v>1</v>
      </c>
      <c r="HG2" s="177">
        <f>ROUND((ROUND(FB2,2)*ROUND(HF2,4)),2)</f>
        <v>2103.1</v>
      </c>
      <c r="HH2" s="171">
        <f>ROUND([1]!NPVF2("MP",IF(DG2="9","JSC","SLA"),"O",LS_Rates,R2,CJ2,CU2,IF(ISBLANK(W2),CU2,IF(CW2="NULL",0,CW2)),DH2,DI2,0,DOPT,DOPT,"P","",""),4)</f>
        <v>13.788600000000001</v>
      </c>
      <c r="HI2" s="190">
        <f>ROUND(12*ROUND(HH2,4)*IF(HG2="NULL",ROUND(FB2,2),ROUND(HG2,2)),0)</f>
        <v>347986</v>
      </c>
      <c r="HJ2" s="171" t="str">
        <f>IF(HI2&gt;5000,"N","Y")</f>
        <v>N</v>
      </c>
      <c r="HK2" s="171" t="str">
        <f>IF(HJ2="Y","L","A")</f>
        <v>A</v>
      </c>
      <c r="HL2" s="190">
        <f>ROUND(GV2*IF(D2="1",CJ2,CK2),0)</f>
        <v>21096064</v>
      </c>
      <c r="HM2" s="190">
        <f>ROUND(GV2*IF(D2="1",CU2,CW2),0)</f>
        <v>21096064</v>
      </c>
      <c r="HN2" s="190" t="str">
        <f>IF(D2="2","SB",IF(CV2&lt;AZ2,"ER","NR"))</f>
        <v>NR</v>
      </c>
      <c r="HO2" s="177">
        <f>ROUND(CI2*DM2*DR2,2)</f>
        <v>2270.6799999999998</v>
      </c>
      <c r="HP2" s="177" t="str">
        <f>IF(B2="1","N","Y")</f>
        <v>Y</v>
      </c>
      <c r="HQ2" s="177" t="str">
        <f>IF(ISBLANK(IS2),"Y","N")</f>
        <v>Y</v>
      </c>
      <c r="HR2" s="191">
        <v>0</v>
      </c>
      <c r="HS2" s="192" t="s">
        <v>226</v>
      </c>
      <c r="HT2" s="192" t="s">
        <v>226</v>
      </c>
      <c r="HU2" s="194">
        <f>IF(OR(DG2="5",DG2="1"),0,ROUND([1]!NPVF2("MP","SLA","O",DOPT,IF(R2="M","F","M"),IF(ISBLANK(W2),CJ2,IF(Z2="NULL",CJ2,CK2)),IF(ISBLANK(W2),DN2,IF(Z2="NULL",DN2,DO2)),0,0,0,0,DOPT,DOPT,"P","",""),4))</f>
        <v>12.5349</v>
      </c>
      <c r="HV2" s="225">
        <f>IF(OR(DG2="5",DG2="2"),0,ROUND(ROUND(IF(HG2="NULL",FB2,HG2)*0.5,2)*HU2*12,0))</f>
        <v>158173</v>
      </c>
      <c r="HW2" s="241">
        <f ca="1">MAX(DATE(YEAR([1]!NRD(TODAY(),0)),MONTH([1]!NRD(TODAY(),0)),(DAY([1]!NRD(TODAY(),0)))),CM2)</f>
        <v>45748</v>
      </c>
      <c r="HX2" s="241">
        <v>73020</v>
      </c>
      <c r="HY2" s="46">
        <f ca="1">IF(HW2&gt;AZ2,[1]!COMPM(AZ2,HW2),0)</f>
        <v>240</v>
      </c>
      <c r="HZ2" s="180" t="e">
        <f ca="1">VLOOKUP(HY2,LRFTABLE1,2,FALSE)</f>
        <v>#N/A</v>
      </c>
      <c r="IA2" s="171">
        <f ca="1">[1]!anb($V2,HW2)</f>
        <v>80</v>
      </c>
      <c r="IB2" s="46">
        <f ca="1">IF(U2="S",0,([1]!anb(IF(NOT(ISBLANK($W2)),W2,Z2),HW2)))</f>
        <v>78</v>
      </c>
      <c r="IC2" s="180">
        <f ca="1">IF(U2="S",1,ROUND([1]!NPVF("MP","SLA","N",BFCF_Rates1,"M",IA2,IA2,IB2,0,0,0,"GU94","GU94","P","","")/[1]!NPVF("MP","JSC","N",BFCF_Rates1,"M",IA2,IA2,IB2,0.5,0,0,"GU94","GU94","P","",""),4))</f>
        <v>0.86070000000000002</v>
      </c>
      <c r="ID2" s="181" t="e">
        <f ca="1">ROUND((CI2*HZ2),2)</f>
        <v>#N/A</v>
      </c>
      <c r="IE2" s="181" t="str">
        <f>IF(ISBLANK(AI2),"NULL",ROUND(ID2*IC2*0.5,2))</f>
        <v>NULL</v>
      </c>
      <c r="IF2" s="178">
        <f>DATE(YEAR(V2)+70,MONTH(V2)+6,DAY(V2))</f>
        <v>42261</v>
      </c>
      <c r="IG2" s="178">
        <f>DATE(YEAR(IF2)+1,4,1)</f>
        <v>42461</v>
      </c>
      <c r="IH2" s="178">
        <f>IF(AND(D2="1",AI2&gt;0,AI2&gt;DOPT,AI2&lt;IG2),DATE(YEAR(MAX(DATE(YEAR(AI2)+1,1,1),IF2,AZ2)),12,1),IF(OR(D2="2",AND(AI2&gt;0,AI2&gt;DOPT,AI2&lt;IG2)),DATE(YEAR(MAX(DATE(YEAR(AI2)+1,1,1),IF2,AZ2)),12,1),MAX(AZ2,IG2)))</f>
        <v>42461</v>
      </c>
      <c r="II2" s="178">
        <f>IF(OR(D2="2",AND(AI2&gt;0,AI2&gt;DOPT,AI2&lt;IG2)),DATE(YEAR(MAX(DATE(YEAR(AI2)+1,1,1),IF2,AZ2)),12,1),MAX(AZ2,IG2))</f>
        <v>42461</v>
      </c>
      <c r="IJ2" s="241">
        <f ca="1">MAX(DATE(YEAR([1]!NRD(TODAY(),0)),MONTH([1]!NRD(TODAY(),0)),(DAY([1]!NRD(TODAY(),0)))),CP2)</f>
        <v>45748</v>
      </c>
      <c r="IK2" s="65">
        <v>73020</v>
      </c>
      <c r="IL2" s="179">
        <f ca="1">IF(IJ2&lt;AZ2,[1]!COMPM(IJ2,AZ2),0)</f>
        <v>0</v>
      </c>
      <c r="IM2" s="242">
        <f ca="1">IF(AE2&lt;=DATE(2000,1,1),ROUND([1]!NPVF("MX","SLA","N",ERFB,"M",65-IL2/12,65,0,0,0,0,"GM71","GM71","P","","")/[1]!NPVF("MX","SLA","N",ERFB,"M",65-IL2/12,65-IL2/12,0,0,0,0,"GM71","GM71","P","",""),4),IF(AE2&lt;DATE(2003,4,1),ROUND([1]!NPVF("MX","SLA","N",ERF,"M",65-IL2/12,65,0,0,0,0,"GM83","GM83","P","","")/[1]!NPVF("MX","SLA","N",ERF,"M",65-IL2/12,65-IL2/12,0,0,0,0,"GM83","GM83","P","",""),4),IF(AE2&gt;=DATE(2003,4,1),ROUND([1]!NPVF("MX","SLA","N",ERF,"M",65-IL2/12,65,0,0,0,0,"GU94","GU94","P","","")/[1]!NPVF("MX","SLA","N",ERF,"M",65-IL2/12,65-IL2/12,0,0,0,0,"GU94","GU94","P","",""),4))))</f>
        <v>1</v>
      </c>
      <c r="IN2" s="46">
        <f ca="1">[1]!anb($V2,IJ2)</f>
        <v>80</v>
      </c>
      <c r="IO2" s="46">
        <f ca="1">IF(U2="S",0,[1]!anb(IF(NOT(ISBLANK($W2)),W2,Z2),IJ2))</f>
        <v>78</v>
      </c>
      <c r="IP2" s="242">
        <f ca="1">IF(U2="S",1,ROUND([1]!NPVF("MP","SLA","N",BFCF_Rates1,"M",IN2,IN2,IO2,0,0,0,"GU94","GU94","P","","")/[1]!NPVF("MP","JSC","N",BFCF_Rates1,"M",IN2,IN2,IO2,0.5,0,0,"GU94","GU94","P","",""),4))</f>
        <v>0.86070000000000002</v>
      </c>
      <c r="IQ2" s="244" t="e">
        <f ca="1">ROUND((ROUND(CI2,2)*ROUND(IM2,4)*ROUND(HZ2,4)),2)</f>
        <v>#N/A</v>
      </c>
      <c r="IR2" s="181" t="str">
        <f>IF(ISBLANK(AI2),"NULL",ROUND(IQ2*IP2*0.5,2))</f>
        <v>NULL</v>
      </c>
      <c r="IS2" s="178"/>
      <c r="IU2" s="46">
        <f>[1]!anb(V2,CV2)</f>
        <v>64</v>
      </c>
      <c r="IV2" s="239" t="str">
        <f>IF(ISBLANK(IS2),"NULL",IF(OR(U2="S",U2="W",U2="D",D2="2"),"2","9"))</f>
        <v>NULL</v>
      </c>
      <c r="IW2" s="240" t="str">
        <f>IF(IS2="","NULL",IF(OR(IV2="2",IV2="5"),0,IF(OR(IV2="9",IV2="0"),0.5,)))</f>
        <v>NULL</v>
      </c>
      <c r="IZ2" s="179" t="str">
        <f>IF(OR(ISBLANK(IS2),ISBLANK(IV2)),"NULL",[1]!anb(V2,IS2))</f>
        <v>NULL</v>
      </c>
      <c r="JA2" s="179" t="str">
        <f>IF(OR(ISBLANK(IS2),ISBLANK(IV2),ISBLANK(W2)),"NULL",[1]!anb(Z2,IS2))</f>
        <v>NULL</v>
      </c>
      <c r="JB2" s="242" t="str">
        <f>IF(OR(ISBLANK(IS2),ISBLANK(IV2),JA2="NULL"),"NULL",ROUND([1]!NPVF("MX","SLA","N",BFCF_Rates1,"M",IZ2,IZ2,JA2,0,0,0,"GU94","GU94","P","","")/[1]!NPVF("MX","JSC","N",BFCF_Rates1,"M",IZ2,IZ2,JA2,0.5,0,0,"GU94","GU94","P","",""),4))</f>
        <v>NULL</v>
      </c>
      <c r="JC2" s="171" t="str">
        <f>IF(OR(ISBLANK(IS2),ISBLANK(IV2)),"NULL",IF(IS2&lt;AZ2,[1]!COMPM(IS2,AZ2),0))</f>
        <v>NULL</v>
      </c>
      <c r="JD2" s="242" t="str">
        <f>IF(OR(ISBLANK(IS2),ISBLANK(IV2)),"NULL",IF(CB2&lt;=DATE(2000,1,1),ROUND([1]!NPVF("MX","SLA","N",ERFB,"M",65-JC2/12,65,0,0,0,0,"GM71","GM71","P","","")/[1]!NPVF("MX","SLA","N",ERFB,"M",65-JC2/12,65-JC2/12,0,0,0,0,"GM71","GM71","P","",""),4),IF(CB2&lt;DATE(2003,4,1),ROUND([1]!NPVF("MX","SLA","N",ERF,"M",65-JC2/12,65,0,0,0,0,"GM83","GM83","N","","")/[1]!NPVF("MX","SLA","N",ERF,"M",65-JC2/12,65-JC2/12,0,0,0,0,"GM83","GM83","N","",""),4),IF(CB2&gt;=DATE(2003,4,1),ROUND([1]!NPVF("MX","SLA","N",ERF,"M",65-JC2/12,65,0,0,0,0,"GU94","GU94","N","","")/[1]!NPVF("MX","SLA","N",ERF,"M",65-JC2/12,65-JC2/12,0,0,0,0,"GU94","GU94","N","",""),4)))))</f>
        <v>NULL</v>
      </c>
      <c r="JE2" s="171" t="str">
        <f>IF(OR(ISBLANK(IS2),ISBLANK(IV2)),"NULL",IF(IS2&gt;AZ2,MIN(180,[1]!COMPM(AZ2,IS2)),0))</f>
        <v>NULL</v>
      </c>
      <c r="JF2" s="180" t="str">
        <f>IF(OR(ISBLANK(IS2),ISBLANK(IV2)),"NULL",(VLOOKUP(JE2,LRFTABLE1,2,FALSE)))</f>
        <v>NULL</v>
      </c>
      <c r="JG2" s="177" t="str">
        <f>IF(OR(ISBLANK(IS2),ISBLANK(IV2),JA2="NULL"),"NULL",ROUND(ROUND(CI2,2)*ROUND(JB2,4)*ROUND(JD2,4)*ROUND(JF2,4),2))</f>
        <v>NULL</v>
      </c>
      <c r="JH2" s="192" t="str">
        <f t="shared" ref="JH2:JM2" si="0">"N"</f>
        <v>N</v>
      </c>
      <c r="JI2" s="192" t="str">
        <f t="shared" si="0"/>
        <v>N</v>
      </c>
      <c r="JJ2" s="192" t="str">
        <f t="shared" si="0"/>
        <v>N</v>
      </c>
      <c r="JK2" s="192" t="str">
        <f t="shared" si="0"/>
        <v>N</v>
      </c>
      <c r="JL2" s="192" t="str">
        <f t="shared" si="0"/>
        <v>N</v>
      </c>
      <c r="JM2" s="192" t="str">
        <f t="shared" si="0"/>
        <v>N</v>
      </c>
    </row>
    <row r="3" spans="1:16347" s="64" customFormat="1" ht="13.5" thickBot="1" x14ac:dyDescent="0.25">
      <c r="A3" s="13"/>
      <c r="B3" s="14"/>
      <c r="C3" s="14"/>
      <c r="D3" s="14"/>
      <c r="E3" s="14"/>
      <c r="F3" s="15"/>
      <c r="G3" s="15"/>
      <c r="H3" s="15"/>
      <c r="I3" s="15"/>
      <c r="J3" s="15"/>
      <c r="K3" s="15"/>
      <c r="L3" s="15"/>
      <c r="M3" s="310"/>
      <c r="N3" s="15"/>
      <c r="O3" s="15"/>
      <c r="P3" s="310"/>
      <c r="Q3" s="15"/>
      <c r="R3" s="15"/>
      <c r="S3" s="17"/>
      <c r="T3" s="17"/>
      <c r="U3" s="17"/>
      <c r="V3" s="16"/>
      <c r="W3" s="16"/>
      <c r="X3" s="309"/>
      <c r="Y3" s="16"/>
      <c r="Z3" s="16"/>
      <c r="AA3" s="16"/>
      <c r="AB3" s="18"/>
      <c r="AC3" s="304"/>
      <c r="AD3" s="304"/>
      <c r="AE3" s="18"/>
      <c r="AF3" s="18"/>
      <c r="AG3" s="304"/>
      <c r="AH3" s="18"/>
      <c r="AI3" s="18"/>
      <c r="AJ3" s="18"/>
      <c r="AK3" s="18"/>
      <c r="AL3" s="18"/>
      <c r="AM3" s="304"/>
      <c r="AN3" s="18"/>
      <c r="AO3" s="18"/>
      <c r="AP3" s="18"/>
      <c r="AQ3" s="18"/>
      <c r="AR3" s="304"/>
      <c r="AS3" s="304"/>
      <c r="AT3" s="304"/>
      <c r="AU3" s="304"/>
      <c r="AV3" s="304"/>
      <c r="AW3" s="304"/>
      <c r="AX3" s="304"/>
      <c r="AY3" s="304"/>
      <c r="AZ3" s="18"/>
      <c r="BA3" s="304"/>
      <c r="BB3" s="18"/>
      <c r="BC3" s="304"/>
      <c r="BD3" s="18"/>
      <c r="BE3" s="304"/>
      <c r="BF3" s="304"/>
      <c r="BG3" s="304"/>
      <c r="BH3" s="304"/>
      <c r="BI3" s="304"/>
      <c r="BJ3" s="304"/>
      <c r="BK3" s="304"/>
      <c r="BL3" s="18"/>
      <c r="BM3" s="18"/>
      <c r="BN3" s="18"/>
      <c r="BO3" s="304"/>
      <c r="BP3" s="304"/>
      <c r="BQ3" s="304"/>
      <c r="BR3" s="304"/>
      <c r="BS3" s="304"/>
      <c r="BT3" s="304"/>
      <c r="BU3" s="304"/>
      <c r="BV3" s="304"/>
      <c r="BW3" s="304"/>
      <c r="BX3" s="304"/>
      <c r="BY3" s="304"/>
      <c r="BZ3" s="18"/>
      <c r="CA3" s="304"/>
      <c r="CB3" s="18"/>
      <c r="CC3" s="304"/>
      <c r="CD3" s="304"/>
      <c r="CE3" s="18"/>
      <c r="CF3" s="18"/>
      <c r="CG3" s="17"/>
      <c r="CH3" s="22"/>
      <c r="CI3" s="23"/>
      <c r="CJ3" s="17"/>
      <c r="CK3" s="17"/>
      <c r="CL3" s="32"/>
      <c r="CM3" s="29"/>
      <c r="CN3" s="30"/>
      <c r="CO3" s="30"/>
      <c r="CP3" s="29"/>
      <c r="CQ3" s="30"/>
      <c r="CR3" s="23"/>
      <c r="CS3" s="264"/>
      <c r="CT3" s="264"/>
      <c r="CU3" s="17"/>
      <c r="CV3" s="29"/>
      <c r="CW3" s="30"/>
      <c r="CX3" s="326"/>
      <c r="CY3" s="21"/>
      <c r="CZ3" s="21"/>
      <c r="DA3" s="17"/>
      <c r="DB3" s="22"/>
      <c r="DC3" s="17"/>
      <c r="DD3" s="17"/>
      <c r="DE3" s="17"/>
      <c r="DF3" s="23"/>
      <c r="DG3" s="17"/>
      <c r="DH3" s="22"/>
      <c r="DI3" s="17"/>
      <c r="DJ3" s="17"/>
      <c r="DK3" s="17"/>
      <c r="DL3" s="17"/>
      <c r="DM3" s="31"/>
      <c r="DN3" s="30"/>
      <c r="DO3" s="30"/>
      <c r="DP3" s="20"/>
      <c r="DQ3" s="19"/>
      <c r="DR3" s="20"/>
      <c r="DS3" s="23"/>
      <c r="DT3" s="264"/>
      <c r="DU3" s="268"/>
      <c r="DV3" s="268"/>
      <c r="DW3" s="268"/>
      <c r="DX3" s="268"/>
      <c r="DY3" s="268"/>
      <c r="DZ3" s="268"/>
      <c r="EA3" s="268"/>
      <c r="EB3" s="268"/>
      <c r="EC3" s="268"/>
      <c r="ED3" s="268"/>
      <c r="EE3" s="268"/>
      <c r="EF3" s="268"/>
      <c r="EG3" s="268"/>
      <c r="EH3" s="268"/>
      <c r="EI3" s="268"/>
      <c r="EJ3" s="268"/>
      <c r="EK3" s="268"/>
      <c r="EL3" s="268"/>
      <c r="EM3" s="268"/>
      <c r="EN3" s="268"/>
      <c r="EO3" s="268"/>
      <c r="EP3" s="268"/>
      <c r="EQ3" s="268"/>
      <c r="ER3" s="268"/>
      <c r="ES3" s="264"/>
      <c r="ET3" s="264"/>
      <c r="EU3" s="264"/>
      <c r="EV3" s="264"/>
      <c r="EW3" s="264"/>
      <c r="EX3" s="32"/>
      <c r="EY3" s="300"/>
      <c r="EZ3" s="300"/>
      <c r="FA3" s="32"/>
      <c r="FB3" s="23"/>
      <c r="FC3" s="23"/>
      <c r="FD3" s="23"/>
      <c r="FE3" s="23"/>
      <c r="FF3" s="23"/>
      <c r="FG3" s="208"/>
      <c r="FH3" s="208"/>
      <c r="FI3" s="208"/>
      <c r="FJ3" s="208"/>
      <c r="FK3" s="208"/>
      <c r="FL3" s="208"/>
      <c r="FM3" s="208"/>
      <c r="FN3" s="208"/>
      <c r="FO3" s="208"/>
      <c r="FP3" s="208"/>
      <c r="FQ3" s="208"/>
      <c r="FR3" s="23"/>
      <c r="FS3" s="23"/>
      <c r="FT3" s="23"/>
      <c r="FU3" s="23"/>
      <c r="FV3" s="23"/>
      <c r="FW3" s="20"/>
      <c r="FX3" s="61"/>
      <c r="FY3" s="61"/>
      <c r="FZ3" s="260"/>
      <c r="GA3" s="260"/>
      <c r="GB3" s="260"/>
      <c r="GC3" s="260"/>
      <c r="GD3" s="260"/>
      <c r="GE3" s="260"/>
      <c r="GF3" s="260"/>
      <c r="GG3" s="260"/>
      <c r="GH3" s="260"/>
      <c r="GI3" s="260"/>
      <c r="GJ3" s="260"/>
      <c r="GK3" s="43"/>
      <c r="GL3" s="43"/>
      <c r="GM3" s="43"/>
      <c r="GN3" s="43"/>
      <c r="GO3" s="43"/>
      <c r="GP3" s="43"/>
      <c r="GQ3" s="43"/>
      <c r="GR3" s="43"/>
      <c r="GS3" s="44"/>
      <c r="GT3" s="45"/>
      <c r="GU3" s="45"/>
      <c r="GV3" s="45"/>
      <c r="GW3" s="44"/>
      <c r="GX3" s="45"/>
      <c r="GY3" s="45"/>
      <c r="GZ3" s="45"/>
      <c r="HA3" s="45"/>
      <c r="HB3" s="45"/>
      <c r="HC3" s="45"/>
      <c r="HD3" s="45"/>
      <c r="HE3" s="20"/>
      <c r="HF3" s="20"/>
      <c r="HG3" s="23"/>
      <c r="HH3" s="17"/>
      <c r="HI3" s="24"/>
      <c r="HJ3" s="17"/>
      <c r="HK3" s="17"/>
      <c r="HL3" s="24"/>
      <c r="HM3" s="24"/>
      <c r="HN3" s="24"/>
      <c r="HO3" s="23"/>
      <c r="HP3" s="23"/>
      <c r="HQ3" s="23"/>
      <c r="HR3" s="21"/>
      <c r="HS3" s="23"/>
      <c r="HT3" s="23"/>
      <c r="HU3" s="23"/>
      <c r="HV3" s="23"/>
      <c r="IF3" s="307"/>
      <c r="IG3" s="307"/>
      <c r="IH3" s="307"/>
      <c r="II3" s="307"/>
      <c r="IU3" s="307"/>
    </row>
    <row r="4" spans="1:16347" s="46" customFormat="1" ht="13.5" thickTop="1" x14ac:dyDescent="0.2">
      <c r="A4" s="4"/>
      <c r="B4" s="5"/>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t="s">
        <v>483</v>
      </c>
      <c r="AQ4" s="6"/>
      <c r="AR4" s="6"/>
      <c r="AS4" s="6"/>
      <c r="AT4" s="6"/>
      <c r="AU4" s="6"/>
      <c r="AV4" s="6" t="s">
        <v>484</v>
      </c>
      <c r="AW4" s="6"/>
      <c r="AX4" s="6"/>
      <c r="AY4" s="6"/>
      <c r="AZ4" s="170">
        <f>IF(AP2&lt;AQ2,AQ2,AP2)</f>
        <v>38443</v>
      </c>
      <c r="BA4" s="6"/>
      <c r="BB4" s="6" t="s">
        <v>582</v>
      </c>
      <c r="BC4" s="6" t="s">
        <v>741</v>
      </c>
      <c r="BD4" s="6" t="s">
        <v>483</v>
      </c>
      <c r="BE4" s="6"/>
      <c r="BF4" s="6"/>
      <c r="BG4" s="6"/>
      <c r="BH4" s="6"/>
      <c r="BI4" s="6" t="s">
        <v>484</v>
      </c>
      <c r="BJ4" s="6"/>
      <c r="BK4" s="6"/>
      <c r="BL4" s="6"/>
      <c r="BM4" s="6"/>
      <c r="BN4" s="6"/>
      <c r="BO4" s="6"/>
      <c r="BP4" s="6"/>
      <c r="BQ4" s="6" t="s">
        <v>484</v>
      </c>
      <c r="BR4" s="6"/>
      <c r="BS4" s="6"/>
      <c r="BT4" s="6"/>
      <c r="BU4" s="6"/>
      <c r="BV4" s="6" t="s">
        <v>483</v>
      </c>
      <c r="BW4" s="6" t="s">
        <v>484</v>
      </c>
      <c r="BX4" s="6" t="s">
        <v>484</v>
      </c>
      <c r="BY4" s="6"/>
      <c r="BZ4" s="6" t="s">
        <v>483</v>
      </c>
      <c r="CA4" s="6"/>
      <c r="CB4" s="6"/>
      <c r="CC4" s="6"/>
      <c r="CD4" s="6" t="s">
        <v>484</v>
      </c>
      <c r="CE4" s="6" t="s">
        <v>654</v>
      </c>
      <c r="CF4" s="6"/>
      <c r="CG4" s="6"/>
      <c r="CH4" s="6"/>
      <c r="CI4" s="6"/>
      <c r="CJ4" s="6"/>
      <c r="CK4" s="6"/>
      <c r="CL4" s="33"/>
      <c r="CM4" s="6" t="s">
        <v>484</v>
      </c>
      <c r="CN4" s="6" t="s">
        <v>483</v>
      </c>
      <c r="CO4" s="6"/>
      <c r="CP4" s="6" t="s">
        <v>483</v>
      </c>
      <c r="CQ4" s="6" t="s">
        <v>483</v>
      </c>
      <c r="CR4" s="6" t="s">
        <v>483</v>
      </c>
      <c r="CS4" s="6"/>
      <c r="CT4" s="6"/>
      <c r="CU4" s="6" t="s">
        <v>483</v>
      </c>
      <c r="CV4" s="6"/>
      <c r="CW4" s="6"/>
      <c r="CX4" s="6"/>
      <c r="CY4" s="6"/>
      <c r="CZ4" s="6"/>
      <c r="DA4" s="6"/>
      <c r="DB4" s="6"/>
      <c r="DC4" s="6"/>
      <c r="DD4" s="6"/>
      <c r="DE4" s="6"/>
      <c r="DF4" s="6"/>
      <c r="DG4" s="6"/>
      <c r="DH4" s="6"/>
      <c r="DI4" s="6"/>
      <c r="DJ4" s="6"/>
      <c r="DK4" s="6"/>
      <c r="DL4" s="311" t="s">
        <v>484</v>
      </c>
      <c r="DM4" s="6"/>
      <c r="DN4" s="6"/>
      <c r="DO4" s="6"/>
      <c r="DP4" s="203"/>
      <c r="DQ4" s="233">
        <f>[1]!COMPM(AZ2,MAX(AZ2,CV2))</f>
        <v>52</v>
      </c>
      <c r="DR4" s="6" t="s">
        <v>483</v>
      </c>
      <c r="DS4" s="6"/>
      <c r="DT4" s="6"/>
      <c r="DU4" s="6"/>
      <c r="DV4" s="6"/>
      <c r="DW4" s="6"/>
      <c r="DX4" s="6"/>
      <c r="DY4" s="6"/>
      <c r="DZ4" s="6"/>
      <c r="EA4" s="6" t="s">
        <v>483</v>
      </c>
      <c r="EB4" s="6" t="s">
        <v>484</v>
      </c>
      <c r="EC4" s="6" t="s">
        <v>484</v>
      </c>
      <c r="ED4" s="6"/>
      <c r="EE4" s="6"/>
      <c r="EF4" s="6"/>
      <c r="EG4" s="6" t="s">
        <v>651</v>
      </c>
      <c r="EH4" s="6"/>
      <c r="EI4" s="6"/>
      <c r="EJ4" s="6"/>
      <c r="EK4" s="6"/>
      <c r="EL4" s="6"/>
      <c r="EM4" s="6"/>
      <c r="EN4" s="6"/>
      <c r="EO4" s="6"/>
      <c r="EP4" s="6"/>
      <c r="EQ4" s="6"/>
      <c r="ER4" s="6"/>
      <c r="ES4" s="6"/>
      <c r="ET4" s="6"/>
      <c r="EU4" s="6"/>
      <c r="EV4" s="6"/>
      <c r="EW4" s="6"/>
      <c r="EX4" s="33"/>
      <c r="EY4" s="33"/>
      <c r="EZ4" s="33"/>
      <c r="FA4" s="33"/>
      <c r="FB4" s="6"/>
      <c r="FC4" s="6" t="s">
        <v>483</v>
      </c>
      <c r="FD4" s="6" t="s">
        <v>483</v>
      </c>
      <c r="FE4" s="6" t="s">
        <v>483</v>
      </c>
      <c r="FF4" s="6" t="s">
        <v>483</v>
      </c>
      <c r="FG4" s="203" t="s">
        <v>484</v>
      </c>
      <c r="FH4" s="203" t="s">
        <v>484</v>
      </c>
      <c r="FI4" s="203" t="s">
        <v>484</v>
      </c>
      <c r="FJ4" s="203" t="s">
        <v>484</v>
      </c>
      <c r="FK4" s="203" t="s">
        <v>484</v>
      </c>
      <c r="FL4" s="203" t="s">
        <v>484</v>
      </c>
      <c r="FM4" s="203" t="s">
        <v>484</v>
      </c>
      <c r="FN4" s="203" t="s">
        <v>484</v>
      </c>
      <c r="FO4" s="203" t="s">
        <v>484</v>
      </c>
      <c r="FP4" s="203" t="s">
        <v>484</v>
      </c>
      <c r="FQ4" s="203" t="s">
        <v>484</v>
      </c>
      <c r="FR4" s="6"/>
      <c r="FS4" s="6"/>
      <c r="FT4" s="6" t="s">
        <v>483</v>
      </c>
      <c r="FU4" s="6" t="s">
        <v>483</v>
      </c>
      <c r="FV4" s="6" t="s">
        <v>483</v>
      </c>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D4" s="6"/>
      <c r="HE4" s="6" t="s">
        <v>483</v>
      </c>
      <c r="HF4" s="6"/>
      <c r="HG4" s="6"/>
      <c r="HH4" s="6"/>
      <c r="HI4" s="6"/>
      <c r="HJ4" s="6"/>
      <c r="HK4" s="6"/>
      <c r="HL4" s="6"/>
      <c r="HM4" s="6"/>
      <c r="HN4" s="6" t="s">
        <v>483</v>
      </c>
      <c r="HO4" s="6"/>
      <c r="HP4" s="6"/>
      <c r="HQ4" s="6"/>
      <c r="HR4" s="6"/>
      <c r="HS4" s="6"/>
      <c r="HT4" s="6"/>
      <c r="HU4" s="6" t="s">
        <v>486</v>
      </c>
      <c r="HV4" s="6"/>
      <c r="HW4" s="46" t="s">
        <v>483</v>
      </c>
      <c r="HZ4" s="46" t="s">
        <v>484</v>
      </c>
      <c r="IC4" s="6" t="s">
        <v>484</v>
      </c>
      <c r="IL4" s="6" t="s">
        <v>484</v>
      </c>
      <c r="IP4" s="46" t="s">
        <v>483</v>
      </c>
      <c r="IV4" s="46" t="s">
        <v>483</v>
      </c>
      <c r="IW4" s="46" t="s">
        <v>483</v>
      </c>
      <c r="JA4" s="46" t="s">
        <v>483</v>
      </c>
      <c r="JB4" s="6" t="s">
        <v>483</v>
      </c>
    </row>
    <row r="5" spans="1:16347" s="46" customFormat="1" ht="25.5" x14ac:dyDescent="0.2">
      <c r="A5" s="1"/>
      <c r="B5" s="7"/>
      <c r="C5" s="6"/>
      <c r="D5" s="6"/>
      <c r="E5" s="6"/>
      <c r="F5" s="6"/>
      <c r="G5" s="6"/>
      <c r="H5" s="6"/>
      <c r="I5" s="6"/>
      <c r="J5" s="6"/>
      <c r="K5" s="6"/>
      <c r="L5" s="6"/>
      <c r="M5" s="6"/>
      <c r="N5" s="6"/>
      <c r="O5" s="6"/>
      <c r="P5" s="6"/>
      <c r="Q5" s="6"/>
      <c r="R5" s="8"/>
      <c r="S5" s="8"/>
      <c r="T5" s="8"/>
      <c r="U5" s="8"/>
      <c r="V5" s="8"/>
      <c r="W5" s="65">
        <v>17078</v>
      </c>
      <c r="X5" s="65"/>
      <c r="Y5" s="8"/>
      <c r="Z5" s="65">
        <f>IF(OR(U2="D",U2="W"),"NULL",IF(W2&gt;0,W2,DATE(YEAR(V2)+IF(R2="M",4,-4),MONTH(V2),DAY(V2))))</f>
        <v>17078</v>
      </c>
      <c r="AA5" s="65">
        <f>IF(AND(O2="Y",P2="R",NOT(ISBLANK(Y2))),Y2,IF(NOT(ISBLANK(W2)),W2,IF(AND(ISBLANK(W2),R2="M"),DATE(YEAR(V2)+4,MONTH(V2),DAY(V2)),DATE(YEAR(V2)-4,MONTH(V2),DAY(V2)))))</f>
        <v>17078</v>
      </c>
      <c r="AB5" s="65">
        <f>IF(AND(O2="Y",P2="R",NOT(ISBLANK(Y2))),Y2,IF(NOT(ISBLANK(W2)),W2,IF(AND(ISBLANK(W2),R2="M"),DATE(YEAR(V2)+4,MONTH(V2),DAY(V2)),DATE(YEAR(V2)-4,MONTH(V2),DAY(V2)))))</f>
        <v>17078</v>
      </c>
      <c r="AC5" s="65"/>
      <c r="AD5" s="6"/>
      <c r="AE5" s="6"/>
      <c r="AF5" s="6"/>
      <c r="AG5" s="6"/>
      <c r="AH5" s="74">
        <f>DATE(YEAR(AE2)-1,MONTH(AE2),DAY(AE2))</f>
        <v>37909</v>
      </c>
      <c r="AI5" s="6"/>
      <c r="AJ5" s="6"/>
      <c r="AK5" s="6"/>
      <c r="AL5" s="6" t="e">
        <f>[1]!SERVYPA(#REF!,DATE(2002,4,27),#REF!,1000)+1+[1]!SERVYPA(DATE(2003,1,1),AE2,DATE(2003,1,1),1000)</f>
        <v>#VALUE!</v>
      </c>
      <c r="AM5" s="6"/>
      <c r="AN5" s="6"/>
      <c r="AO5" s="6">
        <f>[1]!SERVYPA(DATE(2001,4,29),DATE(2001,10,15),DATE(2001,4,29),1000)</f>
        <v>0</v>
      </c>
      <c r="AP5" s="170">
        <f>[1]!NRD(DATE(YEAR(AA2)+20,MONTH(AA2),DAY(AA2)),0)</f>
        <v>32752</v>
      </c>
      <c r="AQ5" s="6"/>
      <c r="AR5" s="6"/>
      <c r="AS5" s="6" t="s">
        <v>484</v>
      </c>
      <c r="AT5" s="168"/>
      <c r="AU5" s="6"/>
      <c r="AV5" s="6">
        <f ca="1">IF(AT2&lt;58,58,[1]!anb(V2,MAX([1]!NRD(TODAY(),0),AP2)))</f>
        <v>80</v>
      </c>
      <c r="AW5" s="170">
        <f>[1]!NRD(V2,AV2)</f>
        <v>38443</v>
      </c>
      <c r="AX5" s="170"/>
      <c r="AY5" s="170"/>
      <c r="AZ5" s="6" t="s">
        <v>483</v>
      </c>
      <c r="BA5" s="6"/>
      <c r="BB5" s="6" t="s">
        <v>484</v>
      </c>
      <c r="BC5" s="6">
        <f>IF([1]!COMPAM(AB2,AZ2)/12-ROUNDDOWN(([1]!COMPAM(AB2,AZ2)/12),0)=0.5,[1]!SERVYPA(AB2,AZ2,AB2,1000)-1,[1]!SERVYPA(AB2,AZ2,AB2,1000))</f>
        <v>20</v>
      </c>
      <c r="BD5" s="6">
        <f>IF(IF(MONTH(AW2)&lt;MONTH(AB2),(MONTH(AW2)+12)-MONTH(AB2),MONTH(AW2)-MONTH(AB2))&lt;7,[1]!SERVYPA(AB2,AW2,AB2,1000),[1]!SERVYPA(AB2,AW2,AB2,1000)+1)</f>
        <v>20</v>
      </c>
      <c r="BE5" s="6"/>
      <c r="BF5" s="6">
        <f>IF(MONTH(AW14)-MONTH(AB14)&lt;=6,1,0)</f>
        <v>1</v>
      </c>
      <c r="BG5" s="6">
        <f>[1]!COMPAM(AB2,AW2)/12</f>
        <v>20</v>
      </c>
      <c r="BH5" s="6"/>
      <c r="BI5" s="6">
        <f>[1]!SERVYPA(AA2,AW2,AA2,1000)</f>
        <v>36</v>
      </c>
      <c r="BJ5" s="6"/>
      <c r="BK5" s="6"/>
      <c r="BL5" s="6">
        <f>IF(IF(MONTH(AZ2)&lt;MONTH(AB2),(MONTH(AZ2)+12)-MONTH(AB2),MONTH(AZ2)-MONTH(AB2))&lt;7,1,0)</f>
        <v>1</v>
      </c>
      <c r="BM5" s="6">
        <f>ROUND(MIN(AL2/BD2, 1),4)</f>
        <v>0.75</v>
      </c>
      <c r="BN5" s="6"/>
      <c r="BO5" s="6"/>
      <c r="BP5" s="6"/>
      <c r="BQ5" s="6">
        <f>[1]!SERVYPA(AB2,AZ2,AB2,1000)</f>
        <v>20</v>
      </c>
      <c r="BR5" s="6"/>
      <c r="BS5" s="6"/>
      <c r="BT5" s="6"/>
      <c r="BU5" s="6"/>
      <c r="BV5" s="6">
        <f>IF(BQ2&gt;=30,0,IF(BQ2&gt;=30,BQ2-30,IF(BQ2&gt;=25,BQ2-25,IF(BQ2&gt;=20,BQ2-20))))</f>
        <v>0</v>
      </c>
      <c r="BW5" s="6">
        <f>ROUND(((BT2-BS2)/5)*IF(BQ2&gt;=30,BQ2-30,IF(BQ2&gt;=25,BQ2-25,IF(BQ2&gt;=20,BQ2-20))),2)</f>
        <v>0</v>
      </c>
      <c r="BX5" s="6">
        <f>ROUND(VLOOKUP(BB2,Bene_Amt,IF(BI2&lt;=25,2,IF(BI2&lt;30,3,IF(BI2&gt;=30,4))),FALSE)+((BT2-BS2)/5)*IF(BQ2&gt;=30,BQ2-30,IF(BQ2&gt;=25,BQ2-25,IF(BQ2&gt;=20,BQ2-20))),2)</f>
        <v>2100</v>
      </c>
      <c r="BY5" s="6"/>
      <c r="BZ5" s="6">
        <f>ROUND((VLOOKUP(BB2,Bene_Amt,IF(BI2&lt;=25,2,IF(BI2&lt;30,3,IF(BI2&gt;=30,4))),FALSE)*BM2),2)</f>
        <v>1575</v>
      </c>
      <c r="CA5" s="6"/>
      <c r="CB5" s="6"/>
      <c r="CC5" s="6"/>
      <c r="CD5" s="6">
        <f>IF(OR([1]!ATT(V2,PC3_Date)&gt;=57,AND(([1]!ATT(V2,PC3_Date)&gt;=50),DU2&gt;=20)),ROUND((VLOOKUP(IF([1]!ATT(V2,PC3_Date)&lt;57,57,[1]!ATT(V2,PC3_Date)),Bene_Amt,2,FALSE)),2),0)</f>
        <v>1200</v>
      </c>
      <c r="CE5" s="6">
        <f>IF(BB2-3&lt;57,0,ROUND((VLOOKUP(BB2-3,Bene_Amt,2,FALSE)*BM2),2))</f>
        <v>656.25</v>
      </c>
      <c r="CF5" s="6"/>
      <c r="CG5" s="8" t="e">
        <f>[1]!SERVYPA(MAX(AA2,#REF!),DATE(2002,4,27),#REF!,1000)+1+[1]!SERVYPA(DATE(2003,1,1),AE2,DATE(2003,1,1),1000)</f>
        <v>#VALUE!</v>
      </c>
      <c r="CH5" s="8" t="e">
        <f>IF(OR(DOPT&gt;=#REF!,AND([1]!ATT(V2,DOPT)&gt;=60,CG2&gt;=30)),1,VLOOKUP(CG2,Vesting_Table,2))</f>
        <v>#REF!</v>
      </c>
      <c r="CI5" s="247" t="s">
        <v>363</v>
      </c>
      <c r="CJ5" s="8"/>
      <c r="CK5" s="8"/>
      <c r="CL5" s="33"/>
      <c r="CM5" s="178">
        <f>MAX(AZ2,[1]!NRD(DOPT,0))</f>
        <v>40026</v>
      </c>
      <c r="CN5" s="27">
        <f>MAX(60,IF(AZ2&lt;DOPT,CJ2,BB2))</f>
        <v>64</v>
      </c>
      <c r="CO5" s="27"/>
      <c r="CP5" s="232">
        <f>IF(CG2&lt;20,CM2,MAX([1]!NRD(V2,50),[1]!NRD(DOPT,0)))</f>
        <v>40026</v>
      </c>
      <c r="CQ5" s="27">
        <f>IF([1]!NRD(V2,50)&lt;DOPT,CJ2,50)</f>
        <v>64</v>
      </c>
      <c r="CR5" s="6" t="str">
        <f>IF(D2="2","IMM",[1]!BL(DOPT,V2,AE2,"N","Y","Y",B2,IF(CO2&lt;DOPT,MAX(CN2,65),CN2),CI2))</f>
        <v>MED</v>
      </c>
      <c r="CS5" s="6"/>
      <c r="CT5" s="6"/>
      <c r="CU5" s="8">
        <f>IF(AZ2&lt;=DOPT,CJ2,[1]!XRA(CR2,CQ2,CN2,DOPT,V2,IF(Z2="NULL",0,Z2),B2,D2))</f>
        <v>64</v>
      </c>
      <c r="CV5" s="74">
        <f>CP2</f>
        <v>40026</v>
      </c>
      <c r="CW5" s="8"/>
      <c r="CX5" s="8"/>
      <c r="CY5" s="6"/>
      <c r="CZ5" s="6"/>
      <c r="DA5" s="8"/>
      <c r="DB5" s="8"/>
      <c r="DC5" s="8"/>
      <c r="DD5" s="8"/>
      <c r="DE5" s="8"/>
      <c r="DF5" s="27"/>
      <c r="DG5" s="8"/>
      <c r="DH5" s="8"/>
      <c r="DI5" s="8"/>
      <c r="DJ5" s="8"/>
      <c r="DK5" s="8"/>
      <c r="DL5" s="8">
        <f>IF(CV2&lt;AZ2,[1]!COMPM(CV2,AZ2),0)</f>
        <v>0</v>
      </c>
      <c r="DM5" s="8" t="e">
        <f>VLOOKUP(DL2,ERF_Table,2)</f>
        <v>#NAME?</v>
      </c>
      <c r="DN5" s="8"/>
      <c r="DO5" s="8"/>
      <c r="DP5" s="8">
        <f>IF(AND(DG2="2",D2="1"),1,IF(AE2&lt;DATE(2000,4,1),ROUND([1]!NPVF("MP","SLA","N",BFCF_Rates,"M",DN2,DN2,DO2,0,0,0,"GM71","GM71","P","","")/[1]!NPVF("MP","JSC","N",BFCF_Rates,"M",DN2,DN2,DO2,0.5,0,0,"GM71","GM71","P","",""),4),IF(AE2&lt;DATE(2003,1,1),ROUND([1]!NPVF("MP","SLA","N",BFCF_Rates1,"M",DN2,DN2,DO2,0,0,0,"GM83","GM83","P","","")/[1]!NPVF("MP","JSC","N",BFCF_Rates1,"M",DN2,DN2,DO2,0.5,0,0,"GM83","GM83","P","",""),4),IF(AE2&gt;=DATE(2003,1,1),ROUND([1]!NPVF("MP","SLA","N",BFCF_Rates1,"M",DN2,DN2,DO2,0,0,0,"GU94","GU94","P","","")/[1]!NPVF("MP","JSC","N",BFCF_Rates1,"M",DN2,DN2,DO2,0.5,0,0,"GU94","GU94","P","",""),4)))))</f>
        <v>0.92620000000000002</v>
      </c>
      <c r="DQ5" s="8">
        <f>[1]!COMPM(DR2,MAX(DR2,FI2))</f>
        <v>0</v>
      </c>
      <c r="DR5" s="8">
        <f>IF($AE2&lt;=DATE(2000,4,1),ROUND([1]!NPVF("MX","SLA","N",LRFB,"M",65,65,0,0,0,0,"GM71","GM71","P","","")/[1]!NPVF("MX","SLA","N",LRFB,"M",65,65+DQ2/12,0,0,0,0,"GM71","GM71","P","",""),4),IF($AE2&lt;DATE(2003,1,1),ROUND([1]!NPVF("MX","SLA","N",LRF,"M",65,65,0,0,0,0,"GM83","GM83","P","","")/[1]!NPVF("MX","SLA","N",LRF,"M",65,65+DQ2/12,DO2,0,0,0,"GM83","GM83","P","",""),4),IF($AE2&gt;=DATE(2003,1,1),ROUND([1]!NPVF("MX","SLA","N",LRF,"M",65,65,0,0,0,0,"GU94","GU94","P","","")/[1]!NPVF("MX","SLA","N",LRF,"M",65,65+DQ2/12,0,0,0,0,"GU94","GU94","P","",""),4))))</f>
        <v>1.5751999999999999</v>
      </c>
      <c r="DS5" s="11" t="s">
        <v>570</v>
      </c>
      <c r="DT5" s="8"/>
      <c r="DU5" s="8"/>
      <c r="DV5" s="8">
        <f>VLOOKUP(CG2-3,Vesting_Table,2)</f>
        <v>1</v>
      </c>
      <c r="DW5" s="8"/>
      <c r="DX5" s="8"/>
      <c r="DY5" s="8">
        <f>[1]!anb(IF(NOT(ISBLANK(W2)),W2,Z2),PC3_Date)</f>
        <v>59</v>
      </c>
      <c r="DZ5" s="287" t="s">
        <v>583</v>
      </c>
      <c r="EA5" s="287" t="str">
        <f>IF(OR([1]!ATT(V2,PC3_Date)&gt;=57,AND(([1]!ATT(V2,PC3_Date)&gt;=50),DU2&gt;=20)),"Y","N")</f>
        <v>Y</v>
      </c>
      <c r="EB5" s="8">
        <f>IF(EA2="N","NULL",IF(OR(U2="S",U2="W"),1,ROUND([1]!NPVF("MP","SLA","N",BFCF_Rates1,"M",DY2,DY2,DZ2,0,0,0,"GU94","GU94","P","","")/[1]!NPVF("MP","JSC","N",BFCF_Rates1,"M",DY2,DY2,DZ2,0.5,0,0,"GU94","GU94","P","",""),4)))</f>
        <v>0.93230000000000002</v>
      </c>
      <c r="EC5" s="8">
        <f>IF(EA2="N","NULL",IF(PC3_Date&lt;=AZ2,[1]!COMPM(PC3_Date,AZ2),0))</f>
        <v>0</v>
      </c>
      <c r="ED5" s="8"/>
      <c r="EE5" s="8"/>
      <c r="EF5" s="8" t="s">
        <v>484</v>
      </c>
      <c r="EG5" s="8">
        <f>IF(EA2="N",0,ROUND((ROUND(CI2,2)*ROUND(EB2,4)*ROUND(ED2,4)*ROUND(EF2,4)*IF(D2="2",0.5,1)),2))</f>
        <v>1584.67</v>
      </c>
      <c r="EH5" s="8"/>
      <c r="EI5" s="8"/>
      <c r="EJ5" s="8"/>
      <c r="EK5" s="8"/>
      <c r="EL5" s="8"/>
      <c r="EM5" s="8"/>
      <c r="EN5" s="8"/>
      <c r="EO5" s="8"/>
      <c r="EP5" s="8"/>
      <c r="EQ5" s="8"/>
      <c r="ER5" s="8"/>
      <c r="ES5" s="8"/>
      <c r="ET5" s="8"/>
      <c r="EU5" s="8"/>
      <c r="EV5" s="8"/>
      <c r="EW5" s="8"/>
      <c r="EX5" s="33" t="s">
        <v>600</v>
      </c>
      <c r="EY5" s="33"/>
      <c r="EZ5" s="33"/>
      <c r="FA5" s="33" t="s">
        <v>483</v>
      </c>
      <c r="FB5" s="27">
        <f>IF(CI2=0,1,ROUND(ROUND((ROUND(CI2,2)*ROUND(DM2,4)*ROUND(DP2,4)*ROUND(DR2,4)),2)*IF(D2="2",0.5,1),2))</f>
        <v>2103.1</v>
      </c>
      <c r="FC5" s="27" t="e">
        <f>IF(OR(AND(U2="M",,FR2&gt;5000,NOT(ISBLANK(AI2)),OR(ISBLANK(AJ2),AJ2&gt;AI2),OR(#REF!="NRD",#REF!="EURD",#REF!="ERD")),AND(DE2="Y",OR(#REF!="R",#REF!="DORNSF",#REF!="DOR"))),ROUND(FB2*0.5,2),IF(OR(ISBLANK(AI2),AND(DG2&lt;&gt;"9",DG2&lt;&gt;"0"),AND(#REF!="XRD",#REF!="V"),AND(NOT(ISBLANK(AI2)),NOT(ISBLANK(AJ2)),O2&lt;&gt;"Y",AJ2&lt;=AI2),AND(NOT(ISBLANK(AI2)),NOT(ISBLANK(AK2)),O2="Y",AK2&lt;=AI2)),"NULL",IF(AND(AI2&gt;CV2,DF2="3"),IF(AND(DG2="9",DH2=0.5),ROUND(FN2*0.5,2),IF(DH2=0.75,ROUND(FO2*0.75,2),IF(DH2=1,FP2,ROUND(FQ2*0.5,2)))),ROUND(FB2*DH2,2))))</f>
        <v>#REF!</v>
      </c>
      <c r="FD5" s="27" t="e">
        <f>IF(OR(#REF!="NRD",#REF!="DOR"),IF(FC2="NULL",IF(NOT(ISBLANK(AI2)),"ESTATE OF ","")&amp;UPPER(F2)&amp;" "&amp;UPPER(G2),IF(AND(#REF!="DOR",O2="Y"),IF(NOT(ISBLANK(AK2)),"ESTATE OF ","")&amp;UPPER(L2)&amp;" "&amp;UPPER(N2),IF(NOT(ISBLANK(AJ2)),"ESTATE OF ","")&amp;UPPER(I2)&amp;" "&amp;UPPER(J2))),"NULL")</f>
        <v>#REF!</v>
      </c>
      <c r="FE5" s="8" t="e">
        <f>IF(OR(#REF!="XRD",#REF!="V"),"NULL","The benefits PBGC guarantees are limited by federal pension law to PBGC's maximum monthly amount that was in effect on the date of plan termination.  This amount is adjusted to reflect the participant's age and form of annuity.")</f>
        <v>#REF!</v>
      </c>
      <c r="FF5" s="8" t="e">
        <f>IF(OR(AND(#REF!="XRD",#REF!="V"),FA2=0),"NULL","Under Section 4022(c) of ERISA, PBGC has allocated additional funds to non-guaranteed benefits based on PBGC's experience in recovering on claims against plan sponsors. PBGC has, therefore, increased your monthly benefit, as shown below.")</f>
        <v>#REF!</v>
      </c>
      <c r="FG5" s="209" t="e">
        <f>IF(OR(AND(#REF!="XRD",#REF!="V"),DF2="0",DF2="1",DF2="2",AND(NOT(ISBLANK(AI2)),AI2&lt;CV2,D2="1",FC2="NULL"),AND(U2="S",O2="N"),D2&lt;&gt;"1"),"NULL",IF(OR(DG2="2",DG2="5"),FB2,"NULL"))</f>
        <v>#REF!</v>
      </c>
      <c r="FH5" s="209" t="e">
        <f>IF(OR(AND(#REF!="XRD",#REF!="V"),DF2="0",DF2="1",DF2="2",AND(NOT(ISBLANK(AI2)),AI2&lt;CV2,D2="1",FC2="NULL")),"NULL",IF(OR(D2="4",AND(NOT(ISBLANK(AI2)),AI2&lt;CV2)),IF(D2="1",FC2,FB2)*[1]!NPVF2("MP","SLA","N",PBGC_Option_Rates,"M",DO2,DO2,0,0,0,0,"AA20","AA20","P","","")*12,IF(OR(DG2="2",DG2="5"),FB2*[1]!NPVF2("MP","SLA","N",PBGC_Option_Rates,"M",DN2,DN2,0,0,IF(#REF!="DORNSF",DI2,DC2),0,"AA20","AA20","P","","")*12,"NULL")))</f>
        <v>#REF!</v>
      </c>
      <c r="FI5" s="209" t="e">
        <f>IF(OR(AND(#REF!="XRD",#REF!="V"),DF2="0",DF2="1",DF2="2",AND(NOT(ISBLANK(AI2)),AI2&lt;CV2,D2="1",FC2="NULL")),"NULL",IF(OR(D2="4",AND(NOT(ISBLANK(AI2)),AI2&lt;CV2)),ROUND(FH2/[1]!NPVF2("MP","SLA","N",PBGC_Option_Rates,"M",DO2,DO2,0,0,0,0,"AA20","AA20","P","","")/12,2),IF(OR(DG2="2",DG2="5"),ROUND(FH2/[1]!NPVF2("MP","SLA","N",PBGC_Option_Rates,"M",DN2,DN2,0,0,0,0,"AA20","AA20","P","","")/12,2),"NULL")))</f>
        <v>#REF!</v>
      </c>
      <c r="FJ5" s="209" t="e">
        <f>IF(OR(AND(#REF!="XRD",#REF!="V"),DF2="0",DF2="1",DF2="2",AND(NOT(ISBLANK(AI2)),AI2&lt;CV2,D2="1",FC2="NULL")),"NULL",IF(OR(D2="4",AND(NOT(ISBLANK(AI2)),AI2&lt;CV2)),ROUND(FH2/[1]!NPVF2("MP","SLA","N",PBGC_Option_Rates,"M",DO2,DO2,0,0,60,0,"AA20","AA20","P","","")/12,2),IF(OR(DG2="2",DG2="5"),ROUND(FH2/[1]!NPVF2("MP","SLA","N",PBGC_Option_Rates,"M",DN2,DN2,0,0,60,0,"AA20","AA20","P","","")/12,2),"NULL")))</f>
        <v>#REF!</v>
      </c>
      <c r="FK5" s="209" t="e">
        <f>IF(OR(AND(#REF!="XRD",#REF!="V"),DF2="0",DF2="1",DF2="2",AND(NOT(ISBLANK(AI2)),AI2&lt;CV2,D2="1",FC2="NULL")),"NULL",IF(OR(D2="4",AND(NOT(ISBLANK(AI2)),AI2&lt;CV2)),ROUND(FH2/[1]!NPVF2("MP","SLA","N",PBGC_Option_Rates,"M",DO2,DO2,0,0,120,0,"AA20","AA20","P","","")/12,2),IF(OR(DG2="2",DG2="5"),ROUND(FH2/[1]!NPVF2("MP","SLA","N",PBGC_Option_Rates,"M",DN2,DN2,0,0,120,0,"AA20","AA20","P","","")/12,2),"NULL")))</f>
        <v>#REF!</v>
      </c>
      <c r="FL5" s="209" t="e">
        <f>IF(OR(AND(#REF!="XRD",#REF!="V"),DF2="0",DF2="1",DF2="2",AND(NOT(ISBLANK(AI2)),AI2&lt;CV2,D2="1",FC2="NULL")),"NULL",IF(OR(D2="4",AND(NOT(ISBLANK(AI2)),AI2&lt;CV2)),ROUND(FH2/[1]!NPVF2("MP","SLA","N",PBGC_Option_Rates,"M",DO2,DO2,0,0,180,0,"AA20","AA20","P","","")/12,2),IF(OR(DG2="2",DG2="5"),ROUND(FH2/[1]!NPVF2("MP","SLA","N",PBGC_Option_Rates,"M",DN2,DN2,0,0,180,0,"AA20","AA20","P","","")/12,2),"NULL")))</f>
        <v>#REF!</v>
      </c>
      <c r="FM5" s="209" t="e">
        <f>IF(OR(AND(#REF!="XRD",#REF!="V"),DF2="0",DF2="1",DF2="2"),"NULL",IF(AND(OR(DG2="9",DG2="0"),D2="1",OR(ISBLANK(AI2),AI2&gt;CV2)),FB2*[1]!NPVF2("MP","JSC","N",PBGC_Option_Rates,"M",DN2,DN2,DO2,DB2,DD2,0,"AA20","AA20","P","","")*12,"NULL"))</f>
        <v>#REF!</v>
      </c>
      <c r="FN5" s="209" t="e">
        <f>IF(OR(AND(#REF!="XRD",#REF!="V"),DF2="0",DF2="1",DF2="2"),"NULL",IF(AND(OR(DG2="9",DG2="0"),D2="1",OR(ISBLANK(AI2),AI2&gt;CV2)),ROUND(FM2/[1]!NPVF2("MP","JSC","N",PBGC_Option_Rates,"M",DN2,DN2,DO2,0.5,0,0,"AA20","AA20","P","","")/12,2),"NULL"))</f>
        <v>#REF!</v>
      </c>
      <c r="FO5" s="209" t="e">
        <f>IF(OR(AND(#REF!="XRD",#REF!="V"),DF2="0",DF2="1",DF2="2"),"NULL",IF(AND(OR(DG2="9",DG2="0"),D2="1",OR(ISBLANK(AI2),AI2&gt;CV2)),ROUND(FM2/[1]!NPVF2("MP","JSC","N",PBGC_Option_Rates,"M",DN2,DN2,DO2,0.75,0,0,"AA20","AA20","P","","")/12,2),"NULL"))</f>
        <v>#REF!</v>
      </c>
      <c r="FP5" s="209" t="e">
        <f>IF(OR(AND(#REF!="XRD",#REF!="V"),DF2="0",DF2="1",DF2="2"),"NULL",IF(AND(OR(DG2="9",DG2="0"),D2="1",OR(ISBLANK(AI2),AI2&gt;CV2)),ROUND(FM2/[1]!NPVF2("MP","JSC","N",PBGC_Option_Rates,"M",DN2,DN2,DO2,1,0,0,"AA20","AA20","P","","")/12,2),"NULL"))</f>
        <v>#REF!</v>
      </c>
      <c r="FQ5" s="209" t="e">
        <f>IF(OR(AND(#REF!="XRD",#REF!="V"),DF2="0",DF2="1",DF2="2"),"NULL",IF(AND(OR(DG2="9",DG2="0"),D2="1",OR(ISBLANK(AI2),AI2&gt;CV2),FI2&lt;&gt;"NULL"),ROUND((FM2-(FI2*([1]!NPVF2("MP","SLA","N",PBGC_Option_Rates,"M",DN2,DN2,0,0,0,0,"AA20","AA20","P","","")-[1]!NPVF2("MP","JSJ","N",PBGC_Option_Rates,"M",DN2,DN2,DO2,0,0,0,"AA20","AA20","P","",""))*12))/(([1]!NPVF2("MP","JSC","N",PBGC_Option_Rates,"M",DN2,DN2,DO2,0.5,0,0,"AA20","AA20","P","","")-[1]!NPVF2("MP","SLA","N",PBGC_Option_Rates,"M",DN2,DN2,0,0,0,0,"AA20","AA20","P","","")+[1]!NPVF2("MP","JSJ","N",PBGC_Option_Rates,"M",DN2,DN2,DO2,0,0,0,"AA20","AA20","P","",""))*12),2),"NULL"))</f>
        <v>#REF!</v>
      </c>
      <c r="FR5" s="27"/>
      <c r="FS5" s="27"/>
      <c r="FT5" s="8"/>
      <c r="FU5" s="8"/>
      <c r="FV5" s="8"/>
      <c r="FW5" s="8"/>
      <c r="FX5" s="6"/>
      <c r="FY5" s="6"/>
      <c r="FZ5" s="6"/>
      <c r="GA5" s="6"/>
      <c r="GB5" s="6"/>
      <c r="GC5" s="6"/>
      <c r="GD5" s="6"/>
      <c r="GE5" s="6"/>
      <c r="GF5" s="6"/>
      <c r="GG5" s="6"/>
      <c r="GH5" s="6"/>
      <c r="GI5" s="6"/>
      <c r="GJ5" s="6"/>
      <c r="GK5" s="6"/>
      <c r="GL5" s="6"/>
      <c r="GM5" s="6"/>
      <c r="GN5" s="6"/>
      <c r="GO5" s="6"/>
      <c r="GP5" s="6" t="s">
        <v>484</v>
      </c>
      <c r="GQ5" s="6"/>
      <c r="GR5" s="6"/>
      <c r="GS5" s="6"/>
      <c r="GT5" s="6" t="s">
        <v>659</v>
      </c>
      <c r="GU5" s="6"/>
      <c r="GV5" s="6"/>
      <c r="GW5" s="6"/>
      <c r="GX5" s="6"/>
      <c r="GY5" s="8"/>
      <c r="GZ5" s="6"/>
      <c r="HA5" s="8"/>
      <c r="HB5" s="8" t="s">
        <v>661</v>
      </c>
      <c r="HC5" s="6"/>
      <c r="HD5" s="8"/>
      <c r="HE5" s="6">
        <f>IF(OR(DG2="2",DG2="5",DO2=0),1,IF(AE2&lt;DATE(2000,4,1),ROUND([1]!NPVF("MP","SLA","N",BFCF_Rates,"M",DN2,DN2,0,0,0,0,"GM71","GM71","P","","")/[1]!NPVF("MP","JSC","N",BFCF_Rates,"M",DN2,DN2,IF(ISBLANK(W2),DN2,DO2),0.5,0,0,"GM71","GM71","P","",""),4),IF(AE2&lt;DATE(2003,1,1),ROUND([1]!NPVF("MP","SLA","N",BFCF_Rates1,"M",DN2,DN2,0,0,0,0,"GM83","GM83","P","","")/[1]!NPVF("MP","JSC","N",BFCF_Rates1,"M",DN2,DN2,IF(ISBLANK(W2),DN2,DO2),0.5,0,0,"GM83","GM83","P","",""),4),IF(AE2&gt;=DATE(2003,1,1),ROUND([1]!NPVF("MP","SLA","N",BFCF_Rates1,"M",DN2,DN2,0,0,0,0,"GU94","GU94","P","","")/[1]!NPVF("MP","JSC","N",BFCF_Rates1,"M",DN2,DN2,IF(ISBLANK(W2),DN2,DO2),0.5,0,0,"GU94","GU94","P","",""),4)))))</f>
        <v>0.92620000000000002</v>
      </c>
      <c r="HF5" s="8" t="str">
        <f>IF(OR(DG2="5",NOT(ISBLANK(W2))),"NULL",ROUND(HE2/DP2,4))</f>
        <v>NULL</v>
      </c>
      <c r="HG5" s="6" t="str">
        <f>IF(OR(DG2="5",NOT(ISBLANK(W2))),"NULL",ROUND(FB2*HF2,2))</f>
        <v>NULL</v>
      </c>
      <c r="HH5" s="8"/>
      <c r="HI5" s="6"/>
      <c r="HJ5" s="8"/>
      <c r="HK5" s="6"/>
      <c r="HL5" s="8"/>
      <c r="HM5" s="6"/>
      <c r="HN5" s="8" t="str">
        <f>IF(D2="2","SB",IF(CV2&lt;AZ2,"ER","NR"))</f>
        <v>NR</v>
      </c>
      <c r="HO5" s="6"/>
      <c r="HP5" s="8"/>
      <c r="HQ5" s="6"/>
      <c r="HR5" s="8"/>
      <c r="HS5" s="6"/>
      <c r="HT5" s="8"/>
      <c r="HU5" s="8">
        <f>IF(OR(DG2="5",DG2="1"),0,ROUND([1]!NPVF2("MP","SLA","O",DOPT,IF(R2="M","F","M"),IF(ISBLANK(W2),CJ2,CK2),IF(ISBLANK(W2),CU2,CW2),0,0,0,0,DOPT,DOPT,"P","",""),4))</f>
        <v>12.5349</v>
      </c>
      <c r="HW5" s="241">
        <f ca="1">MAX([1]!NRD(TODAY(),0),CM2)</f>
        <v>45748</v>
      </c>
      <c r="HZ5" s="46">
        <f ca="1">IF(AE2&lt;=DATE(2000,4,1),ROUND([1]!NPVF("MX","SLA","N",LRFB,"M",65,65,0,0,0,0,"GM71","GM71","P","","")/[1]!NPVF("MX","SLA","N",LRFB,"M",65,65+HY2/12,0,0,0,0,"GM71","GM71","P","",""),4),IF($AE2&lt;DATE(2003,1,1),ROUND([1]!NPVF("MX","SLA","N",LRF,"M",65,65,0,0,0,0,"GM83","GM83","P","","")/[1]!NPVF("MX","SLA","N",LRF,"M",65,65+HY2/12,HW2,0,0,0,"GM83","GM83","P","",""),4),IF($AE2&gt;=DATE(2003,1,1),ROUND([1]!NPVF("MX","SLA","N",LRF,"M",65,65,0,0,0,0,"GU94","GU94","P","","")/[1]!NPVF("MX","SLA","N",LRF,"M",65,65+HY2/12,0,0,0,0,"GU94","GU94","P","",""),4))))</f>
        <v>15.793799999999999</v>
      </c>
      <c r="IA5" s="171"/>
      <c r="IB5" s="287" t="s">
        <v>583</v>
      </c>
      <c r="IC5" s="46">
        <f ca="1">IF(U2="S",1,IF(AE2&lt;DATE(2000,4,1),ROUND([1]!NPVF("MP","SLA","N",BFCF_Rates,"M",IA2,IA2,IB2,0,0,0,"GM71","GM71","P","","")/[1]!NPVF("MP","JSC","N",BFCF_Rates,"M",IA2,IA2,IB2,0.5,0,0,"GM71","GM71","P","",""),4),IF(AE2&lt;DATE(2003,1,1),ROUND([1]!NPVF("MP","SLA","N",BFCF_Rates1,"M",IA2,IA2,IB2,0,0,0,"GM83","GM83","P","","")/[1]!NPVF("MP","JSC","N",BFCF_Rates1,"M",IA2,IA2,IB2,0.5,0,0,"GM83","GM83","P","",""),4),IF(AE2&gt;=DATE(2003,1,1),ROUND([1]!NPVF("MP","SLA","N",BFCF_Rates1,"M",IA2,IA2,IB2,0,0,0,"GU94","GU94","P","","")/[1]!NPVF("MP","JSC","N",BFCF_Rates1,"M",IA2,IA2,IB2,0.5,0,0,"GU94","GU94","P","",""),4)))))</f>
        <v>0.86070000000000002</v>
      </c>
      <c r="IH5" s="178">
        <f>IF(OR(D2="2",AND(AI2&gt;0,AI2&gt;DOPT,AI2&lt;IG2)),DATE(YEAR(MAX(DATE(YEAR(AI2)+1,1,1),IF2,AZ2)),12,1),MAX(AZ2,IG2))</f>
        <v>42461</v>
      </c>
      <c r="II5" s="178"/>
      <c r="IJ5" s="241">
        <f ca="1">MAX([1]!NRD(TODAY(),0),CP2)</f>
        <v>45748</v>
      </c>
      <c r="IL5" s="46">
        <f ca="1">IF(IJ2&lt;AZ2,[1]!COMPM(IJ2,AZ2),0)</f>
        <v>0</v>
      </c>
      <c r="IM5" s="242" t="e">
        <f ca="1">ROUND([1]!Nx("MP","GM71",LRFNX,"M",65)/[1]!Nx("MP","GM71",LRFNX,"M",65-IL2/12),4)</f>
        <v>#VALUE!</v>
      </c>
      <c r="IO5" s="287" t="s">
        <v>583</v>
      </c>
      <c r="IP5" s="46">
        <f ca="1">IF(U2="S",1,IF(AE2&lt;DATE(2000,4,1),ROUND([1]!NPVF("MP","SLA","N",BFCF_Rates,"M",IN2,IN2,IO2,0,0,0,"GM71","GM71","P","","")/[1]!NPVF("MP","JSC","N",BFCF_Rates,"M",IN2,IN2,IO2,0.5,0,0,"GM71","GM71","P","",""),4),IF(AE2&lt;DATE(2003,1,1),ROUND([1]!NPVF("MP","SLA","N",BFCF_Rates1,"M",IN2,IN2,IO2,0,0,0,"GM83","GM83","P","","")/[1]!NPVF("MP","JSC","N",BFCF_Rates1,"M",IN2,IN2,IO2,0.5,0,0,"GM83","GM83","P","",""),4),IF(AE2&gt;=DATE(2003,1,1),ROUND([1]!NPVF("MP","SLA","N",BFCF_Rates1,"M",IN2,IN2,IO2,0,0,0,"GU94","GU94","P","","")/[1]!NPVF("MP","JSC","N",BFCF_Rates1,"M",IN2,IN2,IO2,0.5,0,0,"GU94","GU94","P","",""),4)))))</f>
        <v>0.86070000000000002</v>
      </c>
      <c r="IR5" s="46">
        <f>IF(ISBLANK(S2),"NULL",ROUND(KS2*KR2*0.5,2))</f>
        <v>0</v>
      </c>
      <c r="IV5" s="46" t="str">
        <f>IF(ISBLANK(IT2),"NULL",IF(OR(IT2="SLA",IT2="SURVIVOR ANNUITY"),"2","9"))</f>
        <v>NULL</v>
      </c>
      <c r="IW5" s="46" t="str">
        <f>IF(IT2="","NULL",IF(OR(IT2="SLA",IT2="CC10"),0,IF(OR(IT2="JS50",IT2="JS50 POP-UP"),0.5,IF(OR(IT2="JS75",IT2="J&amp;S75"),0.75,IF(IT2="JS100",1)))))</f>
        <v>NULL</v>
      </c>
      <c r="JA5" s="46" t="str">
        <f>IF(OR(ISBLANK(IS2),ISBLANK(IV2),ISBLANK(W2)),"NULL",[1]!anb(Z2,IS2))</f>
        <v>NULL</v>
      </c>
      <c r="JB5" s="46" t="str">
        <f>IF(OR(ISBLANK(IS2),ISBLANK(IV2)),"NULL",ROUND([1]!NPVF("MX","SLA","N",BFCF_Rates1,"M",IZ2,IZ2,JA2,0,0,0,"GU94","GU94","P","","")/[1]!NPVF("MX","JSC","N",BFCF_Rates1,"M",IZ2,IZ2,JA2,0.5,0,0,"GU94","GU94","P","",""),4))</f>
        <v>NULL</v>
      </c>
      <c r="JC5" s="46" t="str">
        <f>IF(OR(ISBLANK(KU2),ISBLANK(KW2)),"NULL",IF(KU2&lt;DL2,[1]!COMPM(KU2,DL2),0))</f>
        <v>NULL</v>
      </c>
      <c r="JD5" s="46" t="str">
        <f>IF(OR(ISBLANK(KU2),ISBLANK(KW2)),"NULL",VLOOKUP(LD2,Plan_ERF_Table,2))</f>
        <v>NULL</v>
      </c>
      <c r="JE5" s="46" t="str">
        <f>IF(OR(ISBLANK(KU2),ISBLANK(KW2)),"NULL",IF(KU2&gt;DL2,[1]!COMPM(DL2,KU2),0))</f>
        <v>NULL</v>
      </c>
      <c r="JF5" s="46" t="str">
        <f>IF(OR(ISBLANK(IS2),ISBLANK(IV2)),"NULL",ROUND([1]!NPVF("MP","SLA","N",LRF,"M",65,65,0,0,0,0,"UP84","UP84","N","","")/[1]!NPVF("MP","SLA","N",LRF,"M",65,65+FE2/12,0,0,0,0,"UP84","UP84","N","",""),4))</f>
        <v>NULL</v>
      </c>
      <c r="JG5" s="46" t="str">
        <f>IF(OR(ISBLANK(IS2),ISBLANK(IV2)),"NULL",ROUND(DQ2*ROUND(LC2,4)*ROUND(LE2,4)*ROUND(LG2,4),2))</f>
        <v>NULL</v>
      </c>
    </row>
    <row r="6" spans="1:16347" s="46" customFormat="1" ht="32.25" thickBot="1" x14ac:dyDescent="0.3">
      <c r="A6" s="1"/>
      <c r="B6" s="9"/>
      <c r="C6" s="6"/>
      <c r="D6" s="6"/>
      <c r="E6" s="6"/>
      <c r="F6" s="6"/>
      <c r="G6" s="6"/>
      <c r="H6" s="6"/>
      <c r="I6" s="6"/>
      <c r="J6" s="6"/>
      <c r="K6" s="6"/>
      <c r="L6" s="6"/>
      <c r="M6" s="6"/>
      <c r="N6" s="6"/>
      <c r="O6" s="6"/>
      <c r="P6" s="6"/>
      <c r="Q6" s="6"/>
      <c r="R6" s="6"/>
      <c r="S6" s="8"/>
      <c r="T6" s="6"/>
      <c r="U6" s="6"/>
      <c r="V6" s="6"/>
      <c r="W6" s="6"/>
      <c r="X6" s="6"/>
      <c r="Y6" s="65">
        <f>IF(OR(J2="D",J2="W"),"NULL",IF(L2&gt;0,L2,DATE(YEAR(K2)+IF(H2="M",4,-4),MONTH(K2),DAY(K2))))</f>
        <v>692501</v>
      </c>
      <c r="Z6" s="6" t="s">
        <v>629</v>
      </c>
      <c r="AA6" s="6" t="str">
        <f>IF(AND(AE2="Y",AF2="R",NOT(ISBLANK(AB2))),AB2,IF(NOT(ISBLANK(R2)),R2,IF(AND(ISBLANK(R2),H2="M"),DATE(YEAR(I2)+4,MONTH(I2),DAY(I2)),DATE(YEAR(I2)-4,MONTH(I2),DAY(I2)))))</f>
        <v>M</v>
      </c>
      <c r="AB6" s="74" t="s">
        <v>741</v>
      </c>
      <c r="AC6" s="74"/>
      <c r="AD6" s="74"/>
      <c r="AE6" s="6"/>
      <c r="AF6" s="6"/>
      <c r="AG6" s="6"/>
      <c r="AH6" s="74" t="e">
        <f ca="1">DATEYEAR(AE2)-1</f>
        <v>#NAME?</v>
      </c>
      <c r="AI6" s="6"/>
      <c r="AJ6" s="6"/>
      <c r="AK6" s="6"/>
      <c r="AL6" s="6">
        <f>[1]!SERVYPA(AA2,AE2,Plan_Date,1000)</f>
        <v>36</v>
      </c>
      <c r="AM6" s="6"/>
      <c r="AN6" s="6">
        <f>MONTH(AZ2)</f>
        <v>4</v>
      </c>
      <c r="AO6" s="6"/>
      <c r="AP6" s="241">
        <f>DATE(YEAR(AA2)+IF([1]!anb(AA2,[1]!NRD(V2,65))&lt;30,20,30),MONTH(AA2),DAY(AA2))</f>
        <v>36387</v>
      </c>
      <c r="AQ6" s="6"/>
      <c r="AR6" s="6"/>
      <c r="AS6" s="315" t="s">
        <v>626</v>
      </c>
      <c r="AT6" s="6"/>
      <c r="AU6" s="6"/>
      <c r="AV6" s="6">
        <f>MAX(57,[1]!anb(V2,MAX(BPD,AP2)))</f>
        <v>64</v>
      </c>
      <c r="AW6" s="6" t="s">
        <v>655</v>
      </c>
      <c r="AX6" s="6"/>
      <c r="AY6" s="6"/>
      <c r="AZ6" s="74">
        <f>MAX([1]!NRD(V2,65),[1]!NRD(DATE(YEAR(AB2)+5,MONTH(AB2),DAY(AB2)),0))</f>
        <v>40269</v>
      </c>
      <c r="BA6" s="6"/>
      <c r="BB6" s="6">
        <f>[1]!anb(V2,AZ2)</f>
        <v>60</v>
      </c>
      <c r="BC6" s="6"/>
      <c r="BD6" s="6" t="s">
        <v>623</v>
      </c>
      <c r="BE6" s="6"/>
      <c r="BF6" s="6">
        <f>IF(MONTH(AW2)-MONTH(AB2)&lt;=6,1,0)</f>
        <v>1</v>
      </c>
      <c r="BG6" s="6" t="e">
        <f>[1]!COMPAM(AB14,AW14)/12</f>
        <v>#VALUE!</v>
      </c>
      <c r="BH6" s="6"/>
      <c r="BI6" s="6"/>
      <c r="BJ6" s="6"/>
      <c r="BK6" s="6"/>
      <c r="BL6" s="6">
        <f>[1]!SERVYPA(AB2,AZ2,AB2,1000)</f>
        <v>20</v>
      </c>
      <c r="BM6" s="6"/>
      <c r="BN6" s="6"/>
      <c r="BO6" s="6"/>
      <c r="BP6" s="6">
        <f>ROUND(VLOOKUP(BB2,Bene_Amt,IF(BI2&lt;=25,2,IF(BI2&lt;30,3,IF(BI2&gt;=30,4))),FALSE),2)</f>
        <v>2100</v>
      </c>
      <c r="BQ6" s="6"/>
      <c r="BR6" s="6"/>
      <c r="BS6" s="236" t="s">
        <v>624</v>
      </c>
      <c r="BT6" s="236"/>
      <c r="BU6" s="236"/>
      <c r="BV6" s="236"/>
      <c r="BW6" s="236"/>
      <c r="BX6" s="236"/>
      <c r="BY6" s="236"/>
      <c r="BZ6" s="236" t="s">
        <v>624</v>
      </c>
      <c r="CA6" s="236"/>
      <c r="CB6" s="203">
        <f>IF(OR([1]!ATT(V2,PC3_Date)&gt;=57,AND(([1]!ATT(V2,PC3_Date)&gt;=50),DU2&gt;=20)),ROUND((VLOOKUP(IF([1]!ATT(V2,PC3_Date)&lt;58,58,[1]!ATT(V2,PC3_Date)),Bene_Amt,2,FALSE)*BM2),2),0)</f>
        <v>900</v>
      </c>
      <c r="CC6" s="203"/>
      <c r="CD6" s="311">
        <f>IF(OR([1]!ATT(V2,PC3_Date)&gt;=57,AND(([1]!ATT(V2,PC3_Date)&gt;=50),DU2&gt;=20)),ROUND((VLOOKUP(IF([1]!ATT(V2,PC3_Date)&lt;57,57,[1]!ATT(V2,PC3_Date)),Bene_Amt,2,FALSE)),2),0)</f>
        <v>1200</v>
      </c>
      <c r="CE6" s="6">
        <f>IF(OR([1]!ATT(V2,PC3_Date)&gt;=57,AND(([1]!ATT(V2,PC3_Date)&gt;=50),DU2&gt;=20)),ROUND((VLOOKUP(IF([1]!ATT(V2,PC3_Date)&lt;57,57,[1]!ATT(V2,PC3_Date)),Bene_Amt,2,FALSE)*BM2),2),0)</f>
        <v>900</v>
      </c>
      <c r="CF6" s="6"/>
      <c r="CG6" s="74" t="s">
        <v>483</v>
      </c>
      <c r="CH6" s="6">
        <f>VLOOKUP(CG2,Vesting_Table,2)</f>
        <v>1</v>
      </c>
      <c r="CI6" s="6" t="e">
        <f>ROUND(CE2*#REF!,2)</f>
        <v>#REF!</v>
      </c>
      <c r="CJ6" s="6"/>
      <c r="CK6" s="6"/>
      <c r="CL6" s="33"/>
      <c r="CM6" s="232">
        <f>MAX(AW2,[1]!NRD(DOPT,0))</f>
        <v>40026</v>
      </c>
      <c r="CN6" s="28">
        <f>IF(AZ2&lt;DOPT,CJ2,BB2)</f>
        <v>64</v>
      </c>
      <c r="CO6" s="28"/>
      <c r="CP6" s="232">
        <f>MAX([1]!NRD(V2,50),[1]!NRD(DOPT,0))</f>
        <v>40026</v>
      </c>
      <c r="CQ6" s="28">
        <f>[1]!anb(V2,CP2)</f>
        <v>64</v>
      </c>
      <c r="CR6" s="6"/>
      <c r="CS6" s="6"/>
      <c r="CT6" s="6"/>
      <c r="CU6" s="6">
        <f>IF(AZ2&lt;=DOPT,CJ2,[1]!XRA(CR2,CQ2,CN2,DOPT,V2,IF(Z2="NULL",0,Z2),B2,D2))</f>
        <v>64</v>
      </c>
      <c r="CV6" s="6" t="s">
        <v>741</v>
      </c>
      <c r="CW6" s="6"/>
      <c r="CX6" s="6"/>
      <c r="CY6" s="6"/>
      <c r="CZ6" s="6"/>
      <c r="DA6" s="6"/>
      <c r="DB6" s="6"/>
      <c r="DC6" s="6"/>
      <c r="DD6" s="6"/>
      <c r="DE6" s="6"/>
      <c r="DF6" s="28"/>
      <c r="DG6" s="6"/>
      <c r="DH6" s="8"/>
      <c r="DI6" s="6"/>
      <c r="DJ6" s="6"/>
      <c r="DK6" s="6"/>
      <c r="DL6" s="6"/>
      <c r="DM6" s="3">
        <f>IF(AE2&lt;DATE(2000,4,1),ROUND([1]!NPVF("MP","SLA","N",LRF,"M",65,65+DL2/12,0,0,0,0,"GM71","GM71","P","","")/[1]!NPVF("MP","SLA","N",LRF,"M",65,65,0,0,0,0,"GM71","GM71","P","",""),4),IF(AE2&lt;DATE(2003,1,1),ROUND([1]!NPVF("MP","SLA","N",LRF,"M",65,65+DL2/12,0,0,0,0,"GM83","GM83","N","","")/[1]!NPVF("MP","SLA","N",LRF,"M",65,65,DO2,0,0,0,"GM83","GM83","N","",""),4),IF(AE2&gt;=DATE(2003,1,1),ROUND([1]!NPVF("MP","SLA","N",LRF,"M",65,65+DL2/12,0,0,0,0,"GU94","GU94","N","","")/[1]!NPVF("MP","SLA","N",LRF,"M",65,65,0,0,0,0,"GU94","GU94","N","",""),4))))</f>
        <v>1</v>
      </c>
      <c r="DN6" s="3"/>
      <c r="DO6" s="3" t="s">
        <v>729</v>
      </c>
      <c r="DP6" s="3">
        <f>ROUND([1]!NPVF("MP","SLA","N",BFCF_Rates1,"M",DN18,DN18,DO18,0,0,0,"AB48","AB48","P","","")/[1]!NPVF("MP","JSC","N",BFCF_Rates1,"M",DN18,DN18,DO18,0.5,0,0,"AB48","AB48","P","",""),4)</f>
        <v>0.99780000000000002</v>
      </c>
      <c r="DQ6" s="3"/>
      <c r="DR6" s="3" t="e">
        <f>VLOOKUP(DQ2,LRF_Table,2)</f>
        <v>#NAME?</v>
      </c>
      <c r="DS6" s="3" t="e">
        <f>ROUND((ROUND(#REF!,2)*ROUND(FI2,4)*ROUND(FL2,4)*ROUND(FN2,4)),2)</f>
        <v>#REF!</v>
      </c>
      <c r="DT6" s="3"/>
      <c r="DU6" s="237">
        <f>IF(AE2&lt;PC3_Date,CG2,CG2-3)</f>
        <v>36</v>
      </c>
      <c r="DV6" s="237"/>
      <c r="DW6" s="237">
        <f>IF(NOT(ISBLANK(W2)),W2,Z2)</f>
        <v>17078</v>
      </c>
      <c r="DX6" s="237"/>
      <c r="DY6" s="6"/>
      <c r="DZ6" s="6" t="s">
        <v>584</v>
      </c>
      <c r="EA6" s="237"/>
      <c r="EB6" s="237">
        <f>IF(EA2="N","NULL",IF(OR(U2="S",U2="W"),1,IF(AE2&lt;DATE(2000,4,1),ROUND([1]!NPVF("MP","SLA","N",BFCF_Rates,"M",DY2,DY2,DZ2,0,0,0,"GM71","GM71","P","","")/[1]!NPVF("MP","JSC","N",BFCF_Rates,"M",DY2,DY2,DZ2,0.5,0,0,"GM71","GM71","P","",""),4),IF(AE2&lt;DATE(2003,1,1),ROUND([1]!NPVF("MP","SLA","N",BFCF_Rates1,"M",DY2,DY2,DZ2,0,0,0,"GM83","GM83","P","","")/[1]!NPVF("MP","JSC","N",BFCF_Rates1,"M",DY2,DY2,DZ2,0.5,0,0,"GM83","GM83","P","",""),4),IF(AE2&gt;=DATE(2003,1,1),ROUND([1]!NPVF("MP","SLA","N",BFCF_Rates1,"M",DY2,DY2,DZ2,0,0,0,"GU94","GU94","P","","")/[1]!NPVF("MP","JSC","N",BFCF_Rates1,"M",DY2,DY2,DZ2,0.5,0,0,"GU94","GU94","P","",""),4))))))</f>
        <v>0.93230000000000002</v>
      </c>
      <c r="EC6" s="6"/>
      <c r="ED6" s="237"/>
      <c r="EE6" s="6"/>
      <c r="EF6" s="237">
        <f>IF(EA2="N","NULL",IF(AE2&lt;DATE(2000,4,1),ROUND([1]!NPVF("MX","SLA","N",LRFB,"M",BB2,BB2,0,0,0,0,"GM71","GM71","P","","")/[1]!NPVF("MX","SLA","N",LRFB,"M",BB2,BB2+EE2/12,0,0,0,0,"GM71","GM71","P","",""),4),IF(AE2&lt;DATE(2003,1,1),ROUND([1]!NPVF("MX","SLA","N",LRF,"M",BB2,BB2,0,0,0,0,"GM83","GM83","P","","")/[1]!NPVF("MX","SLA","N",LRF,"M",BB2,BB2+EE2/12,0,0,0,0,"GM83","GM83","P","",""),4),IF(AE2&gt;=DATE(2003,1,1),ROUND([1]!NPVF("MX","SLA","N",LRF,"M",BB2,BB2,0,0,0,0,"GU94","GU94","P","","")/[1]!NPVF("MX","SLA","N",LRF,"M",BB2,BB2+EE2/12,0,0,0,0,"GU94","GU94","P","",""),4)))))</f>
        <v>1.0872999999999999</v>
      </c>
      <c r="EG6" s="281"/>
      <c r="EH6" s="282"/>
      <c r="EI6" s="283"/>
      <c r="EJ6" s="283"/>
      <c r="EK6" s="283"/>
      <c r="EL6" s="3"/>
      <c r="EM6" s="8"/>
      <c r="EN6" s="284"/>
      <c r="EO6" s="282"/>
      <c r="EP6" s="282"/>
      <c r="EQ6" s="282"/>
      <c r="ER6" s="282"/>
      <c r="ES6" s="3"/>
      <c r="ET6" s="3"/>
      <c r="EU6" s="3"/>
      <c r="EV6" s="3"/>
      <c r="EW6" s="3"/>
      <c r="EX6" s="33"/>
      <c r="EY6" s="33"/>
      <c r="EZ6" s="33"/>
      <c r="FA6" s="33" t="e">
        <f>ROUND(#REF!*#REF!,2)</f>
        <v>#REF!</v>
      </c>
      <c r="FB6" s="28"/>
      <c r="FC6" s="28">
        <f>IF(OR(AND(U2="M",,FR2&gt;5000,NOT(ISBLANK(AI2)),OR(ISBLANK(AJ2),AJ2&gt;AI2)),AND(DE2="Y")),ROUND(FB2*0.5,2),IF(OR(ISBLANK(AI2),AND(DG2&lt;&gt;"9",DG2&lt;&gt;"0"),AND(#REF!="XRD",#REF!="V"),AND(NOT(ISBLANK(AI2)),NOT(ISBLANK(AJ2)),O2&lt;&gt;"Y",AJ2&lt;=AI2),AND(NOT(ISBLANK(AI2)),NOT(ISBLANK(AK2)),O2="Y",AK2&lt;=AI2)),"NULL",IF(AND(AI2&gt;CV2,DF2="3"),IF(AND(DG2="9",DH2=0.5),ROUND(FN2*0.5,2),IF(DH2=0.75,ROUND(FO2*0.75,2),IF(DH2=1,FP2,ROUND(FQ2*0.5,2)))),ROUND(FB2*DH2,2))))</f>
        <v>1051.55</v>
      </c>
      <c r="FD6" s="28"/>
      <c r="FE6" s="6"/>
      <c r="FF6" s="6"/>
      <c r="FG6" s="210"/>
      <c r="FH6" s="210"/>
      <c r="FI6" s="210"/>
      <c r="FJ6" s="210"/>
      <c r="FK6" s="210"/>
      <c r="FL6" s="210"/>
      <c r="FM6" s="210"/>
      <c r="FN6" s="210"/>
      <c r="FO6" s="210"/>
      <c r="FP6" s="210"/>
      <c r="FQ6" s="210"/>
      <c r="FR6" s="28"/>
      <c r="FS6" s="28"/>
      <c r="FT6" s="6"/>
      <c r="FU6" s="6"/>
      <c r="FV6" s="6"/>
      <c r="FW6" s="3"/>
      <c r="FX6" s="6"/>
      <c r="FY6" s="6"/>
      <c r="FZ6" s="6"/>
      <c r="GA6" s="6"/>
      <c r="GB6" s="6"/>
      <c r="GC6" s="6"/>
      <c r="GD6" s="6"/>
      <c r="GE6" s="6"/>
      <c r="GF6" s="6"/>
      <c r="GG6" s="6"/>
      <c r="GH6" s="6"/>
      <c r="GI6" s="6"/>
      <c r="GJ6" s="6"/>
      <c r="GK6" s="6"/>
      <c r="GL6" s="6"/>
      <c r="GM6" s="6"/>
      <c r="GN6" s="6"/>
      <c r="GO6" s="6"/>
      <c r="GP6" s="235" t="s">
        <v>485</v>
      </c>
      <c r="GQ6" s="236"/>
      <c r="GR6" s="6"/>
      <c r="GS6" s="6"/>
      <c r="GT6" s="202"/>
      <c r="GU6" s="6"/>
      <c r="GV6" s="6"/>
      <c r="GW6" s="6"/>
      <c r="GX6" s="6" t="s">
        <v>665</v>
      </c>
      <c r="GY6" s="6"/>
      <c r="GZ6" s="6"/>
      <c r="HA6" s="6"/>
      <c r="HB6" s="6" t="s">
        <v>662</v>
      </c>
      <c r="HD6" s="6"/>
      <c r="HE6" s="237">
        <f>IF(OR(DG2="2",DG2="5",DO2=0),1,IF(AE2&lt;DATE(2000,4,1),ROUND([1]!NPVF("MP","SLA","N",BFCF_Rates,"M",DN2,DN2,0,0,0,0,"GM71","GM71","P","","")/[1]!NPVF("MP","JSC","N",BFCF_Rates,"M",DN2,DN2,IF(ISBLANK(W2),DN2,DO2),0.5,0,0,"GM71","GM71","P","",""),4),IF(AE2&lt;DATE(2003,1,1),ROUND([1]!NPVF("MP","SLA","N",BFCF_Rates1,"M",DN2,DN2,0,0,0,0,"GM83","GM83","P","","")/[1]!NPVF("MP","JSC","N",BFCF_Rates1,"M",DN2,DN2,IF(ISBLANK(W2),DN2,DO2),0.5,0,0,"GM83","GM83","P","",""),4),IF(AE2&gt;=DATE(2003,1,1),ROUND([1]!NPVF("MP","SLA","N",BFCF_Rates1,"M",DN2,DN2,0,0,0,0,"GU94","GU94","P","","")/[1]!NPVF("MP","JSC","N",BFCF_Rates1,"M",DN2,DN2,IF(ISBLANK(W2),DN2,DO2),0.5,0,0,"GU94","GU94","P","",""),4)))))</f>
        <v>0.92620000000000002</v>
      </c>
      <c r="HF6" s="3"/>
      <c r="HG6" s="6"/>
      <c r="HH6" s="6">
        <f>ROUND([1]!NPVF2("MP",IF(DG2="9","JSC","SLA"),"O",DOPT,R2,CJ2,CU2,IF(ISBLANK(W2),CU2,IF(CW2="NULL",0,CW2)),DH2,DI2,0,DOPT,DOPT,"P","",""),4)</f>
        <v>13.788600000000001</v>
      </c>
      <c r="HI6" s="3"/>
      <c r="HJ6" s="6"/>
      <c r="HK6" s="6"/>
      <c r="HL6" s="6"/>
      <c r="HM6" s="6"/>
      <c r="HN6" s="6"/>
      <c r="HO6" s="6"/>
      <c r="HP6" s="6"/>
      <c r="HQ6" s="6"/>
      <c r="HR6" s="6"/>
      <c r="HS6" s="6"/>
      <c r="HT6" s="6"/>
      <c r="HU6" s="6">
        <f>ROUND([1]!NPVF2("MP","SLA","O",DOPT,IF(R2="M","F","M"),IF(ISBLANK(W2),CJ2,CK2),IF(ISBLANK(W2),CU2,CW2),0,0,0,0,DOPT,DOPT,"P","",""),4)</f>
        <v>12.5349</v>
      </c>
      <c r="IC6" s="46" t="s">
        <v>483</v>
      </c>
      <c r="IG6" s="241">
        <f ca="1">TODAY()</f>
        <v>45744</v>
      </c>
      <c r="IJ6" s="241">
        <f ca="1">MAX(DATE(YEAR([1]!NRD(TODAY(),0)),MONTH([1]!NRD(TODAY(),0))+2,(DAY([1]!NRD(TODAY(),0)))),CP2)</f>
        <v>45809</v>
      </c>
      <c r="IK6" s="241">
        <f ca="1">DATE(YEAR([1]!NRD(TODAY(),0)),MONTH([1]!NRD(TODAY(),0))+2,1)</f>
        <v>45809</v>
      </c>
      <c r="IM6" s="242" t="e">
        <f>ROUND([1]!NPVF("MP","SLA","N",LRFB,"M",64.1667,65,0,0,0,0,"GM71","GM71","P","","")/[1]!NPVF("MP","SLA","N",LRFB,"M",64.1667,64.1667,0,0,0,0,"GM71","GM71","P","",""),4)</f>
        <v>#VALUE!</v>
      </c>
      <c r="IP6" s="46">
        <f ca="1">ROUND([1]!NPVF("MP","SLA","N",BFCF_Rates1,"M",IN2,IN2,IO2,0,0,0,"GM71","GM71","P","","")/[1]!NPVF("MP","JSC","N",BFCF_Rates1,"M",IN2,IN2,IO2,0.5,0,0,"GM71","GM71","P","",""),4)</f>
        <v>0.83989999999999998</v>
      </c>
      <c r="JA6" s="46" t="str">
        <f>IF(OR(ISBLANK(IS2),ISBLANK(IV2),ISBLANK(W2)),"NULL",[1]!anb(W2,IS2))</f>
        <v>NULL</v>
      </c>
      <c r="JB6" s="46" t="str">
        <f>IF(OR(ISBLANK(KU2),ISBLANK(KW2)),"NULL",IF(OR(KW2="9",KW2="0"),ROUND([1]!NPVF("MP","SLA","N",BFCF_Rates,"M",LA2,LA2,LB2,0,0,0,"GM71","GM71","P","","")/[1]!NPVF("MP","JSC","N",BFCF_Rates,"M",LA2,LA2,LB2,KX2,0,0,"GM71","GM71","P","",""),4),1))</f>
        <v>NULL</v>
      </c>
      <c r="JC6" s="6" t="s">
        <v>484</v>
      </c>
      <c r="JF6" s="46" t="s">
        <v>736</v>
      </c>
      <c r="JG6" s="46" t="str">
        <f>IF(OR(ISBLANK(KU2),ISBLANK(KW2)),"NULL",ROUND(DQ2*ROUND(LC2,4)*ROUND(LE2,4)*ROUND(LG2,4),2))</f>
        <v>NULL</v>
      </c>
    </row>
    <row r="7" spans="1:16347" s="46" customFormat="1" ht="13.5" thickTop="1" x14ac:dyDescent="0.2">
      <c r="A7" s="1"/>
      <c r="B7" s="184"/>
      <c r="C7" s="6"/>
      <c r="D7" s="6"/>
      <c r="E7" s="6"/>
      <c r="F7" s="6"/>
      <c r="G7" s="6"/>
      <c r="H7" s="6"/>
      <c r="I7" s="6"/>
      <c r="J7" s="6"/>
      <c r="K7" s="6"/>
      <c r="L7" s="6"/>
      <c r="M7" s="6"/>
      <c r="N7" s="6"/>
      <c r="O7" s="6"/>
      <c r="P7" s="6"/>
      <c r="Q7" s="6"/>
      <c r="R7" s="6"/>
      <c r="S7" s="6"/>
      <c r="T7" s="6"/>
      <c r="U7" s="6"/>
      <c r="V7" s="6"/>
      <c r="W7" s="6"/>
      <c r="X7" s="6"/>
      <c r="Y7" s="6"/>
      <c r="Z7" s="6" t="e">
        <f>IF(AND(#REF!="XRD",#REF!="V"),IF(OR(U2="S",U2="D",U2="W"),"NULL",IF(NOT(ISBLANK(W2)),W2,DATE(YEAR(V2)+IF(R2="M",4,-4),MONTH(V2),DAY(V2)))),IF(AND(O2="Y",#REF!&lt;&gt;"NRD",#REF!&lt;&gt;"EURD",#REF!&lt;&gt;"ERD"),Y2,IF(ISBLANK(W2),"NULL",W2)))</f>
        <v>#REF!</v>
      </c>
      <c r="AA7" s="6"/>
      <c r="AB7" s="65">
        <f>IF(AA2&lt;DATE(1986,1,1),DATE(1985,4,1),AA2)</f>
        <v>31138</v>
      </c>
      <c r="AC7" s="65"/>
      <c r="AD7" s="6"/>
      <c r="AE7" s="6"/>
      <c r="AF7" s="6"/>
      <c r="AG7" s="6"/>
      <c r="AH7" s="6"/>
      <c r="AI7" s="6"/>
      <c r="AJ7" s="6"/>
      <c r="AK7" s="6"/>
      <c r="AL7" s="6"/>
      <c r="AM7" s="6"/>
      <c r="AN7" s="6">
        <f>IF(IF(MONTH(AZ2)&lt;MONTH(AB2),(MONTH(AZ2)+12)-MONTH(AB2),MONTH(AZ2)-MONTH(AB2))&lt;7,1,0)</f>
        <v>1</v>
      </c>
      <c r="AO7" s="6"/>
      <c r="AQ7" s="74">
        <f>IF(AP2&lt;AQ2,AQ2,AP2)</f>
        <v>38443</v>
      </c>
      <c r="AR7" s="74"/>
      <c r="AS7" s="74"/>
      <c r="AT7" s="6"/>
      <c r="AU7" s="6"/>
      <c r="AV7" s="6"/>
      <c r="AW7" s="74" t="str">
        <f>IF(AS2&gt;=AW2,"Y","N")</f>
        <v>Y</v>
      </c>
      <c r="AX7" s="74"/>
      <c r="AY7" s="74"/>
      <c r="AZ7" s="74">
        <f>[1]!NRD(V2,BB2)</f>
        <v>38443</v>
      </c>
      <c r="BA7" s="6"/>
      <c r="BB7" s="6"/>
      <c r="BC7" s="6"/>
      <c r="BD7" s="6">
        <f>DATE(YEAR(AZ2),MONTH(AZ2),DAY(AZ2)-DATE(YEAR(AB2),MONTH(AB2),DAY(AB2)))</f>
        <v>7305</v>
      </c>
      <c r="BE7" s="6"/>
      <c r="BF7" s="6">
        <f>IF(MONTH(AW2)-MONTH(AB2)&lt;=6,[1]!SERVYPA(AB2,AW2,AB2,1000)-1,[1]!SERVYPA(AB2,AW2,AB2,1000))</f>
        <v>19</v>
      </c>
      <c r="BG7" s="6" t="e">
        <f>ROUNDDOWN(([1]!COMPAM(AB14,AW14)/12),0)</f>
        <v>#VALUE!</v>
      </c>
      <c r="BH7" s="6"/>
      <c r="BI7" s="6"/>
      <c r="BJ7" s="6"/>
      <c r="BK7" s="6"/>
      <c r="BL7" s="6"/>
      <c r="BM7" s="6"/>
      <c r="BN7" s="6"/>
      <c r="BO7" s="6"/>
      <c r="BP7" s="6" t="b">
        <f>IF(AND(BI2&gt;20,BI2&lt;25),20,IF(AND(BI2&gt;25,BI2&lt;30),25))</f>
        <v>0</v>
      </c>
      <c r="BQ7" s="6"/>
      <c r="BR7" s="6"/>
      <c r="BS7" s="6"/>
      <c r="BT7" s="6"/>
      <c r="BU7" s="6"/>
      <c r="BV7" s="6"/>
      <c r="BW7" s="6"/>
      <c r="BX7" s="6"/>
      <c r="BY7" s="6"/>
      <c r="BZ7" s="6" t="s">
        <v>483</v>
      </c>
      <c r="CA7" s="6"/>
      <c r="CB7" s="6"/>
      <c r="CC7" s="6"/>
      <c r="CD7" s="6"/>
      <c r="CE7" s="6">
        <f>IF([1]!ATT(V2,PC3_Date)&gt;=57,ROUND((VLOOKUP(IF([1]!ATT(V2,PC3_Date)&lt;57,57,[1]!ATT(V2,PC3_Date)),Bene_Amt,2,FALSE)*BM2),2),0)</f>
        <v>900</v>
      </c>
      <c r="CF7" s="6"/>
      <c r="CG7" s="74">
        <f>[1]!SERVYPA(AA2,AE2,Plan_Date,1000)</f>
        <v>36</v>
      </c>
      <c r="CH7" s="6"/>
      <c r="CI7" s="6"/>
      <c r="CJ7" s="6"/>
      <c r="CK7" s="6"/>
      <c r="CL7" s="33"/>
      <c r="CM7" s="28" t="s">
        <v>476</v>
      </c>
      <c r="CN7" s="28">
        <f>IF(AZ2&lt;DOPT,CJ2,[1]!anb(V2,CM2))</f>
        <v>64</v>
      </c>
      <c r="CO7" s="28"/>
      <c r="CP7" s="28"/>
      <c r="CQ7" s="28">
        <f>MAX(CJ2,BB2)</f>
        <v>64</v>
      </c>
      <c r="CR7" s="6" t="str">
        <f>[1]!BL(DOPT,V2,AE2,"N","Y","Y",B2,CN2,CI2)</f>
        <v>MED</v>
      </c>
      <c r="CS7" s="6"/>
      <c r="CT7" s="6"/>
      <c r="CU7" s="6" t="s">
        <v>483</v>
      </c>
      <c r="CV7" s="6">
        <f>IF(CU2=CJ2,CP2,[1]!XRD(B2,DOPT,CP2,CU2,V2))</f>
        <v>40026</v>
      </c>
      <c r="CW7" s="6"/>
      <c r="CX7" s="6"/>
      <c r="CY7" s="6"/>
      <c r="CZ7" s="6"/>
      <c r="DA7" s="6"/>
      <c r="DB7" s="6"/>
      <c r="DC7" s="6"/>
      <c r="DD7" s="6"/>
      <c r="DE7" s="6"/>
      <c r="DF7" s="28"/>
      <c r="DG7" s="6"/>
      <c r="DH7" s="6"/>
      <c r="DI7" s="6"/>
      <c r="DJ7" s="6"/>
      <c r="DK7" s="6"/>
      <c r="DL7" s="6"/>
      <c r="DM7" s="3"/>
      <c r="DN7" s="3"/>
      <c r="DO7" s="3"/>
      <c r="DP7" s="234">
        <f>IF(AND(DG2="2",D2="1"),1,ROUND([1]!NPVF("MP","SLA","N",BFCF_Rates,"M",DN2,DN2,DO2,0,0,0,"GM71","GM71","P","","")/[1]!NPVF("MP","JSC","N",BFCF_Rates,"M",DN2,DN2,DO2,0.5,0,0,"GM71","GM71","P","",""),4))</f>
        <v>0.90610000000000002</v>
      </c>
      <c r="DQ7" s="3"/>
      <c r="DR7" s="234" t="e">
        <f>ROUND([1]!NPVF("MP","SLA","N",LRF,"M",65,65,0,0,0,0,"UP84","UP84","P","","")/[1]!NPVF("MP","SLA","N",LRF,"M",65,65+#REF!/12,0,0,0,0,"UP84","UP84","P","",""),4)</f>
        <v>#VALUE!</v>
      </c>
      <c r="DS7" s="3"/>
      <c r="DT7" s="3"/>
      <c r="DU7" s="234">
        <f>CG2-3</f>
        <v>33</v>
      </c>
      <c r="DV7" s="234"/>
      <c r="DW7" s="234"/>
      <c r="DX7" s="234"/>
      <c r="DY7" s="234"/>
      <c r="DZ7" s="234"/>
      <c r="EA7" s="234" t="str">
        <f>IF(OR([1]!ATT(V2,PC3_Date)&gt;=57,AND(([1]!ATT(V2,PC3_Date)&gt;=50),DU2&gt;=20)),"Y","N")</f>
        <v>Y</v>
      </c>
      <c r="EB7" s="234"/>
      <c r="EC7" s="234"/>
      <c r="ED7" s="234"/>
      <c r="EE7" s="234"/>
      <c r="EF7" s="234"/>
      <c r="EG7" s="234"/>
      <c r="EH7" s="234"/>
      <c r="EI7" s="234"/>
      <c r="EJ7" s="234"/>
      <c r="EK7" s="234"/>
      <c r="EL7" s="234"/>
      <c r="EM7" s="234"/>
      <c r="EN7" s="234"/>
      <c r="EO7" s="234"/>
      <c r="EP7" s="234"/>
      <c r="EQ7" s="234"/>
      <c r="ER7" s="234"/>
      <c r="ES7" s="3"/>
      <c r="ET7" s="3"/>
      <c r="EU7" s="3"/>
      <c r="EV7" s="3"/>
      <c r="EW7" s="3"/>
      <c r="EX7" s="33"/>
      <c r="EY7" s="33"/>
      <c r="EZ7" s="33"/>
      <c r="FA7" s="33" t="s">
        <v>610</v>
      </c>
      <c r="FB7" s="28"/>
      <c r="FC7" s="28"/>
      <c r="FD7" s="28"/>
      <c r="FE7" s="6"/>
      <c r="FF7" s="6"/>
      <c r="FG7" s="210"/>
      <c r="FH7" s="210"/>
      <c r="FI7" s="210"/>
      <c r="FJ7" s="210"/>
      <c r="FK7" s="210"/>
      <c r="FL7" s="210"/>
      <c r="FM7" s="210"/>
      <c r="FN7" s="210"/>
      <c r="FO7" s="210"/>
      <c r="FP7" s="210"/>
      <c r="FQ7" s="210"/>
      <c r="FR7" s="28"/>
      <c r="FS7" s="28"/>
      <c r="FT7" s="6"/>
      <c r="FU7" s="6"/>
      <c r="FV7" s="6"/>
      <c r="FW7" s="3"/>
      <c r="FX7" s="6"/>
      <c r="FY7" s="6"/>
      <c r="FZ7" s="6"/>
      <c r="GA7" s="6"/>
      <c r="GB7" s="6"/>
      <c r="GC7" s="6"/>
      <c r="GD7" s="6"/>
      <c r="GE7" s="6"/>
      <c r="GF7" s="6"/>
      <c r="GG7" s="6"/>
      <c r="GH7" s="6"/>
      <c r="GI7" s="6"/>
      <c r="GJ7" s="6"/>
      <c r="GK7" s="6"/>
      <c r="GL7" s="6"/>
      <c r="GM7" s="6"/>
      <c r="GN7" s="6"/>
      <c r="GO7" s="6"/>
      <c r="GP7" s="6"/>
      <c r="GQ7" s="6"/>
      <c r="GR7" s="6"/>
      <c r="GS7" s="6"/>
      <c r="GT7" s="6"/>
      <c r="GU7" s="6"/>
      <c r="GV7" s="6"/>
      <c r="GW7" s="6"/>
      <c r="GX7" s="6" t="s">
        <v>666</v>
      </c>
      <c r="GY7" s="6"/>
      <c r="GZ7" s="6"/>
      <c r="HA7" s="6"/>
      <c r="HB7" s="6" t="s">
        <v>663</v>
      </c>
      <c r="HD7" s="6"/>
      <c r="HE7" s="6"/>
      <c r="HF7" s="6"/>
      <c r="HG7" s="6"/>
      <c r="HH7" s="6"/>
      <c r="HI7" s="6"/>
      <c r="HJ7" s="6"/>
      <c r="HK7" s="6"/>
      <c r="HL7" s="6"/>
      <c r="HM7" s="6"/>
      <c r="HN7" s="6"/>
      <c r="HO7" s="6"/>
      <c r="HP7" s="6"/>
      <c r="HQ7" s="6"/>
      <c r="HR7" s="6"/>
      <c r="HS7" s="6"/>
      <c r="HT7" s="6"/>
      <c r="HU7" s="6"/>
      <c r="HV7" s="6"/>
      <c r="HZ7" s="46">
        <f ca="1">IF(AE2&lt;DATE(2000,4,2),ROUND([1]!NPVF("MX","SLA","N",LRF,"M",65,65,0,0,0,0,"GM71","GM71","P","","")/[1]!NPVF("MX","SLA","N",LRF,"M",65,65+HY2/12,0,0,0,0,"GM71","GM71","P","",""),4),IF($AE2&lt;DATE(2003,1,1),ROUND([1]!NPVF("MX","SLA","N",LRF,"M",65,65,0,0,0,0,"GM83","GM83","P","","")/[1]!NPVF("MX","SLA","N",LRF,"M",65,65+HY2/12,HW2,0,0,0,"GM83","GM83","P","",""),4),IF($AE2&gt;=DATE(2003,1,1),ROUND([1]!NPVF("MX","SLA","N",LRF,"M",65,65,0,0,0,0,"GU94","GU94","P","","")/[1]!NPVF("MX","SLA","N",LRF,"M",65,65+HY2/12,0,0,0,0,"GU94","GU94","P","",""),4))))</f>
        <v>15.793799999999999</v>
      </c>
      <c r="IC7" s="46">
        <f ca="1">IF(FL2&lt;=DATE(2000,4,1),ROUND([1]!NPVF("MP","SLA","N",BFCF_Rates1,"M",IA2,IA2,IB2,0,0,0,"GM71","GM71","P","","")/[1]!NPVF("MP","JSC","N",BFCF_Rates1,"M",IA2,IA2,IB2,0.5,0,0,"GM71","GM71","P","",""),4),IF(FL2&lt;DATE(2003,1,1),ROUND([1]!NPVF("MP","SLA","N",BFCF_Rates,"M",IA2,IA2,IB2,0,0,0,"GM83","GM83","P","","")/[1]!NPVF("MP","JSC","N",BFCF_Rates,"M",IA2,IA2,IB2,0.5,0,0,"GM83","GM83","P","",""),4),IF(FL2&gt;=DATE(2003,1,1),ROUND([1]!NPVF("MP","SLA","N",BFCF_Rates,"M",IA2,IA2,IB2,0,0,0,"GU94","GU94","P","","")/[1]!NPVF("MP","JSC","N",BFCF_Rates,"M",IA2,IA2,IB2,0.5,0,0,"GU94","GU94","P","",""),4))))</f>
        <v>0.86299999999999999</v>
      </c>
      <c r="IJ7" s="241">
        <f>DATE(2013,4,1)</f>
        <v>41365</v>
      </c>
      <c r="JB7" s="46" t="s">
        <v>741</v>
      </c>
      <c r="JC7" s="46" t="str">
        <f>IF(OR(ISBLANK(IS2),ISBLANK(IV2)),"NULL",IF(IS2&lt;AZ2,[1]!COMPM(IS2,AZ2),0))</f>
        <v>NULL</v>
      </c>
      <c r="JF7" s="46" t="str">
        <f>IF(OR(ISBLANK(IS2),ISBLANK(IV2)),"NULL",IF($AE2&lt;=DATE(2000,4,1),ROUND([1]!NPVF("MX","SLA","N",LRFB,"M",BB2,BB2,0,0,0,0,"GM71","GM71","P","","")/[1]!NPVF("MX","SLA","N",LRFB,"M",BB2,BB2+JE2/12,0,0,0,0,"GM71","GM71","P","",""),4),IF($AE2&lt;DATE(2003,1,1),ROUND([1]!NPVF("MX","SLA","N",LRF,"M",BB2,BB2,0,0,0,0,"GM83","GM83","P","","")/[1]!NPVF("MX","SLA","N",LRF,"M",BB2,BB2+JE2/12,0,0,0,0,"GM83","GM83","P","",""),4),IF($AE2&gt;=DATE(2003,1,1),ROUND([1]!NPVF("MX","SLA","N",LRF,"M",BB2,BB2,0,0,0,0,"GU94","GU94","P","","")/[1]!NPVF("MX","SLA","N",LRF,"M",BB2,BB2+JE2/12,0,0,0,0,"GU94","GU94","P","",""),4)))))</f>
        <v>NULL</v>
      </c>
      <c r="JG7" s="46" t="str">
        <f>IF(OR(ISBLANK(IS2),ISBLANK(IV2)),"NULL",ROUND(ROUND(CI2,2)*ROUND(JB2,4)*ROUND(JD2,4)*ROUND(JF2,4),2))</f>
        <v>NULL</v>
      </c>
    </row>
    <row r="8" spans="1:16347" s="46" customFormat="1" x14ac:dyDescent="0.2">
      <c r="A8" s="1"/>
      <c r="B8" s="10"/>
      <c r="C8" s="6"/>
      <c r="D8" s="6"/>
      <c r="E8" s="6"/>
      <c r="F8" s="6"/>
      <c r="G8" s="6"/>
      <c r="H8" s="6"/>
      <c r="I8" s="6"/>
      <c r="J8" s="6"/>
      <c r="K8" s="6"/>
      <c r="L8" s="6"/>
      <c r="M8" s="6"/>
      <c r="N8" s="6"/>
      <c r="O8" s="6"/>
      <c r="P8" s="6"/>
      <c r="Q8" s="6"/>
      <c r="R8" s="8"/>
      <c r="S8" s="8"/>
      <c r="T8" s="8"/>
      <c r="U8" s="8"/>
      <c r="V8" s="8"/>
      <c r="W8" s="8"/>
      <c r="X8" s="8"/>
      <c r="Y8" s="8"/>
      <c r="Z8" s="8" t="s">
        <v>739</v>
      </c>
      <c r="AA8" s="8"/>
      <c r="AB8" s="6"/>
      <c r="AC8" s="6"/>
      <c r="AD8" s="6"/>
      <c r="AE8" s="6"/>
      <c r="AF8" s="6"/>
      <c r="AG8" s="6"/>
      <c r="AH8" s="6"/>
      <c r="AI8" s="6"/>
      <c r="AJ8" s="6"/>
      <c r="AK8" s="6"/>
      <c r="AL8" s="6"/>
      <c r="AM8" s="6"/>
      <c r="AN8" s="6"/>
      <c r="AO8" s="6"/>
      <c r="AP8" s="6" t="s">
        <v>627</v>
      </c>
      <c r="AQ8" s="6"/>
      <c r="AR8" s="6"/>
      <c r="AS8" s="6"/>
      <c r="AT8" s="6"/>
      <c r="AU8" s="6"/>
      <c r="AV8" s="6">
        <f>IF(AT2&lt;58,58,[1]!anb(V2,AP2))</f>
        <v>60</v>
      </c>
      <c r="AW8" s="6"/>
      <c r="AX8" s="6"/>
      <c r="AY8" s="6"/>
      <c r="AZ8" s="6"/>
      <c r="BA8" s="6"/>
      <c r="BB8" s="6" t="s">
        <v>732</v>
      </c>
      <c r="BC8" s="6"/>
      <c r="BD8" s="6">
        <f>YEAR(AZ2)-YEAR(AB2)</f>
        <v>20</v>
      </c>
      <c r="BE8" s="6"/>
      <c r="BF8" s="6">
        <f>[1]!SERVYPA(AB2,AW2,AB2,1000)</f>
        <v>20</v>
      </c>
      <c r="BG8" s="6" t="e">
        <f>ROUNDDOWN((BG7),0)</f>
        <v>#VALUE!</v>
      </c>
      <c r="BH8" s="6"/>
      <c r="BI8" s="6"/>
      <c r="BJ8" s="6"/>
      <c r="BK8" s="6"/>
      <c r="BL8" s="6"/>
      <c r="BM8" s="6"/>
      <c r="BN8" s="6"/>
      <c r="BO8" s="6"/>
      <c r="BP8" s="6"/>
      <c r="BQ8" s="6"/>
      <c r="BR8" s="6"/>
      <c r="BS8" s="6"/>
      <c r="BT8" s="6"/>
      <c r="BU8" s="6"/>
      <c r="BV8" s="6"/>
      <c r="BW8" s="6"/>
      <c r="BX8" s="6"/>
      <c r="BY8" s="6"/>
      <c r="BZ8" s="6">
        <f>ROUND((VLOOKUP(AV2,Bene_Amt,2,FALSE)*BM2),2)</f>
        <v>862.5</v>
      </c>
      <c r="CA8" s="6"/>
      <c r="CB8" s="6"/>
      <c r="CC8" s="6"/>
      <c r="CD8" s="6" t="s">
        <v>578</v>
      </c>
      <c r="CE8" s="6"/>
      <c r="CF8" s="6"/>
      <c r="CG8" s="8"/>
      <c r="CH8" s="8"/>
      <c r="CI8" s="6"/>
      <c r="CJ8" s="8"/>
      <c r="CK8" s="8"/>
      <c r="CL8" s="28"/>
      <c r="CM8" s="27"/>
      <c r="CN8" s="27"/>
      <c r="CO8" s="27"/>
      <c r="CP8" s="27"/>
      <c r="CQ8" s="27"/>
      <c r="CR8" s="6"/>
      <c r="CS8" s="6"/>
      <c r="CT8" s="6"/>
      <c r="CU8" s="8">
        <f>IF(AZ2&lt;=DOPT,CJ2,[1]!XRA(CR2,CQ2,CN2,DOPT,V2,IF(Z2="NULL",0,Z2),B2,D2))</f>
        <v>64</v>
      </c>
      <c r="CV8" s="8"/>
      <c r="CW8" s="8"/>
      <c r="CX8" s="8"/>
      <c r="CY8" s="6"/>
      <c r="CZ8" s="6"/>
      <c r="DA8" s="8"/>
      <c r="DB8" s="8"/>
      <c r="DC8" s="8"/>
      <c r="DD8" s="8"/>
      <c r="DE8" s="8"/>
      <c r="DF8" s="27"/>
      <c r="DG8" s="8"/>
      <c r="DH8" s="8"/>
      <c r="DI8" s="8"/>
      <c r="DJ8" s="8"/>
      <c r="DK8" s="8"/>
      <c r="DL8" s="8"/>
      <c r="DM8" s="11" t="e">
        <f>ROUND([1]!NPVF("MP","SLA","N",#REF!,"M",62,63.5,0,0,0,0,"GM71","GM71","P","","")/[1]!NPVF("MP","SLA","N",#REF!,"M",62,62,0,0,0,0,"GM71","GM71","P","",""),4)</f>
        <v>#VALUE!</v>
      </c>
      <c r="DN8" s="11"/>
      <c r="DO8" s="11"/>
      <c r="DP8" s="11">
        <f>ROUND([1]!NPVF("MP","SLA","N",BFCF_Rates1,"M",DN18,DN18,DO18,0,0,0,"GM83","GM83","P","","")/[1]!NPVF("MP","JSC","N",BFCF_Rates1,"M",DN18,DN18,DO18,0.5,0,0,"GM83","GM83","P","",""),4)</f>
        <v>0.99660000000000004</v>
      </c>
      <c r="DQ8" s="11"/>
      <c r="DR8" s="11" t="e">
        <f>IF(AND(DG2="2",D2="1"),1,IF(AE2&lt;DATE(2000,4,1),ROUND([1]!NPVF("MP","SLA","N",BFCF_Rates,"M",65,65,0,0,0,0,"GM71","GM71","P","","")/[1]!NPVF("MP","JSC","N",BFCF_Rates,"M",65,65+DQ2/12,0,0,0,0,"GM71","GM71","P","",""),4),IF(AE2&lt;DATE(2003,1,1),ROUND([1]!NPVF("MP","SLA","N",BFCF_Rates1,"M",65,65,0,0,0,0,"GM83","GM83","P","","")/[1]!NPVF("MP","JSC","N",BFCF_Rates1,"M",65,65+DQ2/12,DO2,0,0,0,"GM83","GM83","P","",""),4),IF(AE2&gt;=DATE(2003,1,1),ROUND([1]!NPVF("MP","SLA","N",BFCF_Rates1,"M",65,65,0,0,0,0,"GU94","GU94","P","","")/[1]!NPVF("MP","JSC","N",BFCF_Rates1,"M",65,65+DQ2/12,0,0,0,0,"GU94","GU94","P","",""),4)))))</f>
        <v>#VALUE!</v>
      </c>
      <c r="DS8" s="11"/>
      <c r="DT8" s="11"/>
      <c r="DU8" s="11" t="s">
        <v>579</v>
      </c>
      <c r="DV8" s="11" t="s">
        <v>578</v>
      </c>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28"/>
      <c r="EY8" s="28"/>
      <c r="EZ8" s="28"/>
      <c r="FA8" s="302">
        <f>GJ2</f>
        <v>0</v>
      </c>
      <c r="FB8" s="27"/>
      <c r="FC8" s="27"/>
      <c r="FD8" s="27"/>
      <c r="FE8" s="8"/>
      <c r="FF8" s="8"/>
      <c r="FG8" s="209"/>
      <c r="FH8" s="209"/>
      <c r="FI8" s="209"/>
      <c r="FJ8" s="209"/>
      <c r="FK8" s="209"/>
      <c r="FL8" s="209"/>
      <c r="FM8" s="209"/>
      <c r="FN8" s="209"/>
      <c r="FO8" s="209"/>
      <c r="FP8" s="209"/>
      <c r="FQ8" s="209"/>
      <c r="FR8" s="27"/>
      <c r="FS8" s="27"/>
      <c r="FT8" s="8"/>
      <c r="FU8" s="8"/>
      <c r="FV8" s="8"/>
      <c r="FW8" s="11"/>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t="s">
        <v>664</v>
      </c>
      <c r="HD8" s="6"/>
      <c r="HE8" s="8" t="str">
        <f>IF(OR(DG2="5",NOT(ISBLANK(W2))),"NULL",INDEX(BFCF_Table,DN2-54,DN2))</f>
        <v>NULL</v>
      </c>
      <c r="HF8" s="8"/>
      <c r="HG8" s="6"/>
      <c r="HH8" s="11"/>
      <c r="HI8" s="11"/>
      <c r="HJ8" s="8"/>
      <c r="HK8" s="8"/>
      <c r="HL8" s="8"/>
      <c r="HM8" s="8"/>
      <c r="HN8" s="8"/>
      <c r="HO8" s="8"/>
      <c r="HP8" s="8"/>
      <c r="HQ8" s="8"/>
      <c r="HR8" s="8"/>
      <c r="HS8" s="8"/>
      <c r="HT8" s="8"/>
      <c r="HU8" s="8"/>
      <c r="HV8" s="8"/>
      <c r="HZ8" s="46" t="s">
        <v>736</v>
      </c>
      <c r="JB8" s="46" t="str">
        <f>IF(OR(ISBLANK(IS2),ISBLANK(IV2)),"NULL",IF(OR(IV2="9",IV2="0"),IF(BD2&lt;=DATE(2000,4,1),ROUND([1]!NPVF("MX","SLA","N",BFCF_Rates,"M",IZ2,IZ2,JA2,0,0,0,"GM71","GM71","P","","")/[1]!NPVF("MX","JSC","N",BFCF_Rates,"M",IZ2,IZ2,JA2,0.5,0,0,"GM71","GM71","P","",""),4),IF(BD2&lt;DATE(2003,1,1),ROUND([1]!NPVF("MX","SLA","N",BFCF_Rates1,"M",IZ2,IZ2,JA2,0,0,0,"GM83","GM83","P","","")/[1]!NPVF("MX","JSC","N",BFCF_Rates1,"M",IZ2,IZ2,JA2,0.5,0,0,"GM83","GM83","P","",""),4),IF(BD2&gt;=DATE(2003,1,1),ROUND([1]!NPVF("MX","SLA","N",BFCF_Rates1,"M",IZ2,IZ2,JA2,0,0,0,"GU94","GU94","P","","")/[1]!NPVF("MX","JSC","N",BFCF_Rates1,"M",IZ2,IZ2,JA2,0.5,0,0,"GU94","GU94","P","",""),4))))))</f>
        <v>NULL</v>
      </c>
    </row>
    <row r="9" spans="1:16347" s="46" customFormat="1" x14ac:dyDescent="0.2">
      <c r="A9" s="1"/>
      <c r="B9" s="10"/>
      <c r="C9" s="6"/>
      <c r="D9" s="6"/>
      <c r="E9" s="6"/>
      <c r="F9" s="6"/>
      <c r="G9" s="6"/>
      <c r="H9" s="6"/>
      <c r="I9" s="6"/>
      <c r="J9" s="6"/>
      <c r="K9" s="6"/>
      <c r="L9" s="6"/>
      <c r="M9" s="6"/>
      <c r="N9" s="6"/>
      <c r="O9" s="6"/>
      <c r="P9" s="6"/>
      <c r="Q9" s="6"/>
      <c r="R9" s="8"/>
      <c r="S9" s="8"/>
      <c r="T9" s="8"/>
      <c r="U9" s="8"/>
      <c r="V9" s="8"/>
      <c r="W9" s="8"/>
      <c r="X9" s="8"/>
      <c r="Y9" s="8"/>
      <c r="Z9" s="65">
        <f>IF(OR(U2="D",U2="W",U2="S"),"NULL",IF(W2&gt;0,W2,DATE(YEAR(V2)+IF(R2="M",4,-4),MONTH(V2),DAY(V2))))</f>
        <v>17078</v>
      </c>
      <c r="AA9" s="8"/>
      <c r="AB9" s="6"/>
      <c r="AC9" s="6"/>
      <c r="AD9" s="6"/>
      <c r="AE9" s="6"/>
      <c r="AF9" s="6"/>
      <c r="AG9" s="6"/>
      <c r="AH9" s="6"/>
      <c r="AI9" s="6"/>
      <c r="AJ9" s="6"/>
      <c r="AK9" s="6"/>
      <c r="AL9" s="6"/>
      <c r="AM9" s="6"/>
      <c r="AN9" s="6"/>
      <c r="AO9" s="6"/>
      <c r="AP9" s="74">
        <f>DATE(YEAR(V2)+58,MONTH(V2),DAY(V2))</f>
        <v>37694</v>
      </c>
      <c r="AQ9" s="6"/>
      <c r="AR9" s="6"/>
      <c r="AS9" s="6"/>
      <c r="AT9" s="6"/>
      <c r="AU9" s="6"/>
      <c r="AV9" s="6">
        <f>IF(AT2&lt;58,58,IF(AQ2&lt;AP2,(YEAR(AP2)-YEAR(V2)),[1]!ATT(V2,AP2)))</f>
        <v>60</v>
      </c>
      <c r="AW9" s="6"/>
      <c r="AX9" s="6"/>
      <c r="AY9" s="6"/>
      <c r="AZ9" s="6"/>
      <c r="BA9" s="6"/>
      <c r="BB9" s="6"/>
      <c r="BC9" s="6"/>
      <c r="BD9" s="6">
        <f>IF(IF(MONTH(AZ2)&lt;MONTH(AB2),(MONTH(AZ2)+12)-MONTH(AB2),MONTH(AZ2)-MONTH(AB2))&lt;7,[1]!SERVYPA(AB2,AZ2,AB2,1000),[1]!SERVYPA(AB2,AZ2,AB2,1000)+1)</f>
        <v>20</v>
      </c>
      <c r="BE9" s="6"/>
      <c r="BF9" s="6"/>
      <c r="BG9" s="6"/>
      <c r="BH9" s="6"/>
      <c r="BJ9" s="6"/>
      <c r="BK9" s="6"/>
      <c r="BL9" s="6"/>
      <c r="BM9" s="6"/>
      <c r="BN9" s="6"/>
      <c r="BO9" s="6"/>
      <c r="BP9" s="6"/>
      <c r="BQ9" s="6"/>
      <c r="BR9" s="6"/>
      <c r="BS9" s="6"/>
      <c r="BT9" s="6"/>
      <c r="BU9" s="6"/>
      <c r="BV9" s="6"/>
      <c r="BW9" s="6"/>
      <c r="BX9" s="6"/>
      <c r="BY9" s="6"/>
      <c r="BZ9" s="6"/>
      <c r="CA9" s="6"/>
      <c r="CB9" s="6"/>
      <c r="CC9" s="6" t="s">
        <v>262</v>
      </c>
      <c r="CD9" s="6">
        <f>ROUND(VLOOKUP(IF([1]!ATT(V2,PC3_Date)&lt;57,57,[1]!ATT(V2,PC3_Date)),Bene_Amt,IF(BI2&lt;=25,2,IF(BI2&lt;30,3,IF(BI2&gt;=30,4))),FALSE)+((BT2-BS2)/5)*IF(BI2&gt;=30,BI2-30,IF(BI2&gt;=25,BI2-25,IF(BI2&gt;=20,BI2-20))),2)</f>
        <v>2200</v>
      </c>
      <c r="CE9" s="6">
        <f>IF(AV2-3&lt;57,0,ROUND((VLOOKUP(BB2-3,Bene_Amt,2,FALSE)*BM2),2))</f>
        <v>656.25</v>
      </c>
      <c r="CF9" s="6"/>
      <c r="CG9" s="8"/>
      <c r="CH9" s="8"/>
      <c r="CI9" s="6"/>
      <c r="CJ9" s="8"/>
      <c r="CK9" s="8"/>
      <c r="CL9" s="28"/>
      <c r="CM9" s="27"/>
      <c r="CN9" s="27"/>
      <c r="CO9" s="27"/>
      <c r="CP9" s="27"/>
      <c r="CQ9" s="27"/>
      <c r="CR9" s="6"/>
      <c r="CS9" s="6"/>
      <c r="CT9" s="6"/>
      <c r="CU9" s="8"/>
      <c r="CV9" s="8"/>
      <c r="CW9" s="8"/>
      <c r="CX9" s="8"/>
      <c r="CY9" s="6"/>
      <c r="CZ9" s="6"/>
      <c r="DA9" s="8"/>
      <c r="DB9" s="8"/>
      <c r="DC9" s="8"/>
      <c r="DD9" s="8"/>
      <c r="DE9" s="8"/>
      <c r="DF9" s="27"/>
      <c r="DG9" s="8"/>
      <c r="DH9" s="8"/>
      <c r="DI9" s="8"/>
      <c r="DJ9" s="8"/>
      <c r="DK9" s="8"/>
      <c r="DL9" s="8"/>
      <c r="DM9" s="11"/>
      <c r="DN9" s="11"/>
      <c r="DO9" s="11"/>
      <c r="DP9" s="11"/>
      <c r="DQ9" s="11"/>
      <c r="DR9" s="11" t="s">
        <v>736</v>
      </c>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28"/>
      <c r="EY9" s="28"/>
      <c r="EZ9" s="28"/>
      <c r="FA9" s="302"/>
      <c r="FB9" s="27"/>
      <c r="FC9" s="27"/>
      <c r="FD9" s="27"/>
      <c r="FE9" s="8"/>
      <c r="FF9" s="8"/>
      <c r="FG9" s="209"/>
      <c r="FH9" s="209"/>
      <c r="FI9" s="209"/>
      <c r="FJ9" s="209"/>
      <c r="FK9" s="209"/>
      <c r="FL9" s="209"/>
      <c r="FM9" s="209"/>
      <c r="FN9" s="209"/>
      <c r="FO9" s="209"/>
      <c r="FP9" s="209"/>
      <c r="FQ9" s="209"/>
      <c r="FR9" s="27"/>
      <c r="FS9" s="27"/>
      <c r="FT9" s="8"/>
      <c r="FU9" s="8"/>
      <c r="FV9" s="8"/>
      <c r="FW9" s="11"/>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D9" s="6"/>
      <c r="HE9" s="8"/>
      <c r="HF9" s="8"/>
      <c r="HG9" s="6"/>
      <c r="HH9" s="11"/>
      <c r="HI9" s="11"/>
      <c r="HJ9" s="8"/>
      <c r="HK9" s="8"/>
      <c r="HL9" s="8"/>
      <c r="HM9" s="8"/>
      <c r="HN9" s="8"/>
      <c r="HO9" s="8"/>
      <c r="HP9" s="8"/>
      <c r="HQ9" s="8"/>
      <c r="HR9" s="8"/>
      <c r="HS9" s="8"/>
      <c r="HT9" s="8"/>
      <c r="HU9" s="8"/>
      <c r="HV9" s="8"/>
      <c r="HZ9" s="46">
        <f ca="1">IF(AE2&lt;=DATE(2000,4,1),ROUND([1]!NPVF("MX","SLA","N",LRFB,"M",BB2,BB2,0,0,0,0,"GM71","GM71","P","","")/[1]!NPVF("MX","SLA","N",LRFB,"M",BB2,BB2+HY2/12,0,0,0,0,"GM71","GM71","P","",""),4),IF($AE2&lt;DATE(2003,1,1),ROUND([1]!NPVF("MX","SLA","N",LRF,"M",BB2,BB2,0,0,0,0,"GM83","GM83","P","","")/[1]!NPVF("MX","SLA","N",LRF,"M",BB2,BB2+HY2/12,0,0,0,0,"GM83","GM83","P","",""),4),IF($AE2&gt;=DATE(2003,1,1),ROUND([1]!NPVF("MX","SLA","N",LRF,"M",BB2,BB2,0,0,0,0,"GU94","GU94","P","","")/[1]!NPVF("MX","SLA","N",LRF,"M",BB2,BB2+HY2/12,0,0,0,0,"GU94","GU94","P","",""),4))))</f>
        <v>10.315200000000001</v>
      </c>
    </row>
    <row r="10" spans="1:16347" s="46" customFormat="1" x14ac:dyDescent="0.2">
      <c r="A10" s="1"/>
      <c r="B10" s="10"/>
      <c r="C10" s="6"/>
      <c r="D10" s="6"/>
      <c r="E10" s="6"/>
      <c r="F10" s="6"/>
      <c r="G10" s="6"/>
      <c r="H10" s="6"/>
      <c r="I10" s="6"/>
      <c r="J10" s="6"/>
      <c r="K10" s="6"/>
      <c r="L10" s="6"/>
      <c r="M10" s="6"/>
      <c r="N10" s="6"/>
      <c r="O10" s="6"/>
      <c r="P10" s="6"/>
      <c r="Q10" s="6"/>
      <c r="R10" s="8"/>
      <c r="S10" s="8"/>
      <c r="T10" s="8"/>
      <c r="U10" s="8"/>
      <c r="V10" s="8"/>
      <c r="W10" s="8"/>
      <c r="X10" s="8"/>
      <c r="Y10" s="8"/>
      <c r="Z10" s="8"/>
      <c r="AA10" s="8"/>
      <c r="AB10" s="6"/>
      <c r="AC10" s="6"/>
      <c r="AD10" s="6"/>
      <c r="AE10" s="6"/>
      <c r="AF10" s="6"/>
      <c r="AG10" s="6"/>
      <c r="AH10" s="6"/>
      <c r="AI10" s="6"/>
      <c r="AJ10" s="6"/>
      <c r="AK10" s="6"/>
      <c r="AL10" s="6"/>
      <c r="AM10" s="6"/>
      <c r="AN10" s="6"/>
      <c r="AO10" s="6"/>
      <c r="AP10" s="6"/>
      <c r="AQ10" s="6"/>
      <c r="AR10" s="6"/>
      <c r="AS10" s="6"/>
      <c r="AT10" s="6"/>
      <c r="AU10" s="6"/>
      <c r="AV10" s="6">
        <f>IF(AT2&lt;58,58,[1]!ATT(V2,AP2))</f>
        <v>60</v>
      </c>
      <c r="AW10" s="6"/>
      <c r="AX10" s="6"/>
      <c r="AY10" s="6"/>
      <c r="AZ10" s="6"/>
      <c r="BA10" s="6"/>
      <c r="BB10" s="6"/>
      <c r="BC10" s="6"/>
      <c r="BD10" s="6"/>
      <c r="BE10" s="6"/>
      <c r="BF10" s="6"/>
      <c r="BG10" s="6"/>
      <c r="BH10" s="6"/>
      <c r="BI10" s="6" t="s">
        <v>700</v>
      </c>
      <c r="BJ10" s="6"/>
      <c r="BK10" s="6"/>
      <c r="BL10" s="6"/>
      <c r="BM10" s="6"/>
      <c r="BN10" s="6"/>
      <c r="BO10" s="6"/>
      <c r="BP10" s="6"/>
      <c r="BQ10" s="6"/>
      <c r="BR10" s="6"/>
      <c r="BS10" s="6"/>
      <c r="BT10" s="6"/>
      <c r="BU10" s="6"/>
      <c r="BV10" s="6"/>
      <c r="BW10" s="6"/>
      <c r="BX10" s="6"/>
      <c r="BY10" s="6"/>
      <c r="BZ10" s="6"/>
      <c r="CA10" s="6"/>
      <c r="CB10" s="6"/>
      <c r="CC10" s="6"/>
      <c r="CD10" s="6"/>
      <c r="CE10" s="6"/>
      <c r="CF10" s="6"/>
      <c r="CG10" s="8"/>
      <c r="CH10" s="8"/>
      <c r="CI10" s="6"/>
      <c r="CJ10" s="8"/>
      <c r="CK10" s="8"/>
      <c r="CL10" s="28"/>
      <c r="CM10" s="27"/>
      <c r="CN10" s="27"/>
      <c r="CO10" s="27"/>
      <c r="CP10" s="27"/>
      <c r="CQ10" s="27"/>
      <c r="CR10" s="6"/>
      <c r="CS10" s="6"/>
      <c r="CT10" s="6"/>
      <c r="CU10" s="8"/>
      <c r="CV10" s="8"/>
      <c r="CW10" s="8"/>
      <c r="CX10" s="8"/>
      <c r="CY10" s="6"/>
      <c r="CZ10" s="6"/>
      <c r="DA10" s="8"/>
      <c r="DB10" s="8"/>
      <c r="DC10" s="8"/>
      <c r="DD10" s="8"/>
      <c r="DE10" s="8"/>
      <c r="DF10" s="27"/>
      <c r="DG10" s="8"/>
      <c r="DH10" s="8"/>
      <c r="DI10" s="8"/>
      <c r="DJ10" s="8"/>
      <c r="DK10" s="8"/>
      <c r="DL10" s="8"/>
      <c r="DM10" s="11"/>
      <c r="DN10" s="11"/>
      <c r="DO10" s="11"/>
      <c r="DP10" s="11"/>
      <c r="DQ10" s="11"/>
      <c r="DR10" s="11">
        <f>IF($AE2&lt;=DATE(2000,4,1),ROUND([1]!NPVF("MX","SLA","N",LRFB,"M",BB2,BB2,0,0,0,0,"GM71","GM71","P","","")/[1]!NPVF("MX","SLA","N",LRFB,"M",BB2,BB2+DQ2/12,0,0,0,0,"GM71","GM71","P","",""),4),IF($AE2&lt;DATE(2003,1,1),ROUND([1]!NPVF("MX","SLA","N",LRF,"M",BB2,BB2,0,0,0,0,"GM83","GM83","P","","")/[1]!NPVF("MX","SLA","N",LRF,"M",BB2,BB2+DQ2/12,0,0,0,0,"GM83","GM83","P","",""),4),IF($AE2&gt;=DATE(2003,1,1),ROUND([1]!NPVF("MX","SLA","N",LRF,"M",BB2,BB2,0,0,0,0,"GU94","GU94","P","","")/[1]!NPVF("MX","SLA","N",LRF,"M",BB2,BB2+DQ2/12,0,0,0,0,"GU94","GU94","P","",""),4))))</f>
        <v>1.5049999999999999</v>
      </c>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28"/>
      <c r="EY10" s="28"/>
      <c r="EZ10" s="28"/>
      <c r="FA10" s="302"/>
      <c r="FB10" s="27"/>
      <c r="FC10" s="27"/>
      <c r="FD10" s="27"/>
      <c r="FE10" s="8"/>
      <c r="FF10" s="8"/>
      <c r="FG10" s="209"/>
      <c r="FH10" s="209"/>
      <c r="FI10" s="209"/>
      <c r="FJ10" s="209"/>
      <c r="FK10" s="209"/>
      <c r="FL10" s="209"/>
      <c r="FM10" s="209"/>
      <c r="FN10" s="209"/>
      <c r="FO10" s="209"/>
      <c r="FP10" s="209"/>
      <c r="FQ10" s="209"/>
      <c r="FR10" s="27"/>
      <c r="FS10" s="27"/>
      <c r="FT10" s="8"/>
      <c r="FU10" s="8"/>
      <c r="FV10" s="8"/>
      <c r="FW10" s="11"/>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D10" s="6"/>
      <c r="HE10" s="8"/>
      <c r="HF10" s="8"/>
      <c r="HG10" s="6"/>
      <c r="HH10" s="11"/>
      <c r="HI10" s="11"/>
      <c r="HJ10" s="8"/>
      <c r="HK10" s="8"/>
      <c r="HL10" s="8"/>
      <c r="HM10" s="8"/>
      <c r="HN10" s="8"/>
      <c r="HO10" s="8"/>
      <c r="HP10" s="8"/>
      <c r="HQ10" s="8"/>
      <c r="HR10" s="8"/>
      <c r="HS10" s="8"/>
      <c r="HT10" s="8"/>
      <c r="HU10" s="8"/>
      <c r="HV10" s="8"/>
    </row>
    <row r="11" spans="1:16347" s="142" customFormat="1" ht="52.5" customHeight="1" thickBot="1" x14ac:dyDescent="0.25">
      <c r="A11" s="140"/>
      <c r="B11" s="141"/>
      <c r="C11" s="25"/>
      <c r="D11" s="25"/>
      <c r="E11" s="25" t="s">
        <v>268</v>
      </c>
      <c r="F11" s="25" t="s">
        <v>234</v>
      </c>
      <c r="G11" s="25" t="s">
        <v>77</v>
      </c>
      <c r="H11" s="25" t="s">
        <v>393</v>
      </c>
      <c r="I11" s="25" t="s">
        <v>394</v>
      </c>
      <c r="J11" s="25" t="s">
        <v>395</v>
      </c>
      <c r="K11" s="25" t="s">
        <v>269</v>
      </c>
      <c r="L11" s="25" t="s">
        <v>270</v>
      </c>
      <c r="M11" s="25" t="s">
        <v>668</v>
      </c>
      <c r="N11" s="25" t="s">
        <v>271</v>
      </c>
      <c r="O11" s="25" t="s">
        <v>396</v>
      </c>
      <c r="P11" s="324" t="s">
        <v>416</v>
      </c>
      <c r="Q11" s="25" t="s">
        <v>412</v>
      </c>
      <c r="R11" s="25" t="s">
        <v>78</v>
      </c>
      <c r="S11" s="25" t="s">
        <v>398</v>
      </c>
      <c r="T11" s="25" t="s">
        <v>79</v>
      </c>
      <c r="U11" s="25" t="s">
        <v>80</v>
      </c>
      <c r="V11" s="25" t="s">
        <v>81</v>
      </c>
      <c r="W11" s="25" t="s">
        <v>400</v>
      </c>
      <c r="X11" s="261" t="s">
        <v>658</v>
      </c>
      <c r="Y11" s="25" t="s">
        <v>82</v>
      </c>
      <c r="Z11" s="25" t="s">
        <v>83</v>
      </c>
      <c r="AA11" s="25" t="s">
        <v>273</v>
      </c>
      <c r="AB11" s="25" t="s">
        <v>272</v>
      </c>
      <c r="AC11" s="261"/>
      <c r="AD11" s="261"/>
      <c r="AE11" s="25" t="s">
        <v>84</v>
      </c>
      <c r="AF11" s="25" t="s">
        <v>468</v>
      </c>
      <c r="AG11" s="261" t="s">
        <v>656</v>
      </c>
      <c r="AH11" s="25" t="s">
        <v>470</v>
      </c>
      <c r="AI11" s="25" t="s">
        <v>426</v>
      </c>
      <c r="AJ11" s="25" t="s">
        <v>408</v>
      </c>
      <c r="AK11" s="25" t="s">
        <v>409</v>
      </c>
      <c r="AL11" s="25" t="s">
        <v>278</v>
      </c>
      <c r="AM11" s="261"/>
      <c r="AN11" s="25" t="s">
        <v>276</v>
      </c>
      <c r="AO11" s="25" t="s">
        <v>279</v>
      </c>
      <c r="AP11" s="25" t="s">
        <v>695</v>
      </c>
      <c r="AQ11" s="25" t="s">
        <v>685</v>
      </c>
      <c r="AR11" s="261" t="s">
        <v>688</v>
      </c>
      <c r="AS11" s="261" t="s">
        <v>684</v>
      </c>
      <c r="AT11" s="315" t="s">
        <v>720</v>
      </c>
      <c r="AU11" s="261" t="s">
        <v>684</v>
      </c>
      <c r="AV11" s="305" t="s">
        <v>628</v>
      </c>
      <c r="AW11" s="305" t="s">
        <v>622</v>
      </c>
      <c r="AX11" s="305" t="s">
        <v>694</v>
      </c>
      <c r="AY11" s="305" t="s">
        <v>697</v>
      </c>
      <c r="AZ11" s="25" t="s">
        <v>88</v>
      </c>
      <c r="BA11" s="261" t="s">
        <v>613</v>
      </c>
      <c r="BB11" s="25" t="s">
        <v>87</v>
      </c>
      <c r="BC11" s="261"/>
      <c r="BD11" s="25" t="s">
        <v>277</v>
      </c>
      <c r="BE11" s="261"/>
      <c r="BF11" s="261"/>
      <c r="BG11" s="261"/>
      <c r="BH11" s="261"/>
      <c r="BI11" s="261" t="s">
        <v>725</v>
      </c>
      <c r="BJ11" s="261"/>
      <c r="BK11" s="261"/>
      <c r="BL11" s="25" t="s">
        <v>304</v>
      </c>
      <c r="BM11" s="25" t="s">
        <v>471</v>
      </c>
      <c r="BN11" s="25" t="s">
        <v>325</v>
      </c>
      <c r="BO11" s="261"/>
      <c r="BP11" s="261"/>
      <c r="BQ11" s="261" t="s">
        <v>699</v>
      </c>
      <c r="BR11" s="261" t="s">
        <v>702</v>
      </c>
      <c r="BS11" s="261" t="s">
        <v>705</v>
      </c>
      <c r="BT11" s="261" t="s">
        <v>706</v>
      </c>
      <c r="BU11" s="142" t="s">
        <v>709</v>
      </c>
      <c r="BV11" s="261" t="s">
        <v>708</v>
      </c>
      <c r="BW11" s="261" t="s">
        <v>707</v>
      </c>
      <c r="BX11" s="261" t="s">
        <v>613</v>
      </c>
      <c r="BY11" s="261" t="s">
        <v>704</v>
      </c>
      <c r="BZ11" s="25" t="s">
        <v>294</v>
      </c>
      <c r="CA11" s="261"/>
      <c r="CB11" s="25" t="s">
        <v>305</v>
      </c>
      <c r="CC11" s="261"/>
      <c r="CD11" s="261" t="s">
        <v>691</v>
      </c>
      <c r="CE11" s="25" t="s">
        <v>692</v>
      </c>
      <c r="CF11" s="25" t="s">
        <v>488</v>
      </c>
      <c r="CG11" s="25" t="s">
        <v>296</v>
      </c>
      <c r="CH11" s="25" t="s">
        <v>299</v>
      </c>
      <c r="CI11" s="25" t="s">
        <v>302</v>
      </c>
      <c r="CJ11" s="25" t="s">
        <v>85</v>
      </c>
      <c r="CK11" s="25" t="s">
        <v>86</v>
      </c>
      <c r="CL11" s="34" t="s">
        <v>323</v>
      </c>
      <c r="CM11" s="25" t="s">
        <v>306</v>
      </c>
      <c r="CN11" s="25" t="s">
        <v>103</v>
      </c>
      <c r="CO11" s="25" t="s">
        <v>479</v>
      </c>
      <c r="CP11" s="25" t="s">
        <v>307</v>
      </c>
      <c r="CQ11" s="25" t="s">
        <v>104</v>
      </c>
      <c r="CR11" s="25" t="s">
        <v>106</v>
      </c>
      <c r="CS11" s="261"/>
      <c r="CT11" s="261" t="s">
        <v>724</v>
      </c>
      <c r="CU11" s="25" t="s">
        <v>107</v>
      </c>
      <c r="CV11" s="25" t="s">
        <v>108</v>
      </c>
      <c r="CW11" s="25" t="s">
        <v>109</v>
      </c>
      <c r="CX11" s="261"/>
      <c r="CY11" s="25" t="s">
        <v>110</v>
      </c>
      <c r="CZ11" s="26" t="s">
        <v>111</v>
      </c>
      <c r="DA11" s="25" t="s">
        <v>112</v>
      </c>
      <c r="DB11" s="25" t="s">
        <v>113</v>
      </c>
      <c r="DC11" s="25" t="s">
        <v>114</v>
      </c>
      <c r="DD11" s="25" t="s">
        <v>115</v>
      </c>
      <c r="DE11" s="25" t="s">
        <v>428</v>
      </c>
      <c r="DF11" s="25" t="s">
        <v>404</v>
      </c>
      <c r="DG11" s="25" t="s">
        <v>116</v>
      </c>
      <c r="DH11" s="25" t="s">
        <v>117</v>
      </c>
      <c r="DI11" s="25" t="s">
        <v>118</v>
      </c>
      <c r="DJ11" s="25" t="s">
        <v>119</v>
      </c>
      <c r="DK11" s="25" t="s">
        <v>120</v>
      </c>
      <c r="DL11" s="34" t="s">
        <v>121</v>
      </c>
      <c r="DM11" s="34" t="s">
        <v>122</v>
      </c>
      <c r="DN11" s="34" t="s">
        <v>235</v>
      </c>
      <c r="DO11" s="34" t="s">
        <v>236</v>
      </c>
      <c r="DP11" s="34" t="s">
        <v>123</v>
      </c>
      <c r="DQ11" s="25" t="s">
        <v>125</v>
      </c>
      <c r="DR11" s="34" t="s">
        <v>126</v>
      </c>
      <c r="DS11" s="34" t="s">
        <v>316</v>
      </c>
      <c r="DT11" s="265" t="s">
        <v>534</v>
      </c>
      <c r="DU11" s="25" t="s">
        <v>297</v>
      </c>
      <c r="DV11" s="25" t="s">
        <v>298</v>
      </c>
      <c r="DW11" s="25" t="s">
        <v>303</v>
      </c>
      <c r="DX11" s="261"/>
      <c r="DY11" s="261" t="s">
        <v>565</v>
      </c>
      <c r="DZ11" s="261" t="s">
        <v>566</v>
      </c>
      <c r="EA11" s="261" t="s">
        <v>539</v>
      </c>
      <c r="EB11" s="269" t="s">
        <v>540</v>
      </c>
      <c r="EC11" s="261" t="s">
        <v>541</v>
      </c>
      <c r="ED11" s="269" t="s">
        <v>542</v>
      </c>
      <c r="EE11" s="261" t="s">
        <v>543</v>
      </c>
      <c r="EF11" s="269" t="s">
        <v>544</v>
      </c>
      <c r="EG11" s="270" t="s">
        <v>545</v>
      </c>
      <c r="EH11" s="270"/>
      <c r="EI11" s="271" t="s">
        <v>546</v>
      </c>
      <c r="EJ11" s="272" t="s">
        <v>547</v>
      </c>
      <c r="EK11" s="273" t="s">
        <v>548</v>
      </c>
      <c r="EL11" s="285" t="s">
        <v>576</v>
      </c>
      <c r="EM11" s="271" t="s">
        <v>549</v>
      </c>
      <c r="EN11" s="274" t="s">
        <v>550</v>
      </c>
      <c r="EO11" s="265" t="s">
        <v>551</v>
      </c>
      <c r="EP11" s="265" t="s">
        <v>552</v>
      </c>
      <c r="EQ11" s="265" t="s">
        <v>572</v>
      </c>
      <c r="ER11" s="265" t="s">
        <v>574</v>
      </c>
      <c r="ES11" s="265" t="s">
        <v>588</v>
      </c>
      <c r="ET11" s="262" t="s">
        <v>589</v>
      </c>
      <c r="EU11" s="262" t="s">
        <v>590</v>
      </c>
      <c r="EV11" s="262" t="s">
        <v>591</v>
      </c>
      <c r="EW11" s="262" t="s">
        <v>592</v>
      </c>
      <c r="EX11" s="34" t="s">
        <v>317</v>
      </c>
      <c r="EY11" s="265" t="s">
        <v>599</v>
      </c>
      <c r="EZ11" s="265"/>
      <c r="FA11" s="34" t="s">
        <v>319</v>
      </c>
      <c r="FB11" s="25" t="s">
        <v>320</v>
      </c>
      <c r="FC11" s="25" t="s">
        <v>328</v>
      </c>
      <c r="FD11" s="25" t="s">
        <v>441</v>
      </c>
      <c r="FE11" s="25" t="s">
        <v>436</v>
      </c>
      <c r="FF11" s="25" t="s">
        <v>437</v>
      </c>
      <c r="FG11" s="204" t="s">
        <v>450</v>
      </c>
      <c r="FH11" s="204" t="s">
        <v>329</v>
      </c>
      <c r="FI11" s="204" t="s">
        <v>330</v>
      </c>
      <c r="FJ11" s="204" t="s">
        <v>336</v>
      </c>
      <c r="FK11" s="204" t="s">
        <v>331</v>
      </c>
      <c r="FL11" s="204" t="s">
        <v>332</v>
      </c>
      <c r="FM11" s="204" t="s">
        <v>333</v>
      </c>
      <c r="FN11" s="204" t="s">
        <v>334</v>
      </c>
      <c r="FO11" s="204" t="s">
        <v>335</v>
      </c>
      <c r="FP11" s="204" t="s">
        <v>337</v>
      </c>
      <c r="FQ11" s="204" t="s">
        <v>338</v>
      </c>
      <c r="FR11" s="25" t="s">
        <v>442</v>
      </c>
      <c r="FS11" s="25" t="s">
        <v>448</v>
      </c>
      <c r="FT11" s="25" t="s">
        <v>444</v>
      </c>
      <c r="FU11" s="25" t="s">
        <v>431</v>
      </c>
      <c r="FV11" s="25" t="s">
        <v>433</v>
      </c>
      <c r="FW11" s="25" t="s">
        <v>128</v>
      </c>
      <c r="FX11" s="25" t="s">
        <v>215</v>
      </c>
      <c r="FY11" s="25" t="s">
        <v>321</v>
      </c>
      <c r="FZ11" s="262" t="s">
        <v>530</v>
      </c>
      <c r="GA11" s="261" t="s">
        <v>531</v>
      </c>
      <c r="GB11" s="261" t="s">
        <v>532</v>
      </c>
      <c r="GC11" s="25" t="s">
        <v>147</v>
      </c>
      <c r="GD11" s="261" t="s">
        <v>535</v>
      </c>
      <c r="GE11" s="261" t="s">
        <v>536</v>
      </c>
      <c r="GF11" s="261" t="s">
        <v>537</v>
      </c>
      <c r="GG11" s="265" t="s">
        <v>606</v>
      </c>
      <c r="GH11" s="265" t="s">
        <v>607</v>
      </c>
      <c r="GI11" s="265" t="s">
        <v>608</v>
      </c>
      <c r="GJ11" s="265" t="s">
        <v>609</v>
      </c>
      <c r="GK11" s="25" t="s">
        <v>216</v>
      </c>
      <c r="GL11" s="25" t="s">
        <v>217</v>
      </c>
      <c r="GM11" s="25" t="s">
        <v>218</v>
      </c>
      <c r="GN11" s="25" t="s">
        <v>219</v>
      </c>
      <c r="GO11" s="25" t="s">
        <v>220</v>
      </c>
      <c r="GP11" s="25" t="s">
        <v>221</v>
      </c>
      <c r="GQ11" s="25" t="s">
        <v>222</v>
      </c>
      <c r="GR11" s="25" t="s">
        <v>223</v>
      </c>
      <c r="GS11" s="25" t="s">
        <v>127</v>
      </c>
      <c r="GT11" s="25" t="s">
        <v>144</v>
      </c>
      <c r="GU11" s="25" t="s">
        <v>145</v>
      </c>
      <c r="GV11" s="25" t="s">
        <v>146</v>
      </c>
      <c r="GW11" s="25" t="s">
        <v>129</v>
      </c>
      <c r="GX11" s="25" t="s">
        <v>130</v>
      </c>
      <c r="GY11" s="25" t="s">
        <v>131</v>
      </c>
      <c r="GZ11" s="25" t="s">
        <v>132</v>
      </c>
      <c r="HA11" s="25" t="s">
        <v>133</v>
      </c>
      <c r="HB11" s="25" t="s">
        <v>134</v>
      </c>
      <c r="HC11" s="25" t="s">
        <v>135</v>
      </c>
      <c r="HD11" s="25" t="s">
        <v>136</v>
      </c>
      <c r="HE11" s="34" t="s">
        <v>124</v>
      </c>
      <c r="HF11" s="34" t="s">
        <v>439</v>
      </c>
      <c r="HG11" s="25" t="s">
        <v>137</v>
      </c>
      <c r="HH11" s="25" t="s">
        <v>138</v>
      </c>
      <c r="HI11" s="25" t="s">
        <v>139</v>
      </c>
      <c r="HJ11" s="25" t="s">
        <v>140</v>
      </c>
      <c r="HK11" s="25" t="s">
        <v>141</v>
      </c>
      <c r="HL11" s="25" t="s">
        <v>142</v>
      </c>
      <c r="HM11" s="25" t="s">
        <v>143</v>
      </c>
      <c r="HN11" s="25" t="s">
        <v>225</v>
      </c>
      <c r="HO11" s="25" t="s">
        <v>148</v>
      </c>
      <c r="HP11" s="25" t="s">
        <v>248</v>
      </c>
      <c r="HQ11" s="25" t="s">
        <v>249</v>
      </c>
      <c r="HR11" s="25" t="s">
        <v>149</v>
      </c>
      <c r="HS11" s="25" t="s">
        <v>254</v>
      </c>
      <c r="HT11" s="25" t="s">
        <v>255</v>
      </c>
      <c r="HU11" s="25" t="s">
        <v>418</v>
      </c>
      <c r="HV11" s="25" t="s">
        <v>419</v>
      </c>
      <c r="HW11" s="25" t="s">
        <v>90</v>
      </c>
      <c r="HX11" s="25" t="s">
        <v>102</v>
      </c>
      <c r="HY11" s="25" t="s">
        <v>496</v>
      </c>
      <c r="HZ11" s="25" t="s">
        <v>498</v>
      </c>
      <c r="IA11" s="25" t="s">
        <v>499</v>
      </c>
      <c r="IB11" s="25" t="s">
        <v>500</v>
      </c>
      <c r="IC11" s="25" t="s">
        <v>501</v>
      </c>
      <c r="ID11" s="34" t="s">
        <v>505</v>
      </c>
      <c r="IE11" s="34" t="s">
        <v>506</v>
      </c>
      <c r="IF11" s="265" t="s">
        <v>743</v>
      </c>
      <c r="IG11" s="265" t="s">
        <v>744</v>
      </c>
      <c r="IH11" s="265" t="s">
        <v>748</v>
      </c>
      <c r="II11" s="265"/>
      <c r="IJ11" s="25" t="s">
        <v>96</v>
      </c>
      <c r="IK11" s="25" t="s">
        <v>105</v>
      </c>
      <c r="IL11" s="25" t="s">
        <v>508</v>
      </c>
      <c r="IM11" s="25" t="s">
        <v>509</v>
      </c>
      <c r="IN11" s="25" t="s">
        <v>511</v>
      </c>
      <c r="IO11" s="25" t="s">
        <v>512</v>
      </c>
      <c r="IP11" s="25" t="s">
        <v>513</v>
      </c>
      <c r="IQ11" s="34" t="s">
        <v>514</v>
      </c>
      <c r="IR11" s="34" t="s">
        <v>518</v>
      </c>
      <c r="IS11" s="25" t="s">
        <v>101</v>
      </c>
      <c r="IT11" s="25" t="s">
        <v>490</v>
      </c>
      <c r="IU11" s="261"/>
      <c r="IV11" s="25" t="s">
        <v>491</v>
      </c>
      <c r="IW11" s="25" t="s">
        <v>494</v>
      </c>
      <c r="IX11" s="25" t="s">
        <v>492</v>
      </c>
      <c r="IY11" s="238" t="s">
        <v>493</v>
      </c>
      <c r="IZ11" s="238" t="s">
        <v>520</v>
      </c>
      <c r="JA11" s="238" t="s">
        <v>521</v>
      </c>
      <c r="JB11" s="34" t="s">
        <v>522</v>
      </c>
      <c r="JC11" s="34" t="s">
        <v>523</v>
      </c>
      <c r="JD11" s="34" t="s">
        <v>524</v>
      </c>
      <c r="JE11" s="25" t="s">
        <v>525</v>
      </c>
      <c r="JF11" s="34" t="s">
        <v>526</v>
      </c>
      <c r="JG11" s="25" t="s">
        <v>527</v>
      </c>
    </row>
    <row r="12" spans="1:16347" s="46" customFormat="1" ht="14.25" thickTop="1" thickBot="1" x14ac:dyDescent="0.25">
      <c r="A12" s="2" t="s">
        <v>12</v>
      </c>
      <c r="B12" s="195" t="s">
        <v>13</v>
      </c>
      <c r="C12" s="195" t="s">
        <v>13</v>
      </c>
      <c r="D12" s="195" t="s">
        <v>13</v>
      </c>
      <c r="E12" s="195" t="s">
        <v>13</v>
      </c>
      <c r="F12" s="195" t="s">
        <v>13</v>
      </c>
      <c r="G12" s="195" t="s">
        <v>13</v>
      </c>
      <c r="H12" s="195" t="s">
        <v>13</v>
      </c>
      <c r="I12" s="195" t="s">
        <v>13</v>
      </c>
      <c r="J12" s="195" t="s">
        <v>13</v>
      </c>
      <c r="K12" s="195" t="s">
        <v>13</v>
      </c>
      <c r="L12" s="195" t="s">
        <v>13</v>
      </c>
      <c r="M12" s="195" t="s">
        <v>13</v>
      </c>
      <c r="N12" s="195" t="s">
        <v>13</v>
      </c>
      <c r="O12" s="195" t="s">
        <v>13</v>
      </c>
      <c r="P12" s="195" t="s">
        <v>34</v>
      </c>
      <c r="Q12" s="195" t="s">
        <v>13</v>
      </c>
      <c r="R12" s="195" t="s">
        <v>13</v>
      </c>
      <c r="S12" s="195" t="s">
        <v>13</v>
      </c>
      <c r="T12" s="195" t="s">
        <v>13</v>
      </c>
      <c r="U12" s="195" t="s">
        <v>13</v>
      </c>
      <c r="V12" s="195" t="s">
        <v>13</v>
      </c>
      <c r="W12" s="195" t="s">
        <v>13</v>
      </c>
      <c r="X12" s="195" t="s">
        <v>34</v>
      </c>
      <c r="Y12" s="195" t="s">
        <v>13</v>
      </c>
      <c r="Z12" s="195" t="s">
        <v>20</v>
      </c>
      <c r="AA12" s="195" t="s">
        <v>13</v>
      </c>
      <c r="AB12" s="195" t="s">
        <v>20</v>
      </c>
      <c r="AC12" s="195" t="s">
        <v>20</v>
      </c>
      <c r="AD12" s="195" t="s">
        <v>20</v>
      </c>
      <c r="AE12" s="195" t="s">
        <v>13</v>
      </c>
      <c r="AF12" s="195" t="s">
        <v>20</v>
      </c>
      <c r="AG12" s="195" t="s">
        <v>20</v>
      </c>
      <c r="AH12" s="195" t="s">
        <v>20</v>
      </c>
      <c r="AI12" s="195" t="s">
        <v>13</v>
      </c>
      <c r="AJ12" s="195" t="s">
        <v>13</v>
      </c>
      <c r="AK12" s="195" t="s">
        <v>13</v>
      </c>
      <c r="AL12" s="195" t="s">
        <v>20</v>
      </c>
      <c r="AM12" s="195" t="s">
        <v>20</v>
      </c>
      <c r="AN12" s="195" t="s">
        <v>13</v>
      </c>
      <c r="AO12" s="195" t="s">
        <v>20</v>
      </c>
      <c r="AP12" s="195" t="s">
        <v>20</v>
      </c>
      <c r="AQ12" s="195" t="s">
        <v>20</v>
      </c>
      <c r="AR12" s="195" t="s">
        <v>20</v>
      </c>
      <c r="AS12" s="195" t="s">
        <v>20</v>
      </c>
      <c r="AT12" s="195" t="s">
        <v>20</v>
      </c>
      <c r="AU12" s="195" t="s">
        <v>20</v>
      </c>
      <c r="AV12" s="195" t="s">
        <v>20</v>
      </c>
      <c r="AW12" s="195" t="s">
        <v>20</v>
      </c>
      <c r="AX12" s="195" t="s">
        <v>20</v>
      </c>
      <c r="AY12" s="195" t="s">
        <v>20</v>
      </c>
      <c r="AZ12" s="195" t="s">
        <v>20</v>
      </c>
      <c r="BA12" s="195" t="s">
        <v>20</v>
      </c>
      <c r="BB12" s="195" t="s">
        <v>20</v>
      </c>
      <c r="BC12" s="195" t="s">
        <v>20</v>
      </c>
      <c r="BD12" s="195" t="s">
        <v>20</v>
      </c>
      <c r="BE12" s="195" t="s">
        <v>20</v>
      </c>
      <c r="BF12" s="195" t="s">
        <v>20</v>
      </c>
      <c r="BG12" s="195" t="s">
        <v>20</v>
      </c>
      <c r="BH12" s="195" t="s">
        <v>20</v>
      </c>
      <c r="BI12" s="195" t="s">
        <v>20</v>
      </c>
      <c r="BJ12" s="195" t="s">
        <v>20</v>
      </c>
      <c r="BK12" s="195" t="s">
        <v>20</v>
      </c>
      <c r="BL12" s="195" t="s">
        <v>13</v>
      </c>
      <c r="BM12" s="195" t="s">
        <v>20</v>
      </c>
      <c r="BN12" s="195" t="s">
        <v>20</v>
      </c>
      <c r="BO12" s="195" t="s">
        <v>20</v>
      </c>
      <c r="BP12" s="195" t="s">
        <v>20</v>
      </c>
      <c r="BQ12" s="195" t="s">
        <v>20</v>
      </c>
      <c r="BR12" s="195" t="s">
        <v>20</v>
      </c>
      <c r="BS12" s="195" t="s">
        <v>20</v>
      </c>
      <c r="BT12" s="195" t="s">
        <v>20</v>
      </c>
      <c r="BU12" s="195" t="s">
        <v>20</v>
      </c>
      <c r="BV12" s="195" t="s">
        <v>20</v>
      </c>
      <c r="BW12" s="195" t="s">
        <v>20</v>
      </c>
      <c r="BX12" s="195" t="s">
        <v>20</v>
      </c>
      <c r="BY12" s="195" t="s">
        <v>20</v>
      </c>
      <c r="BZ12" s="195" t="s">
        <v>20</v>
      </c>
      <c r="CA12" s="195" t="s">
        <v>20</v>
      </c>
      <c r="CB12" s="195" t="s">
        <v>13</v>
      </c>
      <c r="CC12" s="195" t="s">
        <v>20</v>
      </c>
      <c r="CD12" s="195" t="s">
        <v>20</v>
      </c>
      <c r="CE12" s="195" t="s">
        <v>20</v>
      </c>
      <c r="CF12" s="195" t="s">
        <v>13</v>
      </c>
      <c r="CG12" s="195" t="s">
        <v>20</v>
      </c>
      <c r="CH12" s="195" t="s">
        <v>20</v>
      </c>
      <c r="CI12" s="195" t="s">
        <v>20</v>
      </c>
      <c r="CJ12" s="195" t="s">
        <v>20</v>
      </c>
      <c r="CK12" s="195" t="s">
        <v>20</v>
      </c>
      <c r="CL12" s="196" t="s">
        <v>20</v>
      </c>
      <c r="CM12" s="195" t="s">
        <v>20</v>
      </c>
      <c r="CN12" s="195" t="s">
        <v>20</v>
      </c>
      <c r="CO12" s="195" t="s">
        <v>20</v>
      </c>
      <c r="CP12" s="195" t="s">
        <v>20</v>
      </c>
      <c r="CQ12" s="195" t="s">
        <v>20</v>
      </c>
      <c r="CR12" s="195" t="s">
        <v>20</v>
      </c>
      <c r="CS12" s="195" t="s">
        <v>20</v>
      </c>
      <c r="CT12" s="195" t="s">
        <v>20</v>
      </c>
      <c r="CU12" s="195" t="s">
        <v>20</v>
      </c>
      <c r="CV12" s="195" t="s">
        <v>34</v>
      </c>
      <c r="CW12" s="195" t="s">
        <v>20</v>
      </c>
      <c r="CX12" s="195" t="s">
        <v>20</v>
      </c>
      <c r="CY12" s="195" t="s">
        <v>20</v>
      </c>
      <c r="CZ12" s="195" t="s">
        <v>20</v>
      </c>
      <c r="DA12" s="195" t="s">
        <v>20</v>
      </c>
      <c r="DB12" s="195" t="s">
        <v>20</v>
      </c>
      <c r="DC12" s="195" t="s">
        <v>20</v>
      </c>
      <c r="DD12" s="195" t="s">
        <v>20</v>
      </c>
      <c r="DE12" s="195" t="s">
        <v>13</v>
      </c>
      <c r="DF12" s="195" t="s">
        <v>13</v>
      </c>
      <c r="DG12" s="195" t="s">
        <v>34</v>
      </c>
      <c r="DH12" s="195" t="s">
        <v>34</v>
      </c>
      <c r="DI12" s="195" t="s">
        <v>34</v>
      </c>
      <c r="DJ12" s="195" t="s">
        <v>20</v>
      </c>
      <c r="DK12" s="195" t="s">
        <v>20</v>
      </c>
      <c r="DL12" s="195" t="s">
        <v>20</v>
      </c>
      <c r="DM12" s="195" t="s">
        <v>20</v>
      </c>
      <c r="DN12" s="195" t="s">
        <v>20</v>
      </c>
      <c r="DO12" s="195" t="s">
        <v>20</v>
      </c>
      <c r="DP12" s="195" t="s">
        <v>20</v>
      </c>
      <c r="DQ12" s="195" t="s">
        <v>20</v>
      </c>
      <c r="DR12" s="195" t="s">
        <v>20</v>
      </c>
      <c r="DS12" s="195" t="s">
        <v>20</v>
      </c>
      <c r="DT12" s="195" t="s">
        <v>20</v>
      </c>
      <c r="DU12" s="195" t="s">
        <v>20</v>
      </c>
      <c r="DV12" s="195" t="s">
        <v>20</v>
      </c>
      <c r="DW12" s="195" t="s">
        <v>20</v>
      </c>
      <c r="DX12" s="195"/>
      <c r="DY12" s="195" t="s">
        <v>20</v>
      </c>
      <c r="DZ12" s="195" t="s">
        <v>20</v>
      </c>
      <c r="EA12" s="195" t="s">
        <v>20</v>
      </c>
      <c r="EB12" s="195" t="s">
        <v>20</v>
      </c>
      <c r="EC12" s="195" t="s">
        <v>20</v>
      </c>
      <c r="ED12" s="195" t="s">
        <v>20</v>
      </c>
      <c r="EE12" s="195" t="s">
        <v>20</v>
      </c>
      <c r="EF12" s="195" t="s">
        <v>20</v>
      </c>
      <c r="EG12" s="195" t="s">
        <v>20</v>
      </c>
      <c r="EH12" s="195" t="s">
        <v>20</v>
      </c>
      <c r="EI12" s="195" t="s">
        <v>20</v>
      </c>
      <c r="EJ12" s="195" t="s">
        <v>20</v>
      </c>
      <c r="EK12" s="195" t="s">
        <v>20</v>
      </c>
      <c r="EL12" s="195" t="s">
        <v>20</v>
      </c>
      <c r="EM12" s="195" t="s">
        <v>20</v>
      </c>
      <c r="EN12" s="195" t="s">
        <v>20</v>
      </c>
      <c r="EO12" s="195" t="s">
        <v>20</v>
      </c>
      <c r="EP12" s="195" t="s">
        <v>20</v>
      </c>
      <c r="EQ12" s="195" t="s">
        <v>20</v>
      </c>
      <c r="ER12" s="195" t="s">
        <v>20</v>
      </c>
      <c r="ES12" s="195" t="s">
        <v>20</v>
      </c>
      <c r="ET12" s="195" t="s">
        <v>20</v>
      </c>
      <c r="EU12" s="195" t="s">
        <v>20</v>
      </c>
      <c r="EV12" s="195" t="s">
        <v>20</v>
      </c>
      <c r="EW12" s="195" t="s">
        <v>20</v>
      </c>
      <c r="EX12" s="196" t="s">
        <v>20</v>
      </c>
      <c r="EY12" s="294" t="s">
        <v>20</v>
      </c>
      <c r="EZ12" s="294" t="s">
        <v>20</v>
      </c>
      <c r="FA12" s="196" t="s">
        <v>20</v>
      </c>
      <c r="FB12" s="195" t="s">
        <v>20</v>
      </c>
      <c r="FC12" s="195" t="s">
        <v>20</v>
      </c>
      <c r="FD12" s="195" t="s">
        <v>91</v>
      </c>
      <c r="FE12" s="195" t="s">
        <v>20</v>
      </c>
      <c r="FF12" s="195" t="s">
        <v>20</v>
      </c>
      <c r="FG12" s="211" t="s">
        <v>339</v>
      </c>
      <c r="FH12" s="211" t="s">
        <v>339</v>
      </c>
      <c r="FI12" s="211" t="s">
        <v>339</v>
      </c>
      <c r="FJ12" s="211" t="s">
        <v>339</v>
      </c>
      <c r="FK12" s="211" t="s">
        <v>339</v>
      </c>
      <c r="FL12" s="211" t="s">
        <v>339</v>
      </c>
      <c r="FM12" s="211" t="s">
        <v>20</v>
      </c>
      <c r="FN12" s="211" t="s">
        <v>20</v>
      </c>
      <c r="FO12" s="211" t="s">
        <v>20</v>
      </c>
      <c r="FP12" s="211" t="s">
        <v>20</v>
      </c>
      <c r="FQ12" s="211" t="s">
        <v>20</v>
      </c>
      <c r="FR12" s="195" t="s">
        <v>13</v>
      </c>
      <c r="FS12" s="195" t="s">
        <v>13</v>
      </c>
      <c r="FT12" s="195" t="s">
        <v>20</v>
      </c>
      <c r="FU12" s="195" t="s">
        <v>20</v>
      </c>
      <c r="FV12" s="195" t="s">
        <v>20</v>
      </c>
      <c r="FW12" s="195" t="s">
        <v>34</v>
      </c>
      <c r="FX12" s="195" t="s">
        <v>34</v>
      </c>
      <c r="FY12" s="195" t="s">
        <v>20</v>
      </c>
      <c r="FZ12" s="195" t="s">
        <v>20</v>
      </c>
      <c r="GA12" s="195" t="s">
        <v>20</v>
      </c>
      <c r="GB12" s="195" t="s">
        <v>20</v>
      </c>
      <c r="GC12" s="195" t="s">
        <v>20</v>
      </c>
      <c r="GD12" s="195" t="s">
        <v>20</v>
      </c>
      <c r="GE12" s="195" t="s">
        <v>20</v>
      </c>
      <c r="GF12" s="195" t="s">
        <v>20</v>
      </c>
      <c r="GG12" s="195" t="s">
        <v>20</v>
      </c>
      <c r="GH12" s="195" t="s">
        <v>20</v>
      </c>
      <c r="GI12" s="195" t="s">
        <v>20</v>
      </c>
      <c r="GJ12" s="195" t="s">
        <v>20</v>
      </c>
      <c r="GK12" s="195" t="s">
        <v>20</v>
      </c>
      <c r="GL12" s="195" t="s">
        <v>20</v>
      </c>
      <c r="GM12" s="195" t="s">
        <v>20</v>
      </c>
      <c r="GN12" s="195" t="s">
        <v>20</v>
      </c>
      <c r="GO12" s="195" t="s">
        <v>20</v>
      </c>
      <c r="GP12" s="195" t="s">
        <v>20</v>
      </c>
      <c r="GQ12" s="195" t="s">
        <v>20</v>
      </c>
      <c r="GR12" s="195" t="s">
        <v>20</v>
      </c>
      <c r="GS12" s="195" t="s">
        <v>20</v>
      </c>
      <c r="GT12" s="195" t="s">
        <v>20</v>
      </c>
      <c r="GU12" s="195" t="s">
        <v>20</v>
      </c>
      <c r="GV12" s="195" t="s">
        <v>20</v>
      </c>
      <c r="GW12" s="195" t="s">
        <v>20</v>
      </c>
      <c r="GX12" s="195" t="s">
        <v>20</v>
      </c>
      <c r="GY12" s="195" t="s">
        <v>20</v>
      </c>
      <c r="GZ12" s="195" t="s">
        <v>20</v>
      </c>
      <c r="HA12" s="195" t="s">
        <v>20</v>
      </c>
      <c r="HB12" s="195" t="s">
        <v>20</v>
      </c>
      <c r="HC12" s="195" t="s">
        <v>20</v>
      </c>
      <c r="HD12" s="195" t="s">
        <v>20</v>
      </c>
      <c r="HE12" s="195" t="s">
        <v>20</v>
      </c>
      <c r="HF12" s="195" t="s">
        <v>20</v>
      </c>
      <c r="HG12" s="195" t="s">
        <v>20</v>
      </c>
      <c r="HH12" s="195" t="s">
        <v>34</v>
      </c>
      <c r="HI12" s="195" t="s">
        <v>13</v>
      </c>
      <c r="HJ12" s="195" t="s">
        <v>20</v>
      </c>
      <c r="HK12" s="195" t="s">
        <v>20</v>
      </c>
      <c r="HL12" s="195" t="s">
        <v>20</v>
      </c>
      <c r="HM12" s="195" t="s">
        <v>20</v>
      </c>
      <c r="HN12" s="195" t="s">
        <v>20</v>
      </c>
      <c r="HO12" s="195" t="s">
        <v>20</v>
      </c>
      <c r="HP12" s="195" t="s">
        <v>20</v>
      </c>
      <c r="HQ12" s="195" t="s">
        <v>20</v>
      </c>
      <c r="HR12" s="195" t="s">
        <v>20</v>
      </c>
      <c r="HS12" s="195" t="s">
        <v>20</v>
      </c>
      <c r="HT12" s="195" t="s">
        <v>20</v>
      </c>
      <c r="HU12" s="195" t="s">
        <v>34</v>
      </c>
      <c r="HV12" s="195" t="s">
        <v>34</v>
      </c>
      <c r="HW12" s="195" t="s">
        <v>20</v>
      </c>
      <c r="HX12" s="195" t="s">
        <v>20</v>
      </c>
      <c r="HY12" s="195" t="s">
        <v>20</v>
      </c>
      <c r="HZ12" s="195" t="s">
        <v>20</v>
      </c>
      <c r="IA12" s="195" t="s">
        <v>20</v>
      </c>
      <c r="IB12" s="195" t="s">
        <v>20</v>
      </c>
      <c r="IC12" s="195" t="s">
        <v>20</v>
      </c>
      <c r="ID12" s="195" t="s">
        <v>20</v>
      </c>
      <c r="IE12" s="195" t="s">
        <v>20</v>
      </c>
      <c r="IF12" s="195" t="s">
        <v>91</v>
      </c>
      <c r="IG12" s="195" t="s">
        <v>91</v>
      </c>
      <c r="IH12" s="195" t="s">
        <v>20</v>
      </c>
      <c r="II12" s="195" t="s">
        <v>20</v>
      </c>
      <c r="IJ12" s="195" t="s">
        <v>20</v>
      </c>
      <c r="IK12" s="195" t="s">
        <v>20</v>
      </c>
      <c r="IL12" s="195" t="s">
        <v>20</v>
      </c>
      <c r="IM12" s="195" t="s">
        <v>20</v>
      </c>
      <c r="IN12" s="195" t="s">
        <v>20</v>
      </c>
      <c r="IO12" s="195" t="s">
        <v>20</v>
      </c>
      <c r="IP12" s="195" t="s">
        <v>20</v>
      </c>
      <c r="IQ12" s="195" t="s">
        <v>20</v>
      </c>
      <c r="IR12" s="195" t="s">
        <v>20</v>
      </c>
      <c r="IS12" s="195" t="s">
        <v>13</v>
      </c>
      <c r="IT12" s="195" t="s">
        <v>13</v>
      </c>
      <c r="IU12" s="195" t="s">
        <v>20</v>
      </c>
      <c r="IV12" s="195" t="s">
        <v>20</v>
      </c>
      <c r="IW12" s="195" t="s">
        <v>20</v>
      </c>
      <c r="IX12" s="195" t="s">
        <v>13</v>
      </c>
      <c r="IY12" s="195" t="s">
        <v>13</v>
      </c>
      <c r="IZ12" s="195" t="s">
        <v>20</v>
      </c>
      <c r="JA12" s="195" t="s">
        <v>20</v>
      </c>
      <c r="JB12" s="195" t="s">
        <v>20</v>
      </c>
      <c r="JC12" s="195" t="s">
        <v>20</v>
      </c>
      <c r="JD12" s="195" t="s">
        <v>20</v>
      </c>
      <c r="JE12" s="195" t="s">
        <v>20</v>
      </c>
      <c r="JF12" s="195" t="s">
        <v>20</v>
      </c>
      <c r="JG12" s="195" t="s">
        <v>20</v>
      </c>
      <c r="JH12" s="195" t="s">
        <v>20</v>
      </c>
      <c r="JI12" s="195" t="s">
        <v>20</v>
      </c>
      <c r="JJ12" s="195" t="s">
        <v>20</v>
      </c>
      <c r="JK12" s="195" t="s">
        <v>20</v>
      </c>
      <c r="JL12" s="195" t="s">
        <v>20</v>
      </c>
      <c r="JM12" s="195" t="s">
        <v>20</v>
      </c>
    </row>
    <row r="13" spans="1:16347" s="64" customFormat="1" ht="14.25" thickTop="1" thickBot="1" x14ac:dyDescent="0.25">
      <c r="A13" s="13" t="s">
        <v>14</v>
      </c>
      <c r="B13" s="197" t="s">
        <v>1</v>
      </c>
      <c r="C13" s="197" t="s">
        <v>2</v>
      </c>
      <c r="D13" s="198" t="s">
        <v>3</v>
      </c>
      <c r="E13" s="198" t="s">
        <v>256</v>
      </c>
      <c r="F13" s="199" t="s">
        <v>4</v>
      </c>
      <c r="G13" s="199" t="s">
        <v>5</v>
      </c>
      <c r="H13" s="199" t="s">
        <v>241</v>
      </c>
      <c r="I13" s="199" t="s">
        <v>242</v>
      </c>
      <c r="J13" s="199" t="s">
        <v>243</v>
      </c>
      <c r="K13" s="199" t="s">
        <v>389</v>
      </c>
      <c r="L13" s="199" t="s">
        <v>390</v>
      </c>
      <c r="M13" s="199" t="s">
        <v>667</v>
      </c>
      <c r="N13" s="199" t="s">
        <v>391</v>
      </c>
      <c r="O13" s="199" t="s">
        <v>392</v>
      </c>
      <c r="P13" s="199" t="s">
        <v>416</v>
      </c>
      <c r="Q13" s="199" t="s">
        <v>411</v>
      </c>
      <c r="R13" s="199" t="s">
        <v>8</v>
      </c>
      <c r="S13" s="199" t="s">
        <v>9</v>
      </c>
      <c r="T13" s="199" t="s">
        <v>397</v>
      </c>
      <c r="U13" s="199" t="s">
        <v>21</v>
      </c>
      <c r="V13" s="199" t="s">
        <v>6</v>
      </c>
      <c r="W13" s="199" t="s">
        <v>7</v>
      </c>
      <c r="X13" s="199" t="s">
        <v>657</v>
      </c>
      <c r="Y13" s="199" t="s">
        <v>399</v>
      </c>
      <c r="Z13" s="199" t="s">
        <v>19</v>
      </c>
      <c r="AA13" s="199" t="s">
        <v>23</v>
      </c>
      <c r="AB13" s="199" t="s">
        <v>24</v>
      </c>
      <c r="AC13" s="199" t="s">
        <v>752</v>
      </c>
      <c r="AD13" s="199" t="s">
        <v>687</v>
      </c>
      <c r="AE13" s="199" t="s">
        <v>25</v>
      </c>
      <c r="AF13" s="199" t="s">
        <v>467</v>
      </c>
      <c r="AG13" s="199" t="s">
        <v>650</v>
      </c>
      <c r="AH13" s="199" t="s">
        <v>469</v>
      </c>
      <c r="AI13" s="199" t="s">
        <v>250</v>
      </c>
      <c r="AJ13" s="199" t="s">
        <v>406</v>
      </c>
      <c r="AK13" s="199" t="s">
        <v>407</v>
      </c>
      <c r="AL13" s="199" t="s">
        <v>258</v>
      </c>
      <c r="AM13" s="199" t="s">
        <v>677</v>
      </c>
      <c r="AN13" s="199" t="s">
        <v>359</v>
      </c>
      <c r="AO13" s="199" t="s">
        <v>351</v>
      </c>
      <c r="AP13" s="199" t="s">
        <v>274</v>
      </c>
      <c r="AQ13" s="199" t="s">
        <v>275</v>
      </c>
      <c r="AR13" s="199" t="s">
        <v>686</v>
      </c>
      <c r="AS13" s="199" t="s">
        <v>615</v>
      </c>
      <c r="AT13" s="199" t="s">
        <v>621</v>
      </c>
      <c r="AU13" s="199" t="s">
        <v>620</v>
      </c>
      <c r="AV13" s="199" t="s">
        <v>616</v>
      </c>
      <c r="AW13" s="199" t="s">
        <v>617</v>
      </c>
      <c r="AX13" s="199" t="s">
        <v>693</v>
      </c>
      <c r="AY13" s="199" t="s">
        <v>696</v>
      </c>
      <c r="AZ13" s="199" t="s">
        <v>41</v>
      </c>
      <c r="BA13" s="199" t="s">
        <v>614</v>
      </c>
      <c r="BB13" s="199" t="s">
        <v>40</v>
      </c>
      <c r="BC13" s="199" t="s">
        <v>730</v>
      </c>
      <c r="BD13" s="199" t="s">
        <v>350</v>
      </c>
      <c r="BE13" s="199" t="s">
        <v>751</v>
      </c>
      <c r="BF13" s="199" t="s">
        <v>676</v>
      </c>
      <c r="BG13" s="199" t="s">
        <v>675</v>
      </c>
      <c r="BH13" s="199" t="s">
        <v>678</v>
      </c>
      <c r="BI13" s="199" t="s">
        <v>674</v>
      </c>
      <c r="BJ13" s="199" t="s">
        <v>672</v>
      </c>
      <c r="BK13" s="199" t="s">
        <v>673</v>
      </c>
      <c r="BL13" s="199" t="s">
        <v>383</v>
      </c>
      <c r="BM13" s="199" t="s">
        <v>356</v>
      </c>
      <c r="BN13" s="199" t="s">
        <v>353</v>
      </c>
      <c r="BO13" s="199" t="s">
        <v>742</v>
      </c>
      <c r="BP13" s="199" t="s">
        <v>738</v>
      </c>
      <c r="BQ13" s="199" t="s">
        <v>698</v>
      </c>
      <c r="BR13" s="199" t="s">
        <v>701</v>
      </c>
      <c r="BS13" s="199" t="s">
        <v>711</v>
      </c>
      <c r="BT13" s="199" t="s">
        <v>712</v>
      </c>
      <c r="BU13" s="199" t="s">
        <v>713</v>
      </c>
      <c r="BV13" s="199" t="s">
        <v>714</v>
      </c>
      <c r="BW13" s="199" t="s">
        <v>715</v>
      </c>
      <c r="BX13" s="199" t="s">
        <v>716</v>
      </c>
      <c r="BY13" s="199" t="s">
        <v>703</v>
      </c>
      <c r="BZ13" s="199" t="s">
        <v>227</v>
      </c>
      <c r="CA13" s="199" t="s">
        <v>718</v>
      </c>
      <c r="CB13" s="199" t="s">
        <v>358</v>
      </c>
      <c r="CC13" s="199" t="s">
        <v>723</v>
      </c>
      <c r="CD13" s="199" t="s">
        <v>717</v>
      </c>
      <c r="CE13" s="199" t="s">
        <v>357</v>
      </c>
      <c r="CF13" s="199" t="s">
        <v>487</v>
      </c>
      <c r="CG13" s="200" t="s">
        <v>237</v>
      </c>
      <c r="CH13" s="200" t="s">
        <v>239</v>
      </c>
      <c r="CI13" s="200" t="s">
        <v>228</v>
      </c>
      <c r="CJ13" s="199" t="s">
        <v>38</v>
      </c>
      <c r="CK13" s="199" t="s">
        <v>39</v>
      </c>
      <c r="CL13" s="200" t="s">
        <v>324</v>
      </c>
      <c r="CM13" s="200" t="s">
        <v>364</v>
      </c>
      <c r="CN13" s="200" t="s">
        <v>44</v>
      </c>
      <c r="CO13" s="200" t="s">
        <v>580</v>
      </c>
      <c r="CP13" s="200" t="s">
        <v>365</v>
      </c>
      <c r="CQ13" s="200" t="s">
        <v>47</v>
      </c>
      <c r="CR13" s="200" t="s">
        <v>53</v>
      </c>
      <c r="CS13" s="200" t="s">
        <v>728</v>
      </c>
      <c r="CT13" s="200" t="s">
        <v>726</v>
      </c>
      <c r="CU13" s="200" t="s">
        <v>48</v>
      </c>
      <c r="CV13" s="200" t="s">
        <v>49</v>
      </c>
      <c r="CW13" s="200" t="s">
        <v>50</v>
      </c>
      <c r="CX13" s="200" t="s">
        <v>753</v>
      </c>
      <c r="CY13" s="200" t="s">
        <v>26</v>
      </c>
      <c r="CZ13" s="200" t="s">
        <v>27</v>
      </c>
      <c r="DA13" s="200" t="s">
        <v>28</v>
      </c>
      <c r="DB13" s="200" t="s">
        <v>29</v>
      </c>
      <c r="DC13" s="200" t="s">
        <v>30</v>
      </c>
      <c r="DD13" s="200" t="s">
        <v>31</v>
      </c>
      <c r="DE13" s="200" t="s">
        <v>427</v>
      </c>
      <c r="DF13" s="200" t="s">
        <v>403</v>
      </c>
      <c r="DG13" s="200" t="s">
        <v>33</v>
      </c>
      <c r="DH13" s="200" t="s">
        <v>35</v>
      </c>
      <c r="DI13" s="200" t="s">
        <v>36</v>
      </c>
      <c r="DJ13" s="200" t="s">
        <v>51</v>
      </c>
      <c r="DK13" s="200" t="s">
        <v>52</v>
      </c>
      <c r="DL13" s="200" t="s">
        <v>54</v>
      </c>
      <c r="DM13" s="200" t="s">
        <v>55</v>
      </c>
      <c r="DN13" s="200" t="s">
        <v>232</v>
      </c>
      <c r="DO13" s="200" t="s">
        <v>233</v>
      </c>
      <c r="DP13" s="200" t="s">
        <v>56</v>
      </c>
      <c r="DQ13" s="200" t="s">
        <v>75</v>
      </c>
      <c r="DR13" s="200" t="s">
        <v>76</v>
      </c>
      <c r="DS13" s="200" t="s">
        <v>367</v>
      </c>
      <c r="DT13" s="200" t="s">
        <v>533</v>
      </c>
      <c r="DU13" s="200" t="s">
        <v>361</v>
      </c>
      <c r="DV13" s="200" t="s">
        <v>362</v>
      </c>
      <c r="DW13" s="200" t="s">
        <v>363</v>
      </c>
      <c r="DX13" s="200" t="s">
        <v>653</v>
      </c>
      <c r="DY13" s="266" t="s">
        <v>553</v>
      </c>
      <c r="DZ13" s="266" t="s">
        <v>554</v>
      </c>
      <c r="EA13" s="266" t="s">
        <v>555</v>
      </c>
      <c r="EB13" s="266" t="s">
        <v>556</v>
      </c>
      <c r="EC13" s="266" t="s">
        <v>446</v>
      </c>
      <c r="ED13" s="266" t="s">
        <v>557</v>
      </c>
      <c r="EE13" s="266" t="s">
        <v>558</v>
      </c>
      <c r="EF13" s="266" t="s">
        <v>559</v>
      </c>
      <c r="EG13" s="266" t="s">
        <v>560</v>
      </c>
      <c r="EH13" s="266" t="s">
        <v>561</v>
      </c>
      <c r="EI13" s="266" t="s">
        <v>546</v>
      </c>
      <c r="EJ13" s="266" t="s">
        <v>547</v>
      </c>
      <c r="EK13" s="266" t="s">
        <v>548</v>
      </c>
      <c r="EL13" s="266" t="s">
        <v>575</v>
      </c>
      <c r="EM13" s="266" t="s">
        <v>549</v>
      </c>
      <c r="EN13" s="266" t="s">
        <v>562</v>
      </c>
      <c r="EO13" s="266" t="s">
        <v>563</v>
      </c>
      <c r="EP13" s="266" t="s">
        <v>564</v>
      </c>
      <c r="EQ13" s="266" t="s">
        <v>571</v>
      </c>
      <c r="ER13" s="266" t="s">
        <v>573</v>
      </c>
      <c r="ES13" s="263" t="s">
        <v>593</v>
      </c>
      <c r="ET13" s="298" t="s">
        <v>594</v>
      </c>
      <c r="EU13" s="298" t="s">
        <v>595</v>
      </c>
      <c r="EV13" s="298" t="s">
        <v>596</v>
      </c>
      <c r="EW13" s="298" t="s">
        <v>597</v>
      </c>
      <c r="EX13" s="201" t="s">
        <v>318</v>
      </c>
      <c r="EY13" s="201" t="s">
        <v>598</v>
      </c>
      <c r="EZ13" s="201" t="s">
        <v>601</v>
      </c>
      <c r="FA13" s="201" t="s">
        <v>267</v>
      </c>
      <c r="FB13" s="200" t="s">
        <v>63</v>
      </c>
      <c r="FC13" s="200" t="s">
        <v>420</v>
      </c>
      <c r="FD13" s="200" t="s">
        <v>440</v>
      </c>
      <c r="FE13" s="200" t="s">
        <v>434</v>
      </c>
      <c r="FF13" s="200" t="s">
        <v>435</v>
      </c>
      <c r="FG13" s="205" t="s">
        <v>449</v>
      </c>
      <c r="FH13" s="205" t="s">
        <v>340</v>
      </c>
      <c r="FI13" s="205" t="s">
        <v>342</v>
      </c>
      <c r="FJ13" s="205" t="s">
        <v>343</v>
      </c>
      <c r="FK13" s="205" t="s">
        <v>344</v>
      </c>
      <c r="FL13" s="205" t="s">
        <v>345</v>
      </c>
      <c r="FM13" s="205" t="s">
        <v>341</v>
      </c>
      <c r="FN13" s="205" t="s">
        <v>346</v>
      </c>
      <c r="FO13" s="205" t="s">
        <v>347</v>
      </c>
      <c r="FP13" s="205" t="s">
        <v>348</v>
      </c>
      <c r="FQ13" s="205" t="s">
        <v>349</v>
      </c>
      <c r="FR13" s="200" t="s">
        <v>410</v>
      </c>
      <c r="FS13" s="200" t="s">
        <v>447</v>
      </c>
      <c r="FT13" s="200" t="s">
        <v>443</v>
      </c>
      <c r="FU13" s="200" t="s">
        <v>430</v>
      </c>
      <c r="FV13" s="200" t="s">
        <v>432</v>
      </c>
      <c r="FW13" s="200" t="s">
        <v>59</v>
      </c>
      <c r="FX13" s="202" t="s">
        <v>214</v>
      </c>
      <c r="FY13" s="202" t="s">
        <v>422</v>
      </c>
      <c r="FZ13" s="202" t="s">
        <v>451</v>
      </c>
      <c r="GA13" s="202" t="s">
        <v>452</v>
      </c>
      <c r="GB13" s="202" t="s">
        <v>453</v>
      </c>
      <c r="GC13" s="200" t="s">
        <v>60</v>
      </c>
      <c r="GD13" s="202" t="s">
        <v>454</v>
      </c>
      <c r="GE13" s="202" t="s">
        <v>455</v>
      </c>
      <c r="GF13" s="202" t="s">
        <v>456</v>
      </c>
      <c r="GG13" s="301" t="s">
        <v>602</v>
      </c>
      <c r="GH13" s="301" t="s">
        <v>603</v>
      </c>
      <c r="GI13" s="301" t="s">
        <v>604</v>
      </c>
      <c r="GJ13" s="301" t="s">
        <v>605</v>
      </c>
      <c r="GK13" s="202" t="s">
        <v>368</v>
      </c>
      <c r="GL13" s="202" t="s">
        <v>369</v>
      </c>
      <c r="GM13" s="202" t="s">
        <v>370</v>
      </c>
      <c r="GN13" s="202" t="s">
        <v>371</v>
      </c>
      <c r="GO13" s="202" t="s">
        <v>372</v>
      </c>
      <c r="GP13" s="202" t="s">
        <v>373</v>
      </c>
      <c r="GQ13" s="202" t="s">
        <v>374</v>
      </c>
      <c r="GR13" s="202" t="s">
        <v>375</v>
      </c>
      <c r="GS13" s="202" t="s">
        <v>376</v>
      </c>
      <c r="GT13" s="202" t="s">
        <v>377</v>
      </c>
      <c r="GU13" s="202" t="s">
        <v>378</v>
      </c>
      <c r="GV13" s="202" t="s">
        <v>388</v>
      </c>
      <c r="GW13" s="202" t="s">
        <v>379</v>
      </c>
      <c r="GX13" s="202" t="s">
        <v>380</v>
      </c>
      <c r="GY13" s="202" t="s">
        <v>387</v>
      </c>
      <c r="GZ13" s="202" t="s">
        <v>381</v>
      </c>
      <c r="HA13" s="202" t="s">
        <v>62</v>
      </c>
      <c r="HB13" s="202" t="s">
        <v>65</v>
      </c>
      <c r="HC13" s="202" t="s">
        <v>61</v>
      </c>
      <c r="HD13" s="202" t="s">
        <v>64</v>
      </c>
      <c r="HE13" s="200" t="s">
        <v>366</v>
      </c>
      <c r="HF13" s="200" t="s">
        <v>438</v>
      </c>
      <c r="HG13" s="202" t="s">
        <v>382</v>
      </c>
      <c r="HH13" s="200" t="s">
        <v>66</v>
      </c>
      <c r="HI13" s="200" t="s">
        <v>67</v>
      </c>
      <c r="HJ13" s="200" t="s">
        <v>68</v>
      </c>
      <c r="HK13" s="200" t="s">
        <v>70</v>
      </c>
      <c r="HL13" s="200" t="s">
        <v>71</v>
      </c>
      <c r="HM13" s="200" t="s">
        <v>72</v>
      </c>
      <c r="HN13" s="200" t="s">
        <v>224</v>
      </c>
      <c r="HO13" s="200" t="s">
        <v>73</v>
      </c>
      <c r="HP13" s="200" t="s">
        <v>246</v>
      </c>
      <c r="HQ13" s="200" t="s">
        <v>247</v>
      </c>
      <c r="HR13" s="200" t="s">
        <v>74</v>
      </c>
      <c r="HS13" s="200" t="s">
        <v>251</v>
      </c>
      <c r="HT13" s="200" t="s">
        <v>252</v>
      </c>
      <c r="HU13" s="200" t="s">
        <v>423</v>
      </c>
      <c r="HV13" s="200" t="s">
        <v>424</v>
      </c>
      <c r="HW13" s="200" t="s">
        <v>42</v>
      </c>
      <c r="HX13" s="199" t="s">
        <v>43</v>
      </c>
      <c r="HY13" s="202" t="s">
        <v>497</v>
      </c>
      <c r="HZ13" s="202" t="s">
        <v>401</v>
      </c>
      <c r="IA13" s="202" t="s">
        <v>502</v>
      </c>
      <c r="IB13" s="202" t="s">
        <v>503</v>
      </c>
      <c r="IC13" s="202" t="s">
        <v>504</v>
      </c>
      <c r="ID13" s="246" t="s">
        <v>89</v>
      </c>
      <c r="IE13" s="246" t="s">
        <v>507</v>
      </c>
      <c r="IF13" s="202" t="s">
        <v>746</v>
      </c>
      <c r="IG13" s="202" t="s">
        <v>747</v>
      </c>
      <c r="IH13" s="202" t="s">
        <v>745</v>
      </c>
      <c r="II13" s="202" t="s">
        <v>754</v>
      </c>
      <c r="IJ13" s="202" t="s">
        <v>45</v>
      </c>
      <c r="IK13" s="202" t="s">
        <v>46</v>
      </c>
      <c r="IL13" s="202" t="s">
        <v>57</v>
      </c>
      <c r="IM13" s="200" t="s">
        <v>58</v>
      </c>
      <c r="IN13" s="200" t="s">
        <v>515</v>
      </c>
      <c r="IO13" s="202" t="s">
        <v>516</v>
      </c>
      <c r="IP13" s="200" t="s">
        <v>517</v>
      </c>
      <c r="IQ13" s="201" t="s">
        <v>95</v>
      </c>
      <c r="IR13" s="201" t="s">
        <v>519</v>
      </c>
      <c r="IS13" s="200" t="s">
        <v>37</v>
      </c>
      <c r="IT13" s="200" t="s">
        <v>489</v>
      </c>
      <c r="IU13" s="200" t="s">
        <v>631</v>
      </c>
      <c r="IV13" s="200" t="s">
        <v>384</v>
      </c>
      <c r="IW13" s="200" t="s">
        <v>385</v>
      </c>
      <c r="IX13" s="200" t="s">
        <v>386</v>
      </c>
      <c r="IY13" s="201" t="s">
        <v>495</v>
      </c>
      <c r="IZ13" s="201" t="s">
        <v>230</v>
      </c>
      <c r="JA13" s="201" t="s">
        <v>231</v>
      </c>
      <c r="JB13" s="245" t="s">
        <v>97</v>
      </c>
      <c r="JC13" s="200" t="s">
        <v>98</v>
      </c>
      <c r="JD13" s="200" t="s">
        <v>99</v>
      </c>
      <c r="JE13" s="200" t="s">
        <v>528</v>
      </c>
      <c r="JF13" s="200" t="s">
        <v>529</v>
      </c>
      <c r="JG13" s="199" t="s">
        <v>100</v>
      </c>
      <c r="JH13" s="200" t="s">
        <v>649</v>
      </c>
      <c r="JI13" s="200" t="s">
        <v>644</v>
      </c>
      <c r="JJ13" s="200" t="s">
        <v>645</v>
      </c>
      <c r="JK13" s="200" t="s">
        <v>646</v>
      </c>
      <c r="JL13" s="200" t="s">
        <v>647</v>
      </c>
      <c r="JM13" s="200" t="s">
        <v>648</v>
      </c>
      <c r="JN13" s="248"/>
      <c r="JO13" s="247"/>
      <c r="JP13" s="249"/>
      <c r="JQ13" s="247"/>
      <c r="JR13" s="247"/>
      <c r="JS13" s="247"/>
      <c r="JT13" s="247"/>
      <c r="JU13" s="247"/>
      <c r="JV13" s="248"/>
      <c r="JW13" s="248"/>
      <c r="JX13" s="247"/>
      <c r="JY13" s="247"/>
      <c r="JZ13" s="247"/>
      <c r="KA13" s="247"/>
      <c r="KB13" s="247"/>
      <c r="KC13" s="248"/>
      <c r="KD13" s="248"/>
      <c r="KE13" s="248"/>
      <c r="KF13" s="250"/>
      <c r="KG13" s="247"/>
      <c r="KH13" s="247"/>
      <c r="KI13" s="247"/>
      <c r="KJ13" s="247"/>
      <c r="KK13" s="247"/>
      <c r="KL13" s="251"/>
      <c r="KM13" s="251"/>
      <c r="KN13" s="251"/>
      <c r="KO13" s="251"/>
      <c r="KP13" s="251"/>
      <c r="KQ13" s="251"/>
      <c r="KR13" s="251"/>
      <c r="KS13" s="251"/>
      <c r="KT13" s="251"/>
      <c r="KU13" s="251"/>
      <c r="KV13" s="46"/>
      <c r="KW13" s="46"/>
      <c r="KX13" s="46"/>
      <c r="KY13" s="46"/>
      <c r="KZ13" s="46"/>
      <c r="LA13" s="46"/>
      <c r="LB13" s="46"/>
      <c r="LC13" s="46"/>
      <c r="LD13" s="46"/>
      <c r="LE13" s="46"/>
      <c r="LF13" s="46"/>
      <c r="LG13" s="46"/>
      <c r="LH13" s="46"/>
      <c r="LI13" s="46"/>
      <c r="LJ13" s="46"/>
      <c r="LK13" s="46"/>
      <c r="LL13" s="46"/>
      <c r="LM13" s="46"/>
      <c r="LN13" s="46"/>
      <c r="LO13" s="46"/>
      <c r="LP13" s="46"/>
      <c r="LQ13" s="46"/>
      <c r="LR13" s="46"/>
      <c r="LS13" s="46"/>
      <c r="LT13" s="46"/>
      <c r="LU13" s="46"/>
      <c r="LV13" s="46"/>
      <c r="LW13" s="46"/>
      <c r="LX13" s="46"/>
      <c r="LY13" s="46"/>
      <c r="LZ13" s="46"/>
      <c r="MA13" s="46"/>
      <c r="MB13" s="46"/>
      <c r="MC13" s="46"/>
      <c r="MD13" s="46"/>
      <c r="ME13" s="46"/>
      <c r="MF13" s="46"/>
      <c r="MG13" s="46"/>
      <c r="MH13" s="46"/>
      <c r="MI13" s="46"/>
      <c r="MJ13" s="46"/>
      <c r="MK13" s="46"/>
      <c r="ML13" s="46"/>
      <c r="MM13" s="46"/>
      <c r="MN13" s="46"/>
      <c r="MO13" s="46"/>
      <c r="MP13" s="46"/>
      <c r="MQ13" s="46"/>
      <c r="MR13" s="46"/>
      <c r="MS13" s="46"/>
      <c r="MT13" s="46"/>
      <c r="MU13" s="46"/>
      <c r="MV13" s="46"/>
      <c r="MW13" s="46"/>
      <c r="MX13" s="46"/>
      <c r="MY13" s="46"/>
      <c r="MZ13" s="46"/>
      <c r="NA13" s="46"/>
      <c r="NB13" s="46"/>
      <c r="NC13" s="46"/>
      <c r="ND13" s="46"/>
      <c r="NE13" s="46"/>
      <c r="NF13" s="46"/>
      <c r="NG13" s="46"/>
      <c r="NH13" s="46"/>
      <c r="NI13" s="46"/>
      <c r="NJ13" s="46"/>
      <c r="NK13" s="46"/>
      <c r="NL13" s="46"/>
      <c r="NM13" s="46"/>
      <c r="NN13" s="46"/>
      <c r="NO13" s="46"/>
      <c r="NP13" s="46"/>
      <c r="NQ13" s="46"/>
      <c r="NR13" s="46"/>
      <c r="NS13" s="46"/>
      <c r="NT13" s="46"/>
      <c r="NU13" s="46"/>
      <c r="NV13" s="46"/>
      <c r="NW13" s="46"/>
      <c r="NX13" s="46"/>
      <c r="NY13" s="46"/>
      <c r="NZ13" s="46"/>
      <c r="OA13" s="46"/>
      <c r="OB13" s="46"/>
      <c r="OC13" s="46"/>
      <c r="OD13" s="46"/>
      <c r="OE13" s="46"/>
      <c r="OF13" s="46"/>
      <c r="OG13" s="46"/>
      <c r="OH13" s="46"/>
      <c r="OI13" s="46"/>
      <c r="OJ13" s="46"/>
      <c r="OK13" s="46"/>
      <c r="OL13" s="46"/>
      <c r="OM13" s="46"/>
      <c r="ON13" s="46"/>
      <c r="OO13" s="46"/>
      <c r="OP13" s="46"/>
      <c r="OQ13" s="46"/>
      <c r="OR13" s="46"/>
      <c r="OS13" s="46"/>
      <c r="OT13" s="46"/>
      <c r="OU13" s="46"/>
      <c r="OV13" s="46"/>
      <c r="OW13" s="46"/>
      <c r="OX13" s="46"/>
      <c r="OY13" s="46"/>
      <c r="OZ13" s="46"/>
      <c r="PA13" s="46"/>
      <c r="PB13" s="46"/>
      <c r="PC13" s="46"/>
      <c r="PD13" s="46"/>
      <c r="PE13" s="46"/>
      <c r="PF13" s="46"/>
      <c r="PG13" s="46"/>
      <c r="PH13" s="46"/>
      <c r="PI13" s="46"/>
      <c r="PJ13" s="46"/>
      <c r="PK13" s="46"/>
      <c r="PL13" s="46"/>
      <c r="PM13" s="46"/>
      <c r="PN13" s="46"/>
      <c r="PO13" s="46"/>
      <c r="PP13" s="46"/>
      <c r="PQ13" s="46"/>
      <c r="PR13" s="46"/>
      <c r="PS13" s="46"/>
      <c r="PT13" s="46"/>
      <c r="PU13" s="46"/>
      <c r="PV13" s="46"/>
      <c r="PW13" s="46"/>
      <c r="PX13" s="46"/>
      <c r="PY13" s="46"/>
      <c r="PZ13" s="46"/>
      <c r="QA13" s="46"/>
      <c r="QB13" s="46"/>
      <c r="QC13" s="46"/>
      <c r="QD13" s="46"/>
      <c r="QE13" s="46"/>
      <c r="QF13" s="46"/>
      <c r="QG13" s="46"/>
      <c r="QH13" s="46"/>
      <c r="QI13" s="46"/>
      <c r="QJ13" s="46"/>
      <c r="QK13" s="46"/>
      <c r="QL13" s="46"/>
      <c r="QM13" s="46"/>
      <c r="QN13" s="46"/>
      <c r="QO13" s="46"/>
      <c r="QP13" s="46"/>
      <c r="QQ13" s="46"/>
      <c r="QR13" s="46"/>
      <c r="QS13" s="46"/>
      <c r="QT13" s="46"/>
      <c r="QU13" s="46"/>
      <c r="QV13" s="46"/>
      <c r="QW13" s="46"/>
      <c r="QX13" s="46"/>
      <c r="QY13" s="46"/>
      <c r="QZ13" s="46"/>
      <c r="RA13" s="46"/>
      <c r="RB13" s="46"/>
      <c r="RC13" s="46"/>
      <c r="RD13" s="46"/>
      <c r="RE13" s="46"/>
      <c r="RF13" s="46"/>
      <c r="RG13" s="46"/>
      <c r="RH13" s="46"/>
      <c r="RI13" s="46"/>
      <c r="RJ13" s="46"/>
      <c r="RK13" s="46"/>
      <c r="RL13" s="46"/>
      <c r="RM13" s="46"/>
      <c r="RN13" s="46"/>
      <c r="RO13" s="46"/>
      <c r="RP13" s="46"/>
      <c r="RQ13" s="46"/>
      <c r="RR13" s="46"/>
      <c r="RS13" s="46"/>
      <c r="RT13" s="46"/>
      <c r="RU13" s="46"/>
      <c r="RV13" s="46"/>
      <c r="RW13" s="46"/>
      <c r="RX13" s="46"/>
      <c r="RY13" s="46"/>
      <c r="RZ13" s="46"/>
      <c r="SA13" s="46"/>
      <c r="SB13" s="46"/>
      <c r="SC13" s="46"/>
      <c r="SD13" s="46"/>
      <c r="SE13" s="46"/>
      <c r="SF13" s="46"/>
      <c r="SG13" s="46"/>
      <c r="SH13" s="46"/>
      <c r="SI13" s="46"/>
      <c r="SJ13" s="46"/>
      <c r="SK13" s="46"/>
      <c r="SL13" s="46"/>
      <c r="SM13" s="46"/>
      <c r="SN13" s="46"/>
      <c r="SO13" s="46"/>
      <c r="SP13" s="46"/>
      <c r="SQ13" s="46"/>
      <c r="SR13" s="46"/>
      <c r="SS13" s="46"/>
      <c r="ST13" s="46"/>
      <c r="SU13" s="46"/>
      <c r="SV13" s="46"/>
      <c r="SW13" s="46"/>
      <c r="SX13" s="46"/>
      <c r="SY13" s="46"/>
      <c r="SZ13" s="46"/>
      <c r="TA13" s="46"/>
      <c r="TB13" s="46"/>
      <c r="TC13" s="46"/>
      <c r="TD13" s="46"/>
      <c r="TE13" s="46"/>
      <c r="TF13" s="46"/>
      <c r="TG13" s="46"/>
      <c r="TH13" s="46"/>
      <c r="TI13" s="46"/>
      <c r="TJ13" s="46"/>
      <c r="TK13" s="46"/>
      <c r="TL13" s="46"/>
      <c r="TM13" s="46"/>
      <c r="TN13" s="46"/>
      <c r="TO13" s="46"/>
      <c r="TP13" s="46"/>
      <c r="TQ13" s="46"/>
      <c r="TR13" s="46"/>
      <c r="TS13" s="46"/>
      <c r="TT13" s="46"/>
      <c r="TU13" s="46"/>
      <c r="TV13" s="46"/>
      <c r="TW13" s="46"/>
      <c r="TX13" s="46"/>
      <c r="TY13" s="46"/>
      <c r="TZ13" s="46"/>
      <c r="UA13" s="46"/>
      <c r="UB13" s="46"/>
      <c r="UC13" s="46"/>
      <c r="UD13" s="46"/>
      <c r="UE13" s="46"/>
      <c r="UF13" s="46"/>
      <c r="UG13" s="46"/>
      <c r="UH13" s="46"/>
      <c r="UI13" s="46"/>
      <c r="UJ13" s="46"/>
      <c r="UK13" s="46"/>
      <c r="UL13" s="46"/>
      <c r="UM13" s="46"/>
      <c r="UN13" s="46"/>
      <c r="UO13" s="46"/>
      <c r="UP13" s="46"/>
      <c r="UQ13" s="46"/>
      <c r="UR13" s="46"/>
      <c r="US13" s="46"/>
      <c r="UT13" s="46"/>
      <c r="UU13" s="46"/>
      <c r="UV13" s="46"/>
      <c r="UW13" s="46"/>
      <c r="UX13" s="46"/>
      <c r="UY13" s="46"/>
      <c r="UZ13" s="46"/>
      <c r="VA13" s="46"/>
      <c r="VB13" s="46"/>
      <c r="VC13" s="46"/>
      <c r="VD13" s="46"/>
      <c r="VE13" s="46"/>
      <c r="VF13" s="46"/>
      <c r="VG13" s="46"/>
      <c r="VH13" s="46"/>
      <c r="VI13" s="46"/>
      <c r="VJ13" s="46"/>
      <c r="VK13" s="46"/>
      <c r="VL13" s="46"/>
      <c r="VM13" s="46"/>
      <c r="VN13" s="46"/>
      <c r="VO13" s="46"/>
      <c r="VP13" s="46"/>
      <c r="VQ13" s="46"/>
      <c r="VR13" s="46"/>
      <c r="VS13" s="46"/>
      <c r="VT13" s="46"/>
      <c r="VU13" s="46"/>
      <c r="VV13" s="46"/>
      <c r="VW13" s="46"/>
      <c r="VX13" s="46"/>
      <c r="VY13" s="46"/>
      <c r="VZ13" s="46"/>
      <c r="WA13" s="46"/>
      <c r="WB13" s="46"/>
      <c r="WC13" s="46"/>
      <c r="WD13" s="46"/>
      <c r="WE13" s="46"/>
      <c r="WF13" s="46"/>
      <c r="WG13" s="46"/>
      <c r="WH13" s="46"/>
      <c r="WI13" s="46"/>
      <c r="WJ13" s="46"/>
      <c r="WK13" s="46"/>
      <c r="WL13" s="46"/>
      <c r="WM13" s="46"/>
      <c r="WN13" s="46"/>
      <c r="WO13" s="46"/>
      <c r="WP13" s="46"/>
      <c r="WQ13" s="46"/>
      <c r="WR13" s="46"/>
      <c r="WS13" s="46"/>
      <c r="WT13" s="46"/>
      <c r="WU13" s="46"/>
      <c r="WV13" s="46"/>
      <c r="WW13" s="46"/>
      <c r="WX13" s="46"/>
      <c r="WY13" s="46"/>
      <c r="WZ13" s="46"/>
      <c r="XA13" s="46"/>
      <c r="XB13" s="46"/>
      <c r="XC13" s="46"/>
      <c r="XD13" s="46"/>
      <c r="XE13" s="46"/>
      <c r="XF13" s="46"/>
      <c r="XG13" s="46"/>
      <c r="XH13" s="46"/>
      <c r="XI13" s="46"/>
      <c r="XJ13" s="46"/>
      <c r="XK13" s="46"/>
      <c r="XL13" s="46"/>
      <c r="XM13" s="46"/>
      <c r="XN13" s="46"/>
      <c r="XO13" s="46"/>
      <c r="XP13" s="46"/>
      <c r="XQ13" s="46"/>
      <c r="XR13" s="46"/>
      <c r="XS13" s="46"/>
      <c r="XT13" s="46"/>
      <c r="XU13" s="46"/>
      <c r="XV13" s="46"/>
      <c r="XW13" s="46"/>
      <c r="XX13" s="46"/>
      <c r="XY13" s="46"/>
      <c r="XZ13" s="46"/>
      <c r="YA13" s="46"/>
      <c r="YB13" s="46"/>
      <c r="YC13" s="46"/>
      <c r="YD13" s="46"/>
      <c r="YE13" s="46"/>
      <c r="YF13" s="46"/>
      <c r="YG13" s="46"/>
      <c r="YH13" s="46"/>
      <c r="YI13" s="46"/>
      <c r="YJ13" s="46"/>
      <c r="YK13" s="46"/>
      <c r="YL13" s="46"/>
      <c r="YM13" s="46"/>
      <c r="YN13" s="46"/>
      <c r="YO13" s="46"/>
      <c r="YP13" s="46"/>
      <c r="YQ13" s="46"/>
      <c r="YR13" s="46"/>
      <c r="YS13" s="46"/>
      <c r="YT13" s="46"/>
      <c r="YU13" s="46"/>
      <c r="YV13" s="46"/>
      <c r="YW13" s="46"/>
      <c r="YX13" s="46"/>
      <c r="YY13" s="46"/>
      <c r="YZ13" s="46"/>
      <c r="ZA13" s="46"/>
      <c r="ZB13" s="46"/>
      <c r="ZC13" s="46"/>
      <c r="ZD13" s="46"/>
      <c r="ZE13" s="46"/>
      <c r="ZF13" s="46"/>
      <c r="ZG13" s="46"/>
      <c r="ZH13" s="46"/>
      <c r="ZI13" s="46"/>
      <c r="ZJ13" s="46"/>
      <c r="ZK13" s="46"/>
      <c r="ZL13" s="46"/>
      <c r="ZM13" s="46"/>
      <c r="ZN13" s="46"/>
      <c r="ZO13" s="46"/>
      <c r="ZP13" s="46"/>
      <c r="ZQ13" s="46"/>
      <c r="ZR13" s="46"/>
      <c r="ZS13" s="46"/>
      <c r="ZT13" s="46"/>
      <c r="ZU13" s="46"/>
      <c r="ZV13" s="46"/>
      <c r="ZW13" s="46"/>
      <c r="ZX13" s="46"/>
      <c r="ZY13" s="46"/>
      <c r="ZZ13" s="46"/>
      <c r="AAA13" s="46"/>
      <c r="AAB13" s="46"/>
      <c r="AAC13" s="46"/>
      <c r="AAD13" s="46"/>
      <c r="AAE13" s="46"/>
      <c r="AAF13" s="46"/>
      <c r="AAG13" s="46"/>
      <c r="AAH13" s="46"/>
      <c r="AAI13" s="46"/>
      <c r="AAJ13" s="46"/>
      <c r="AAK13" s="46"/>
      <c r="AAL13" s="46"/>
      <c r="AAM13" s="46"/>
      <c r="AAN13" s="46"/>
      <c r="AAO13" s="46"/>
      <c r="AAP13" s="46"/>
      <c r="AAQ13" s="46"/>
      <c r="AAR13" s="46"/>
      <c r="AAS13" s="46"/>
      <c r="AAT13" s="46"/>
      <c r="AAU13" s="46"/>
      <c r="AAV13" s="46"/>
      <c r="AAW13" s="46"/>
      <c r="AAX13" s="46"/>
      <c r="AAY13" s="46"/>
      <c r="AAZ13" s="46"/>
      <c r="ABA13" s="46"/>
      <c r="ABB13" s="46"/>
      <c r="ABC13" s="46"/>
      <c r="ABD13" s="46"/>
      <c r="ABE13" s="46"/>
      <c r="ABF13" s="46"/>
      <c r="ABG13" s="46"/>
      <c r="ABH13" s="46"/>
      <c r="ABI13" s="46"/>
      <c r="ABJ13" s="46"/>
      <c r="ABK13" s="46"/>
      <c r="ABL13" s="46"/>
      <c r="ABM13" s="46"/>
      <c r="ABN13" s="46"/>
      <c r="ABO13" s="46"/>
      <c r="ABP13" s="46"/>
      <c r="ABQ13" s="46"/>
      <c r="ABR13" s="46"/>
      <c r="ABS13" s="46"/>
      <c r="ABT13" s="46"/>
      <c r="ABU13" s="46"/>
      <c r="ABV13" s="46"/>
      <c r="ABW13" s="46"/>
      <c r="ABX13" s="46"/>
      <c r="ABY13" s="46"/>
      <c r="ABZ13" s="46"/>
      <c r="ACA13" s="46"/>
      <c r="ACB13" s="46"/>
      <c r="ACC13" s="46"/>
      <c r="ACD13" s="46"/>
      <c r="ACE13" s="46"/>
      <c r="ACF13" s="46"/>
      <c r="ACG13" s="46"/>
      <c r="ACH13" s="46"/>
      <c r="ACI13" s="46"/>
      <c r="ACJ13" s="46"/>
      <c r="ACK13" s="46"/>
      <c r="ACL13" s="46"/>
      <c r="ACM13" s="46"/>
      <c r="ACN13" s="46"/>
      <c r="ACO13" s="46"/>
      <c r="ACP13" s="46"/>
      <c r="ACQ13" s="46"/>
      <c r="ACR13" s="46"/>
      <c r="ACS13" s="46"/>
      <c r="ACT13" s="46"/>
      <c r="ACU13" s="46"/>
      <c r="ACV13" s="46"/>
      <c r="ACW13" s="46"/>
      <c r="ACX13" s="46"/>
      <c r="ACY13" s="46"/>
      <c r="ACZ13" s="46"/>
      <c r="ADA13" s="46"/>
      <c r="ADB13" s="46"/>
      <c r="ADC13" s="46"/>
      <c r="ADD13" s="46"/>
      <c r="ADE13" s="46"/>
      <c r="ADF13" s="46"/>
      <c r="ADG13" s="46"/>
      <c r="ADH13" s="46"/>
      <c r="ADI13" s="46"/>
      <c r="ADJ13" s="46"/>
      <c r="ADK13" s="46"/>
      <c r="ADL13" s="46"/>
      <c r="ADM13" s="46"/>
      <c r="ADN13" s="46"/>
      <c r="ADO13" s="46"/>
      <c r="ADP13" s="46"/>
      <c r="ADQ13" s="46"/>
      <c r="ADR13" s="46"/>
      <c r="ADS13" s="46"/>
      <c r="ADT13" s="46"/>
      <c r="ADU13" s="46"/>
      <c r="ADV13" s="46"/>
      <c r="ADW13" s="46"/>
      <c r="ADX13" s="46"/>
      <c r="ADY13" s="46"/>
      <c r="ADZ13" s="46"/>
      <c r="AEA13" s="46"/>
      <c r="AEB13" s="46"/>
      <c r="AEC13" s="46"/>
      <c r="AED13" s="46"/>
      <c r="AEE13" s="46"/>
      <c r="AEF13" s="46"/>
      <c r="AEG13" s="46"/>
      <c r="AEH13" s="46"/>
      <c r="AEI13" s="46"/>
      <c r="AEJ13" s="46"/>
      <c r="AEK13" s="46"/>
      <c r="AEL13" s="46"/>
      <c r="AEM13" s="46"/>
      <c r="AEN13" s="46"/>
      <c r="AEO13" s="46"/>
      <c r="AEP13" s="46"/>
      <c r="AEQ13" s="46"/>
      <c r="AER13" s="46"/>
      <c r="AES13" s="46"/>
      <c r="AET13" s="46"/>
      <c r="AEU13" s="46"/>
      <c r="AEV13" s="46"/>
      <c r="AEW13" s="46"/>
      <c r="AEX13" s="46"/>
      <c r="AEY13" s="46"/>
      <c r="AEZ13" s="46"/>
      <c r="AFA13" s="46"/>
      <c r="AFB13" s="46"/>
      <c r="AFC13" s="46"/>
      <c r="AFD13" s="46"/>
      <c r="AFE13" s="46"/>
      <c r="AFF13" s="46"/>
      <c r="AFG13" s="46"/>
      <c r="AFH13" s="46"/>
      <c r="AFI13" s="46"/>
      <c r="AFJ13" s="46"/>
      <c r="AFK13" s="46"/>
      <c r="AFL13" s="46"/>
      <c r="AFM13" s="46"/>
      <c r="AFN13" s="46"/>
      <c r="AFO13" s="46"/>
      <c r="AFP13" s="46"/>
      <c r="AFQ13" s="46"/>
      <c r="AFR13" s="46"/>
      <c r="AFS13" s="46"/>
      <c r="AFT13" s="46"/>
      <c r="AFU13" s="46"/>
      <c r="AFV13" s="46"/>
      <c r="AFW13" s="46"/>
      <c r="AFX13" s="46"/>
      <c r="AFY13" s="46"/>
      <c r="AFZ13" s="46"/>
      <c r="AGA13" s="46"/>
      <c r="AGB13" s="46"/>
      <c r="AGC13" s="46"/>
      <c r="AGD13" s="46"/>
      <c r="AGE13" s="46"/>
      <c r="AGF13" s="46"/>
      <c r="AGG13" s="46"/>
      <c r="AGH13" s="46"/>
      <c r="AGI13" s="46"/>
      <c r="AGJ13" s="46"/>
      <c r="AGK13" s="46"/>
      <c r="AGL13" s="46"/>
      <c r="AGM13" s="46"/>
      <c r="AGN13" s="46"/>
      <c r="AGO13" s="46"/>
      <c r="AGP13" s="46"/>
      <c r="AGQ13" s="46"/>
      <c r="AGR13" s="46"/>
      <c r="AGS13" s="46"/>
      <c r="AGT13" s="46"/>
      <c r="AGU13" s="46"/>
      <c r="AGV13" s="46"/>
      <c r="AGW13" s="46"/>
      <c r="AGX13" s="46"/>
      <c r="AGY13" s="46"/>
      <c r="AGZ13" s="46"/>
      <c r="AHA13" s="46"/>
      <c r="AHB13" s="46"/>
      <c r="AHC13" s="46"/>
      <c r="AHD13" s="46"/>
      <c r="AHE13" s="46"/>
      <c r="AHF13" s="46"/>
      <c r="AHG13" s="46"/>
      <c r="AHH13" s="46"/>
      <c r="AHI13" s="46"/>
      <c r="AHJ13" s="46"/>
      <c r="AHK13" s="46"/>
      <c r="AHL13" s="46"/>
      <c r="AHM13" s="46"/>
      <c r="AHN13" s="46"/>
      <c r="AHO13" s="46"/>
      <c r="AHP13" s="46"/>
      <c r="AHQ13" s="46"/>
      <c r="AHR13" s="46"/>
      <c r="AHS13" s="46"/>
      <c r="AHT13" s="46"/>
      <c r="AHU13" s="46"/>
      <c r="AHV13" s="46"/>
      <c r="AHW13" s="46"/>
      <c r="AHX13" s="46"/>
      <c r="AHY13" s="46"/>
      <c r="AHZ13" s="46"/>
      <c r="AIA13" s="46"/>
      <c r="AIB13" s="46"/>
      <c r="AIC13" s="46"/>
      <c r="AID13" s="46"/>
      <c r="AIE13" s="46"/>
      <c r="AIF13" s="46"/>
      <c r="AIG13" s="46"/>
      <c r="AIH13" s="46"/>
      <c r="AII13" s="46"/>
      <c r="AIJ13" s="46"/>
      <c r="AIK13" s="46"/>
      <c r="AIL13" s="46"/>
      <c r="AIM13" s="46"/>
      <c r="AIN13" s="46"/>
      <c r="AIO13" s="46"/>
      <c r="AIP13" s="46"/>
      <c r="AIQ13" s="46"/>
      <c r="AIR13" s="46"/>
      <c r="AIS13" s="46"/>
      <c r="AIT13" s="46"/>
      <c r="AIU13" s="46"/>
      <c r="AIV13" s="46"/>
      <c r="AIW13" s="46"/>
      <c r="AIX13" s="46"/>
      <c r="AIY13" s="46"/>
      <c r="AIZ13" s="46"/>
      <c r="AJA13" s="46"/>
      <c r="AJB13" s="46"/>
      <c r="AJC13" s="46"/>
      <c r="AJD13" s="46"/>
      <c r="AJE13" s="46"/>
      <c r="AJF13" s="46"/>
      <c r="AJG13" s="46"/>
      <c r="AJH13" s="46"/>
      <c r="AJI13" s="46"/>
      <c r="AJJ13" s="46"/>
      <c r="AJK13" s="46"/>
      <c r="AJL13" s="46"/>
      <c r="AJM13" s="46"/>
      <c r="AJN13" s="46"/>
      <c r="AJO13" s="46"/>
      <c r="AJP13" s="46"/>
      <c r="AJQ13" s="46"/>
      <c r="AJR13" s="46"/>
      <c r="AJS13" s="46"/>
      <c r="AJT13" s="46"/>
      <c r="AJU13" s="46"/>
      <c r="AJV13" s="46"/>
      <c r="AJW13" s="46"/>
      <c r="AJX13" s="46"/>
      <c r="AJY13" s="46"/>
      <c r="AJZ13" s="46"/>
      <c r="AKA13" s="46"/>
      <c r="AKB13" s="46"/>
      <c r="AKC13" s="46"/>
      <c r="AKD13" s="46"/>
      <c r="AKE13" s="46"/>
      <c r="AKF13" s="46"/>
      <c r="AKG13" s="46"/>
      <c r="AKH13" s="46"/>
      <c r="AKI13" s="46"/>
      <c r="AKJ13" s="46"/>
      <c r="AKK13" s="46"/>
      <c r="AKL13" s="46"/>
      <c r="AKM13" s="46"/>
      <c r="AKN13" s="46"/>
      <c r="AKO13" s="46"/>
      <c r="AKP13" s="46"/>
      <c r="AKQ13" s="46"/>
      <c r="AKR13" s="46"/>
      <c r="AKS13" s="46"/>
      <c r="AKT13" s="46"/>
      <c r="AKU13" s="46"/>
      <c r="AKV13" s="46"/>
      <c r="AKW13" s="46"/>
      <c r="AKX13" s="46"/>
      <c r="AKY13" s="46"/>
      <c r="AKZ13" s="46"/>
      <c r="ALA13" s="46"/>
      <c r="ALB13" s="46"/>
      <c r="ALC13" s="46"/>
      <c r="ALD13" s="46"/>
      <c r="ALE13" s="46"/>
      <c r="ALF13" s="46"/>
      <c r="ALG13" s="46"/>
      <c r="ALH13" s="46"/>
      <c r="ALI13" s="46"/>
      <c r="ALJ13" s="46"/>
      <c r="ALK13" s="46"/>
      <c r="ALL13" s="46"/>
      <c r="ALM13" s="46"/>
      <c r="ALN13" s="46"/>
      <c r="ALO13" s="46"/>
      <c r="ALP13" s="46"/>
      <c r="ALQ13" s="46"/>
      <c r="ALR13" s="46"/>
      <c r="ALS13" s="46"/>
      <c r="ALT13" s="46"/>
      <c r="ALU13" s="46"/>
      <c r="ALV13" s="46"/>
      <c r="ALW13" s="46"/>
      <c r="ALX13" s="46"/>
      <c r="ALY13" s="46"/>
      <c r="ALZ13" s="46"/>
      <c r="AMA13" s="46"/>
      <c r="AMB13" s="46"/>
      <c r="AMC13" s="46"/>
      <c r="AMD13" s="46"/>
      <c r="AME13" s="46"/>
      <c r="AMF13" s="46"/>
      <c r="AMG13" s="46"/>
      <c r="AMH13" s="46"/>
      <c r="AMI13" s="46"/>
      <c r="AMJ13" s="46"/>
      <c r="AMK13" s="46"/>
      <c r="AML13" s="46"/>
      <c r="AMM13" s="46"/>
      <c r="AMN13" s="46"/>
      <c r="AMO13" s="46"/>
      <c r="AMP13" s="46"/>
      <c r="AMQ13" s="46"/>
      <c r="AMR13" s="46"/>
      <c r="AMS13" s="46"/>
      <c r="AMT13" s="46"/>
      <c r="AMU13" s="46"/>
      <c r="AMV13" s="46"/>
      <c r="AMW13" s="46"/>
      <c r="AMX13" s="46"/>
      <c r="AMY13" s="46"/>
      <c r="AMZ13" s="46"/>
      <c r="ANA13" s="46"/>
      <c r="ANB13" s="46"/>
      <c r="ANC13" s="46"/>
      <c r="AND13" s="46"/>
      <c r="ANE13" s="46"/>
      <c r="ANF13" s="46"/>
      <c r="ANG13" s="46"/>
      <c r="ANH13" s="46"/>
      <c r="ANI13" s="46"/>
      <c r="ANJ13" s="46"/>
      <c r="ANK13" s="46"/>
      <c r="ANL13" s="46"/>
      <c r="ANM13" s="46"/>
      <c r="ANN13" s="46"/>
      <c r="ANO13" s="46"/>
      <c r="ANP13" s="46"/>
      <c r="ANQ13" s="46"/>
      <c r="ANR13" s="46"/>
      <c r="ANS13" s="46"/>
      <c r="ANT13" s="46"/>
      <c r="ANU13" s="46"/>
      <c r="ANV13" s="46"/>
      <c r="ANW13" s="46"/>
      <c r="ANX13" s="46"/>
      <c r="ANY13" s="46"/>
      <c r="ANZ13" s="46"/>
      <c r="AOA13" s="46"/>
      <c r="AOB13" s="46"/>
      <c r="AOC13" s="46"/>
      <c r="AOD13" s="46"/>
      <c r="AOE13" s="46"/>
      <c r="AOF13" s="46"/>
      <c r="AOG13" s="46"/>
      <c r="AOH13" s="46"/>
      <c r="AOI13" s="46"/>
      <c r="AOJ13" s="46"/>
      <c r="AOK13" s="46"/>
      <c r="AOL13" s="46"/>
      <c r="AOM13" s="46"/>
      <c r="AON13" s="46"/>
      <c r="AOO13" s="46"/>
      <c r="AOP13" s="46"/>
      <c r="AOQ13" s="46"/>
      <c r="AOR13" s="46"/>
      <c r="AOS13" s="46"/>
      <c r="AOT13" s="46"/>
      <c r="AOU13" s="46"/>
      <c r="AOV13" s="46"/>
      <c r="AOW13" s="46"/>
      <c r="AOX13" s="46"/>
      <c r="AOY13" s="46"/>
      <c r="AOZ13" s="46"/>
      <c r="APA13" s="46"/>
      <c r="APB13" s="46"/>
      <c r="APC13" s="46"/>
      <c r="APD13" s="46"/>
      <c r="APE13" s="46"/>
      <c r="APF13" s="46"/>
      <c r="APG13" s="46"/>
      <c r="APH13" s="46"/>
      <c r="API13" s="46"/>
      <c r="APJ13" s="46"/>
      <c r="APK13" s="46"/>
      <c r="APL13" s="46"/>
      <c r="APM13" s="46"/>
      <c r="APN13" s="46"/>
      <c r="APO13" s="46"/>
      <c r="APP13" s="46"/>
      <c r="APQ13" s="46"/>
      <c r="APR13" s="46"/>
      <c r="APS13" s="46"/>
      <c r="APT13" s="46"/>
      <c r="APU13" s="46"/>
      <c r="APV13" s="46"/>
      <c r="APW13" s="46"/>
      <c r="APX13" s="46"/>
      <c r="APY13" s="46"/>
      <c r="APZ13" s="46"/>
      <c r="AQA13" s="46"/>
      <c r="AQB13" s="46"/>
      <c r="AQC13" s="46"/>
      <c r="AQD13" s="46"/>
      <c r="AQE13" s="46"/>
      <c r="AQF13" s="46"/>
      <c r="AQG13" s="46"/>
      <c r="AQH13" s="46"/>
      <c r="AQI13" s="46"/>
      <c r="AQJ13" s="46"/>
      <c r="AQK13" s="46"/>
      <c r="AQL13" s="46"/>
      <c r="AQM13" s="46"/>
      <c r="AQN13" s="46"/>
      <c r="AQO13" s="46"/>
      <c r="AQP13" s="46"/>
      <c r="AQQ13" s="46"/>
      <c r="AQR13" s="46"/>
      <c r="AQS13" s="46"/>
      <c r="AQT13" s="46"/>
      <c r="AQU13" s="46"/>
      <c r="AQV13" s="46"/>
      <c r="AQW13" s="46"/>
      <c r="AQX13" s="46"/>
      <c r="AQY13" s="46"/>
      <c r="AQZ13" s="46"/>
      <c r="ARA13" s="46"/>
      <c r="ARB13" s="46"/>
      <c r="ARC13" s="46"/>
      <c r="ARD13" s="46"/>
      <c r="ARE13" s="46"/>
      <c r="ARF13" s="46"/>
      <c r="ARG13" s="46"/>
      <c r="ARH13" s="46"/>
      <c r="ARI13" s="46"/>
      <c r="ARJ13" s="46"/>
      <c r="ARK13" s="46"/>
      <c r="ARL13" s="46"/>
      <c r="ARM13" s="46"/>
      <c r="ARN13" s="46"/>
      <c r="ARO13" s="46"/>
      <c r="ARP13" s="46"/>
      <c r="ARQ13" s="46"/>
      <c r="ARR13" s="46"/>
      <c r="ARS13" s="46"/>
      <c r="ART13" s="46"/>
      <c r="ARU13" s="46"/>
      <c r="ARV13" s="46"/>
      <c r="ARW13" s="46"/>
      <c r="ARX13" s="46"/>
      <c r="ARY13" s="46"/>
      <c r="ARZ13" s="46"/>
      <c r="ASA13" s="46"/>
      <c r="ASB13" s="46"/>
      <c r="ASC13" s="46"/>
      <c r="ASD13" s="46"/>
      <c r="ASE13" s="46"/>
      <c r="ASF13" s="46"/>
      <c r="ASG13" s="46"/>
      <c r="ASH13" s="46"/>
      <c r="ASI13" s="46"/>
      <c r="ASJ13" s="46"/>
      <c r="ASK13" s="46"/>
      <c r="ASL13" s="46"/>
      <c r="ASM13" s="46"/>
      <c r="ASN13" s="46"/>
      <c r="ASO13" s="46"/>
      <c r="ASP13" s="46"/>
      <c r="ASQ13" s="46"/>
      <c r="ASR13" s="46"/>
      <c r="ASS13" s="46"/>
      <c r="AST13" s="46"/>
      <c r="ASU13" s="46"/>
      <c r="ASV13" s="46"/>
      <c r="ASW13" s="46"/>
      <c r="ASX13" s="46"/>
      <c r="ASY13" s="46"/>
      <c r="ASZ13" s="46"/>
      <c r="ATA13" s="46"/>
      <c r="ATB13" s="46"/>
      <c r="ATC13" s="46"/>
      <c r="ATD13" s="46"/>
      <c r="ATE13" s="46"/>
      <c r="ATF13" s="46"/>
      <c r="ATG13" s="46"/>
      <c r="ATH13" s="46"/>
      <c r="ATI13" s="46"/>
      <c r="ATJ13" s="46"/>
      <c r="ATK13" s="46"/>
      <c r="ATL13" s="46"/>
      <c r="ATM13" s="46"/>
      <c r="ATN13" s="46"/>
      <c r="ATO13" s="46"/>
      <c r="ATP13" s="46"/>
      <c r="ATQ13" s="46"/>
      <c r="ATR13" s="46"/>
      <c r="ATS13" s="46"/>
      <c r="ATT13" s="46"/>
      <c r="ATU13" s="46"/>
      <c r="ATV13" s="46"/>
      <c r="ATW13" s="46"/>
      <c r="ATX13" s="46"/>
      <c r="ATY13" s="46"/>
      <c r="ATZ13" s="46"/>
      <c r="AUA13" s="46"/>
      <c r="AUB13" s="46"/>
      <c r="AUC13" s="46"/>
      <c r="AUD13" s="46"/>
      <c r="AUE13" s="46"/>
      <c r="AUF13" s="46"/>
      <c r="AUG13" s="46"/>
      <c r="AUH13" s="46"/>
      <c r="AUI13" s="46"/>
      <c r="AUJ13" s="46"/>
      <c r="AUK13" s="46"/>
      <c r="AUL13" s="46"/>
      <c r="AUM13" s="46"/>
      <c r="AUN13" s="46"/>
      <c r="AUO13" s="46"/>
      <c r="AUP13" s="46"/>
      <c r="AUQ13" s="46"/>
      <c r="AUR13" s="46"/>
      <c r="AUS13" s="46"/>
      <c r="AUT13" s="46"/>
      <c r="AUU13" s="46"/>
      <c r="AUV13" s="46"/>
      <c r="AUW13" s="46"/>
      <c r="AUX13" s="46"/>
      <c r="AUY13" s="46"/>
      <c r="AUZ13" s="46"/>
      <c r="AVA13" s="46"/>
      <c r="AVB13" s="46"/>
      <c r="AVC13" s="46"/>
      <c r="AVD13" s="46"/>
      <c r="AVE13" s="46"/>
      <c r="AVF13" s="46"/>
      <c r="AVG13" s="46"/>
      <c r="AVH13" s="46"/>
      <c r="AVI13" s="46"/>
      <c r="AVJ13" s="46"/>
      <c r="AVK13" s="46"/>
      <c r="AVL13" s="46"/>
      <c r="AVM13" s="46"/>
      <c r="AVN13" s="46"/>
      <c r="AVO13" s="46"/>
      <c r="AVP13" s="46"/>
      <c r="AVQ13" s="46"/>
      <c r="AVR13" s="46"/>
      <c r="AVS13" s="46"/>
      <c r="AVT13" s="46"/>
      <c r="AVU13" s="46"/>
      <c r="AVV13" s="46"/>
      <c r="AVW13" s="46"/>
      <c r="AVX13" s="46"/>
      <c r="AVY13" s="46"/>
      <c r="AVZ13" s="46"/>
      <c r="AWA13" s="46"/>
      <c r="AWB13" s="46"/>
      <c r="AWC13" s="46"/>
      <c r="AWD13" s="46"/>
      <c r="AWE13" s="46"/>
      <c r="AWF13" s="46"/>
      <c r="AWG13" s="46"/>
      <c r="AWH13" s="46"/>
      <c r="AWI13" s="46"/>
      <c r="AWJ13" s="46"/>
      <c r="AWK13" s="46"/>
      <c r="AWL13" s="46"/>
      <c r="AWM13" s="46"/>
      <c r="AWN13" s="46"/>
      <c r="AWO13" s="46"/>
      <c r="AWP13" s="46"/>
      <c r="AWQ13" s="46"/>
      <c r="AWR13" s="46"/>
      <c r="AWS13" s="46"/>
      <c r="AWT13" s="46"/>
      <c r="AWU13" s="46"/>
      <c r="AWV13" s="46"/>
      <c r="AWW13" s="46"/>
      <c r="AWX13" s="46"/>
      <c r="AWY13" s="46"/>
      <c r="AWZ13" s="46"/>
      <c r="AXA13" s="46"/>
      <c r="AXB13" s="46"/>
      <c r="AXC13" s="46"/>
      <c r="AXD13" s="46"/>
      <c r="AXE13" s="46"/>
      <c r="AXF13" s="46"/>
      <c r="AXG13" s="46"/>
      <c r="AXH13" s="46"/>
      <c r="AXI13" s="46"/>
      <c r="AXJ13" s="46"/>
      <c r="AXK13" s="46"/>
      <c r="AXL13" s="46"/>
      <c r="AXM13" s="46"/>
      <c r="AXN13" s="46"/>
      <c r="AXO13" s="46"/>
      <c r="AXP13" s="46"/>
      <c r="AXQ13" s="46"/>
      <c r="AXR13" s="46"/>
      <c r="AXS13" s="46"/>
      <c r="AXT13" s="46"/>
      <c r="AXU13" s="46"/>
      <c r="AXV13" s="46"/>
      <c r="AXW13" s="46"/>
      <c r="AXX13" s="46"/>
      <c r="AXY13" s="46"/>
      <c r="AXZ13" s="46"/>
      <c r="AYA13" s="46"/>
      <c r="AYB13" s="46"/>
      <c r="AYC13" s="46"/>
      <c r="AYD13" s="46"/>
      <c r="AYE13" s="46"/>
      <c r="AYF13" s="46"/>
      <c r="AYG13" s="46"/>
      <c r="AYH13" s="46"/>
      <c r="AYI13" s="46"/>
      <c r="AYJ13" s="46"/>
      <c r="AYK13" s="46"/>
      <c r="AYL13" s="46"/>
      <c r="AYM13" s="46"/>
      <c r="AYN13" s="46"/>
      <c r="AYO13" s="46"/>
      <c r="AYP13" s="46"/>
      <c r="AYQ13" s="46"/>
      <c r="AYR13" s="46"/>
      <c r="AYS13" s="46"/>
      <c r="AYT13" s="46"/>
      <c r="AYU13" s="46"/>
      <c r="AYV13" s="46"/>
      <c r="AYW13" s="46"/>
      <c r="AYX13" s="46"/>
      <c r="AYY13" s="46"/>
      <c r="AYZ13" s="46"/>
      <c r="AZA13" s="46"/>
      <c r="AZB13" s="46"/>
      <c r="AZC13" s="46"/>
      <c r="AZD13" s="46"/>
      <c r="AZE13" s="46"/>
      <c r="AZF13" s="46"/>
      <c r="AZG13" s="46"/>
      <c r="AZH13" s="46"/>
      <c r="AZI13" s="46"/>
      <c r="AZJ13" s="46"/>
      <c r="AZK13" s="46"/>
      <c r="AZL13" s="46"/>
      <c r="AZM13" s="46"/>
      <c r="AZN13" s="46"/>
      <c r="AZO13" s="46"/>
      <c r="AZP13" s="46"/>
      <c r="AZQ13" s="46"/>
      <c r="AZR13" s="46"/>
      <c r="AZS13" s="46"/>
      <c r="AZT13" s="46"/>
      <c r="AZU13" s="46"/>
      <c r="AZV13" s="46"/>
      <c r="AZW13" s="46"/>
      <c r="AZX13" s="46"/>
      <c r="AZY13" s="46"/>
      <c r="AZZ13" s="46"/>
      <c r="BAA13" s="46"/>
      <c r="BAB13" s="46"/>
      <c r="BAC13" s="46"/>
      <c r="BAD13" s="46"/>
      <c r="BAE13" s="46"/>
      <c r="BAF13" s="46"/>
      <c r="BAG13" s="46"/>
      <c r="BAH13" s="46"/>
      <c r="BAI13" s="46"/>
      <c r="BAJ13" s="46"/>
      <c r="BAK13" s="46"/>
      <c r="BAL13" s="46"/>
      <c r="BAM13" s="46"/>
      <c r="BAN13" s="46"/>
      <c r="BAO13" s="46"/>
      <c r="BAP13" s="46"/>
      <c r="BAQ13" s="46"/>
      <c r="BAR13" s="46"/>
      <c r="BAS13" s="46"/>
      <c r="BAT13" s="46"/>
      <c r="BAU13" s="46"/>
      <c r="BAV13" s="46"/>
      <c r="BAW13" s="46"/>
      <c r="BAX13" s="46"/>
      <c r="BAY13" s="46"/>
      <c r="BAZ13" s="46"/>
      <c r="BBA13" s="46"/>
      <c r="BBB13" s="46"/>
      <c r="BBC13" s="46"/>
      <c r="BBD13" s="46"/>
      <c r="BBE13" s="46"/>
      <c r="BBF13" s="46"/>
      <c r="BBG13" s="46"/>
      <c r="BBH13" s="46"/>
      <c r="BBI13" s="46"/>
      <c r="BBJ13" s="46"/>
      <c r="BBK13" s="46"/>
      <c r="BBL13" s="46"/>
      <c r="BBM13" s="46"/>
      <c r="BBN13" s="46"/>
      <c r="BBO13" s="46"/>
      <c r="BBP13" s="46"/>
      <c r="BBQ13" s="46"/>
      <c r="BBR13" s="46"/>
      <c r="BBS13" s="46"/>
      <c r="BBT13" s="46"/>
      <c r="BBU13" s="46"/>
      <c r="BBV13" s="46"/>
      <c r="BBW13" s="46"/>
      <c r="BBX13" s="46"/>
      <c r="BBY13" s="46"/>
      <c r="BBZ13" s="46"/>
      <c r="BCA13" s="46"/>
      <c r="BCB13" s="46"/>
      <c r="BCC13" s="46"/>
      <c r="BCD13" s="46"/>
      <c r="BCE13" s="46"/>
      <c r="BCF13" s="46"/>
      <c r="BCG13" s="46"/>
      <c r="BCH13" s="46"/>
      <c r="BCI13" s="46"/>
      <c r="BCJ13" s="46"/>
      <c r="BCK13" s="46"/>
      <c r="BCL13" s="46"/>
      <c r="BCM13" s="46"/>
      <c r="BCN13" s="46"/>
      <c r="BCO13" s="46"/>
      <c r="BCP13" s="46"/>
      <c r="BCQ13" s="46"/>
      <c r="BCR13" s="46"/>
      <c r="BCS13" s="46"/>
      <c r="BCT13" s="46"/>
      <c r="BCU13" s="46"/>
      <c r="BCV13" s="46"/>
      <c r="BCW13" s="46"/>
      <c r="BCX13" s="46"/>
      <c r="BCY13" s="46"/>
      <c r="BCZ13" s="46"/>
      <c r="BDA13" s="46"/>
      <c r="BDB13" s="46"/>
      <c r="BDC13" s="46"/>
      <c r="BDD13" s="46"/>
      <c r="BDE13" s="46"/>
      <c r="BDF13" s="46"/>
      <c r="BDG13" s="46"/>
      <c r="BDH13" s="46"/>
      <c r="BDI13" s="46"/>
      <c r="BDJ13" s="46"/>
      <c r="BDK13" s="46"/>
      <c r="BDL13" s="46"/>
      <c r="BDM13" s="46"/>
      <c r="BDN13" s="46"/>
      <c r="BDO13" s="46"/>
      <c r="BDP13" s="46"/>
      <c r="BDQ13" s="46"/>
      <c r="BDR13" s="46"/>
      <c r="BDS13" s="46"/>
      <c r="BDT13" s="46"/>
      <c r="BDU13" s="46"/>
      <c r="BDV13" s="46"/>
      <c r="BDW13" s="46"/>
      <c r="BDX13" s="46"/>
      <c r="BDY13" s="46"/>
      <c r="BDZ13" s="46"/>
      <c r="BEA13" s="46"/>
      <c r="BEB13" s="46"/>
      <c r="BEC13" s="46"/>
      <c r="BED13" s="46"/>
      <c r="BEE13" s="46"/>
      <c r="BEF13" s="46"/>
      <c r="BEG13" s="46"/>
      <c r="BEH13" s="46"/>
      <c r="BEI13" s="46"/>
      <c r="BEJ13" s="46"/>
      <c r="BEK13" s="46"/>
      <c r="BEL13" s="46"/>
      <c r="BEM13" s="46"/>
      <c r="BEN13" s="46"/>
      <c r="BEO13" s="46"/>
      <c r="BEP13" s="46"/>
      <c r="BEQ13" s="46"/>
      <c r="BER13" s="46"/>
      <c r="BES13" s="46"/>
      <c r="BET13" s="46"/>
      <c r="BEU13" s="46"/>
      <c r="BEV13" s="46"/>
      <c r="BEW13" s="46"/>
      <c r="BEX13" s="46"/>
      <c r="BEY13" s="46"/>
      <c r="BEZ13" s="46"/>
      <c r="BFA13" s="46"/>
      <c r="BFB13" s="46"/>
      <c r="BFC13" s="46"/>
      <c r="BFD13" s="46"/>
      <c r="BFE13" s="46"/>
      <c r="BFF13" s="46"/>
      <c r="BFG13" s="46"/>
      <c r="BFH13" s="46"/>
      <c r="BFI13" s="46"/>
      <c r="BFJ13" s="46"/>
      <c r="BFK13" s="46"/>
      <c r="BFL13" s="46"/>
      <c r="BFM13" s="46"/>
      <c r="BFN13" s="46"/>
      <c r="BFO13" s="46"/>
      <c r="BFP13" s="46"/>
      <c r="BFQ13" s="46"/>
      <c r="BFR13" s="46"/>
      <c r="BFS13" s="46"/>
      <c r="BFT13" s="46"/>
      <c r="BFU13" s="46"/>
      <c r="BFV13" s="46"/>
      <c r="BFW13" s="46"/>
      <c r="BFX13" s="46"/>
      <c r="BFY13" s="46"/>
      <c r="BFZ13" s="46"/>
      <c r="BGA13" s="46"/>
      <c r="BGB13" s="46"/>
      <c r="BGC13" s="46"/>
      <c r="BGD13" s="46"/>
      <c r="BGE13" s="46"/>
      <c r="BGF13" s="46"/>
      <c r="BGG13" s="46"/>
      <c r="BGH13" s="46"/>
      <c r="BGI13" s="46"/>
      <c r="BGJ13" s="46"/>
      <c r="BGK13" s="46"/>
      <c r="BGL13" s="46"/>
      <c r="BGM13" s="46"/>
      <c r="BGN13" s="46"/>
      <c r="BGO13" s="46"/>
      <c r="BGP13" s="46"/>
      <c r="BGQ13" s="46"/>
      <c r="BGR13" s="46"/>
      <c r="BGS13" s="46"/>
      <c r="BGT13" s="46"/>
      <c r="BGU13" s="46"/>
      <c r="BGV13" s="46"/>
      <c r="BGW13" s="46"/>
      <c r="BGX13" s="46"/>
      <c r="BGY13" s="46"/>
      <c r="BGZ13" s="46"/>
      <c r="BHA13" s="46"/>
      <c r="BHB13" s="46"/>
      <c r="BHC13" s="46"/>
      <c r="BHD13" s="46"/>
      <c r="BHE13" s="46"/>
      <c r="BHF13" s="46"/>
      <c r="BHG13" s="46"/>
      <c r="BHH13" s="46"/>
      <c r="BHI13" s="46"/>
      <c r="BHJ13" s="46"/>
      <c r="BHK13" s="46"/>
      <c r="BHL13" s="46"/>
      <c r="BHM13" s="46"/>
      <c r="BHN13" s="46"/>
      <c r="BHO13" s="46"/>
      <c r="BHP13" s="46"/>
      <c r="BHQ13" s="46"/>
      <c r="BHR13" s="46"/>
      <c r="BHS13" s="46"/>
      <c r="BHT13" s="46"/>
      <c r="BHU13" s="46"/>
      <c r="BHV13" s="46"/>
      <c r="BHW13" s="46"/>
      <c r="BHX13" s="46"/>
      <c r="BHY13" s="46"/>
      <c r="BHZ13" s="46"/>
      <c r="BIA13" s="46"/>
      <c r="BIB13" s="46"/>
      <c r="BIC13" s="46"/>
      <c r="BID13" s="46"/>
      <c r="BIE13" s="46"/>
      <c r="BIF13" s="46"/>
      <c r="BIG13" s="46"/>
      <c r="BIH13" s="46"/>
      <c r="BII13" s="46"/>
      <c r="BIJ13" s="46"/>
      <c r="BIK13" s="46"/>
      <c r="BIL13" s="46"/>
      <c r="BIM13" s="46"/>
      <c r="BIN13" s="46"/>
      <c r="BIO13" s="46"/>
      <c r="BIP13" s="46"/>
      <c r="BIQ13" s="46"/>
      <c r="BIR13" s="46"/>
      <c r="BIS13" s="46"/>
      <c r="BIT13" s="46"/>
      <c r="BIU13" s="46"/>
      <c r="BIV13" s="46"/>
      <c r="BIW13" s="46"/>
      <c r="BIX13" s="46"/>
      <c r="BIY13" s="46"/>
      <c r="BIZ13" s="46"/>
      <c r="BJA13" s="46"/>
      <c r="BJB13" s="46"/>
      <c r="BJC13" s="46"/>
      <c r="BJD13" s="46"/>
      <c r="BJE13" s="46"/>
      <c r="BJF13" s="46"/>
      <c r="BJG13" s="46"/>
      <c r="BJH13" s="46"/>
      <c r="BJI13" s="46"/>
      <c r="BJJ13" s="46"/>
      <c r="BJK13" s="46"/>
      <c r="BJL13" s="46"/>
      <c r="BJM13" s="46"/>
      <c r="BJN13" s="46"/>
      <c r="BJO13" s="46"/>
      <c r="BJP13" s="46"/>
      <c r="BJQ13" s="46"/>
      <c r="BJR13" s="46"/>
      <c r="BJS13" s="46"/>
      <c r="BJT13" s="46"/>
      <c r="BJU13" s="46"/>
      <c r="BJV13" s="46"/>
      <c r="BJW13" s="46"/>
      <c r="BJX13" s="46"/>
      <c r="BJY13" s="46"/>
      <c r="BJZ13" s="46"/>
      <c r="BKA13" s="46"/>
      <c r="BKB13" s="46"/>
      <c r="BKC13" s="46"/>
      <c r="BKD13" s="46"/>
      <c r="BKE13" s="46"/>
      <c r="BKF13" s="46"/>
      <c r="BKG13" s="46"/>
      <c r="BKH13" s="46"/>
      <c r="BKI13" s="46"/>
      <c r="BKJ13" s="46"/>
      <c r="BKK13" s="46"/>
      <c r="BKL13" s="46"/>
      <c r="BKM13" s="46"/>
      <c r="BKN13" s="46"/>
      <c r="BKO13" s="46"/>
      <c r="BKP13" s="46"/>
      <c r="BKQ13" s="46"/>
      <c r="BKR13" s="46"/>
      <c r="BKS13" s="46"/>
      <c r="BKT13" s="46"/>
      <c r="BKU13" s="46"/>
      <c r="BKV13" s="46"/>
      <c r="BKW13" s="46"/>
      <c r="BKX13" s="46"/>
      <c r="BKY13" s="46"/>
      <c r="BKZ13" s="46"/>
      <c r="BLA13" s="46"/>
      <c r="BLB13" s="46"/>
      <c r="BLC13" s="46"/>
      <c r="BLD13" s="46"/>
      <c r="BLE13" s="46"/>
      <c r="BLF13" s="46"/>
      <c r="BLG13" s="46"/>
      <c r="BLH13" s="46"/>
      <c r="BLI13" s="46"/>
      <c r="BLJ13" s="46"/>
      <c r="BLK13" s="46"/>
      <c r="BLL13" s="46"/>
      <c r="BLM13" s="46"/>
      <c r="BLN13" s="46"/>
      <c r="BLO13" s="46"/>
      <c r="BLP13" s="46"/>
      <c r="BLQ13" s="46"/>
      <c r="BLR13" s="46"/>
      <c r="BLS13" s="46"/>
      <c r="BLT13" s="46"/>
      <c r="BLU13" s="46"/>
      <c r="BLV13" s="46"/>
      <c r="BLW13" s="46"/>
      <c r="BLX13" s="46"/>
      <c r="BLY13" s="46"/>
      <c r="BLZ13" s="46"/>
      <c r="BMA13" s="46"/>
      <c r="BMB13" s="46"/>
      <c r="BMC13" s="46"/>
      <c r="BMD13" s="46"/>
      <c r="BME13" s="46"/>
      <c r="BMF13" s="46"/>
      <c r="BMG13" s="46"/>
      <c r="BMH13" s="46"/>
      <c r="BMI13" s="46"/>
      <c r="BMJ13" s="46"/>
      <c r="BMK13" s="46"/>
      <c r="BML13" s="46"/>
      <c r="BMM13" s="46"/>
      <c r="BMN13" s="46"/>
      <c r="BMO13" s="46"/>
      <c r="BMP13" s="46"/>
      <c r="BMQ13" s="46"/>
      <c r="BMR13" s="46"/>
      <c r="BMS13" s="46"/>
      <c r="BMT13" s="46"/>
      <c r="BMU13" s="46"/>
      <c r="BMV13" s="46"/>
      <c r="BMW13" s="46"/>
      <c r="BMX13" s="46"/>
      <c r="BMY13" s="46"/>
      <c r="BMZ13" s="46"/>
      <c r="BNA13" s="46"/>
      <c r="BNB13" s="46"/>
      <c r="BNC13" s="46"/>
      <c r="BND13" s="46"/>
      <c r="BNE13" s="46"/>
      <c r="BNF13" s="46"/>
      <c r="BNG13" s="46"/>
      <c r="BNH13" s="46"/>
      <c r="BNI13" s="46"/>
      <c r="BNJ13" s="46"/>
      <c r="BNK13" s="46"/>
      <c r="BNL13" s="46"/>
      <c r="BNM13" s="46"/>
      <c r="BNN13" s="46"/>
      <c r="BNO13" s="46"/>
      <c r="BNP13" s="46"/>
      <c r="BNQ13" s="46"/>
      <c r="BNR13" s="46"/>
      <c r="BNS13" s="46"/>
      <c r="BNT13" s="46"/>
      <c r="BNU13" s="46"/>
      <c r="BNV13" s="46"/>
      <c r="BNW13" s="46"/>
      <c r="BNX13" s="46"/>
      <c r="BNY13" s="46"/>
      <c r="BNZ13" s="46"/>
      <c r="BOA13" s="46"/>
      <c r="BOB13" s="46"/>
      <c r="BOC13" s="46"/>
      <c r="BOD13" s="46"/>
      <c r="BOE13" s="46"/>
      <c r="BOF13" s="46"/>
      <c r="BOG13" s="46"/>
      <c r="BOH13" s="46"/>
      <c r="BOI13" s="46"/>
      <c r="BOJ13" s="46"/>
      <c r="BOK13" s="46"/>
      <c r="BOL13" s="46"/>
      <c r="BOM13" s="46"/>
      <c r="BON13" s="46"/>
      <c r="BOO13" s="46"/>
      <c r="BOP13" s="46"/>
      <c r="BOQ13" s="46"/>
      <c r="BOR13" s="46"/>
      <c r="BOS13" s="46"/>
      <c r="BOT13" s="46"/>
      <c r="BOU13" s="46"/>
      <c r="BOV13" s="46"/>
      <c r="BOW13" s="46"/>
      <c r="BOX13" s="46"/>
      <c r="BOY13" s="46"/>
      <c r="BOZ13" s="46"/>
      <c r="BPA13" s="46"/>
      <c r="BPB13" s="46"/>
      <c r="BPC13" s="46"/>
      <c r="BPD13" s="46"/>
      <c r="BPE13" s="46"/>
      <c r="BPF13" s="46"/>
      <c r="BPG13" s="46"/>
      <c r="BPH13" s="46"/>
      <c r="BPI13" s="46"/>
      <c r="BPJ13" s="46"/>
      <c r="BPK13" s="46"/>
      <c r="BPL13" s="46"/>
      <c r="BPM13" s="46"/>
      <c r="BPN13" s="46"/>
      <c r="BPO13" s="46"/>
      <c r="BPP13" s="46"/>
      <c r="BPQ13" s="46"/>
      <c r="BPR13" s="46"/>
      <c r="BPS13" s="46"/>
      <c r="BPT13" s="46"/>
      <c r="BPU13" s="46"/>
      <c r="BPV13" s="46"/>
      <c r="BPW13" s="46"/>
      <c r="BPX13" s="46"/>
      <c r="BPY13" s="46"/>
      <c r="BPZ13" s="46"/>
      <c r="BQA13" s="46"/>
      <c r="BQB13" s="46"/>
      <c r="BQC13" s="46"/>
      <c r="BQD13" s="46"/>
      <c r="BQE13" s="46"/>
      <c r="BQF13" s="46"/>
      <c r="BQG13" s="46"/>
      <c r="BQH13" s="46"/>
      <c r="BQI13" s="46"/>
      <c r="BQJ13" s="46"/>
      <c r="BQK13" s="46"/>
      <c r="BQL13" s="46"/>
      <c r="BQM13" s="46"/>
      <c r="BQN13" s="46"/>
      <c r="BQO13" s="46"/>
      <c r="BQP13" s="46"/>
      <c r="BQQ13" s="46"/>
      <c r="BQR13" s="46"/>
      <c r="BQS13" s="46"/>
      <c r="BQT13" s="46"/>
      <c r="BQU13" s="46"/>
      <c r="BQV13" s="46"/>
      <c r="BQW13" s="46"/>
      <c r="BQX13" s="46"/>
      <c r="BQY13" s="46"/>
      <c r="BQZ13" s="46"/>
      <c r="BRA13" s="46"/>
      <c r="BRB13" s="46"/>
      <c r="BRC13" s="46"/>
      <c r="BRD13" s="46"/>
      <c r="BRE13" s="46"/>
      <c r="BRF13" s="46"/>
      <c r="BRG13" s="46"/>
      <c r="BRH13" s="46"/>
      <c r="BRI13" s="46"/>
      <c r="BRJ13" s="46"/>
      <c r="BRK13" s="46"/>
      <c r="BRL13" s="46"/>
      <c r="BRM13" s="46"/>
      <c r="BRN13" s="46"/>
      <c r="BRO13" s="46"/>
      <c r="BRP13" s="46"/>
      <c r="BRQ13" s="46"/>
      <c r="BRR13" s="46"/>
      <c r="BRS13" s="46"/>
      <c r="BRT13" s="46"/>
      <c r="BRU13" s="46"/>
      <c r="BRV13" s="46"/>
      <c r="BRW13" s="46"/>
      <c r="BRX13" s="46"/>
      <c r="BRY13" s="46"/>
      <c r="BRZ13" s="46"/>
      <c r="BSA13" s="46"/>
      <c r="BSB13" s="46"/>
      <c r="BSC13" s="46"/>
      <c r="BSD13" s="46"/>
      <c r="BSE13" s="46"/>
      <c r="BSF13" s="46"/>
      <c r="BSG13" s="46"/>
      <c r="BSH13" s="46"/>
      <c r="BSI13" s="46"/>
      <c r="BSJ13" s="46"/>
      <c r="BSK13" s="46"/>
      <c r="BSL13" s="46"/>
      <c r="BSM13" s="46"/>
      <c r="BSN13" s="46"/>
      <c r="BSO13" s="46"/>
      <c r="BSP13" s="46"/>
      <c r="BSQ13" s="46"/>
      <c r="BSR13" s="46"/>
      <c r="BSS13" s="46"/>
      <c r="BST13" s="46"/>
      <c r="BSU13" s="46"/>
      <c r="BSV13" s="46"/>
      <c r="BSW13" s="46"/>
      <c r="BSX13" s="46"/>
      <c r="BSY13" s="46"/>
      <c r="BSZ13" s="46"/>
      <c r="BTA13" s="46"/>
      <c r="BTB13" s="46"/>
      <c r="BTC13" s="46"/>
      <c r="BTD13" s="46"/>
      <c r="BTE13" s="46"/>
      <c r="BTF13" s="46"/>
      <c r="BTG13" s="46"/>
      <c r="BTH13" s="46"/>
      <c r="BTI13" s="46"/>
      <c r="BTJ13" s="46"/>
      <c r="BTK13" s="46"/>
      <c r="BTL13" s="46"/>
      <c r="BTM13" s="46"/>
      <c r="BTN13" s="46"/>
      <c r="BTO13" s="46"/>
      <c r="BTP13" s="46"/>
      <c r="BTQ13" s="46"/>
      <c r="BTR13" s="46"/>
      <c r="BTS13" s="46"/>
      <c r="BTT13" s="46"/>
      <c r="BTU13" s="46"/>
      <c r="BTV13" s="46"/>
      <c r="BTW13" s="46"/>
      <c r="BTX13" s="46"/>
      <c r="BTY13" s="46"/>
      <c r="BTZ13" s="46"/>
      <c r="BUA13" s="46"/>
      <c r="BUB13" s="46"/>
      <c r="BUC13" s="46"/>
      <c r="BUD13" s="46"/>
      <c r="BUE13" s="46"/>
      <c r="BUF13" s="46"/>
      <c r="BUG13" s="46"/>
      <c r="BUH13" s="46"/>
      <c r="BUI13" s="46"/>
      <c r="BUJ13" s="46"/>
      <c r="BUK13" s="46"/>
      <c r="BUL13" s="46"/>
      <c r="BUM13" s="46"/>
      <c r="BUN13" s="46"/>
      <c r="BUO13" s="46"/>
      <c r="BUP13" s="46"/>
      <c r="BUQ13" s="46"/>
      <c r="BUR13" s="46"/>
      <c r="BUS13" s="46"/>
      <c r="BUT13" s="46"/>
      <c r="BUU13" s="46"/>
      <c r="BUV13" s="46"/>
      <c r="BUW13" s="46"/>
      <c r="BUX13" s="46"/>
      <c r="BUY13" s="46"/>
      <c r="BUZ13" s="46"/>
      <c r="BVA13" s="46"/>
      <c r="BVB13" s="46"/>
      <c r="BVC13" s="46"/>
      <c r="BVD13" s="46"/>
      <c r="BVE13" s="46"/>
      <c r="BVF13" s="46"/>
      <c r="BVG13" s="46"/>
      <c r="BVH13" s="46"/>
      <c r="BVI13" s="46"/>
      <c r="BVJ13" s="46"/>
      <c r="BVK13" s="46"/>
      <c r="BVL13" s="46"/>
      <c r="BVM13" s="46"/>
      <c r="BVN13" s="46"/>
      <c r="BVO13" s="46"/>
      <c r="BVP13" s="46"/>
      <c r="BVQ13" s="46"/>
      <c r="BVR13" s="46"/>
      <c r="BVS13" s="46"/>
      <c r="BVT13" s="46"/>
      <c r="BVU13" s="46"/>
      <c r="BVV13" s="46"/>
      <c r="BVW13" s="46"/>
      <c r="BVX13" s="46"/>
      <c r="BVY13" s="46"/>
      <c r="BVZ13" s="46"/>
      <c r="BWA13" s="46"/>
      <c r="BWB13" s="46"/>
      <c r="BWC13" s="46"/>
      <c r="BWD13" s="46"/>
      <c r="BWE13" s="46"/>
      <c r="BWF13" s="46"/>
      <c r="BWG13" s="46"/>
      <c r="BWH13" s="46"/>
      <c r="BWI13" s="46"/>
      <c r="BWJ13" s="46"/>
      <c r="BWK13" s="46"/>
      <c r="BWL13" s="46"/>
      <c r="BWM13" s="46"/>
      <c r="BWN13" s="46"/>
      <c r="BWO13" s="46"/>
      <c r="BWP13" s="46"/>
      <c r="BWQ13" s="46"/>
      <c r="BWR13" s="46"/>
      <c r="BWS13" s="46"/>
      <c r="BWT13" s="46"/>
      <c r="BWU13" s="46"/>
      <c r="BWV13" s="46"/>
      <c r="BWW13" s="46"/>
      <c r="BWX13" s="46"/>
      <c r="BWY13" s="46"/>
      <c r="BWZ13" s="46"/>
      <c r="BXA13" s="46"/>
      <c r="BXB13" s="46"/>
      <c r="BXC13" s="46"/>
      <c r="BXD13" s="46"/>
      <c r="BXE13" s="46"/>
      <c r="BXF13" s="46"/>
      <c r="BXG13" s="46"/>
      <c r="BXH13" s="46"/>
      <c r="BXI13" s="46"/>
      <c r="BXJ13" s="46"/>
      <c r="BXK13" s="46"/>
      <c r="BXL13" s="46"/>
      <c r="BXM13" s="46"/>
      <c r="BXN13" s="46"/>
      <c r="BXO13" s="46"/>
      <c r="BXP13" s="46"/>
      <c r="BXQ13" s="46"/>
      <c r="BXR13" s="46"/>
      <c r="BXS13" s="46"/>
      <c r="BXT13" s="46"/>
      <c r="BXU13" s="46"/>
      <c r="BXV13" s="46"/>
      <c r="BXW13" s="46"/>
      <c r="BXX13" s="46"/>
      <c r="BXY13" s="46"/>
      <c r="BXZ13" s="46"/>
      <c r="BYA13" s="46"/>
      <c r="BYB13" s="46"/>
      <c r="BYC13" s="46"/>
      <c r="BYD13" s="46"/>
      <c r="BYE13" s="46"/>
      <c r="BYF13" s="46"/>
      <c r="BYG13" s="46"/>
      <c r="BYH13" s="46"/>
      <c r="BYI13" s="46"/>
      <c r="BYJ13" s="46"/>
      <c r="BYK13" s="46"/>
      <c r="BYL13" s="46"/>
      <c r="BYM13" s="46"/>
      <c r="BYN13" s="46"/>
      <c r="BYO13" s="46"/>
      <c r="BYP13" s="46"/>
      <c r="BYQ13" s="46"/>
      <c r="BYR13" s="46"/>
      <c r="BYS13" s="46"/>
      <c r="BYT13" s="46"/>
      <c r="BYU13" s="46"/>
      <c r="BYV13" s="46"/>
      <c r="BYW13" s="46"/>
      <c r="BYX13" s="46"/>
      <c r="BYY13" s="46"/>
      <c r="BYZ13" s="46"/>
      <c r="BZA13" s="46"/>
      <c r="BZB13" s="46"/>
      <c r="BZC13" s="46"/>
      <c r="BZD13" s="46"/>
      <c r="BZE13" s="46"/>
      <c r="BZF13" s="46"/>
      <c r="BZG13" s="46"/>
      <c r="BZH13" s="46"/>
      <c r="BZI13" s="46"/>
      <c r="BZJ13" s="46"/>
      <c r="BZK13" s="46"/>
      <c r="BZL13" s="46"/>
      <c r="BZM13" s="46"/>
      <c r="BZN13" s="46"/>
      <c r="BZO13" s="46"/>
      <c r="BZP13" s="46"/>
      <c r="BZQ13" s="46"/>
      <c r="BZR13" s="46"/>
      <c r="BZS13" s="46"/>
      <c r="BZT13" s="46"/>
      <c r="BZU13" s="46"/>
      <c r="BZV13" s="46"/>
      <c r="BZW13" s="46"/>
      <c r="BZX13" s="46"/>
      <c r="BZY13" s="46"/>
      <c r="BZZ13" s="46"/>
      <c r="CAA13" s="46"/>
      <c r="CAB13" s="46"/>
      <c r="CAC13" s="46"/>
      <c r="CAD13" s="46"/>
      <c r="CAE13" s="46"/>
      <c r="CAF13" s="46"/>
      <c r="CAG13" s="46"/>
      <c r="CAH13" s="46"/>
      <c r="CAI13" s="46"/>
      <c r="CAJ13" s="46"/>
      <c r="CAK13" s="46"/>
      <c r="CAL13" s="46"/>
      <c r="CAM13" s="46"/>
      <c r="CAN13" s="46"/>
      <c r="CAO13" s="46"/>
      <c r="CAP13" s="46"/>
      <c r="CAQ13" s="46"/>
      <c r="CAR13" s="46"/>
      <c r="CAS13" s="46"/>
      <c r="CAT13" s="46"/>
      <c r="CAU13" s="46"/>
      <c r="CAV13" s="46"/>
      <c r="CAW13" s="46"/>
      <c r="CAX13" s="46"/>
      <c r="CAY13" s="46"/>
      <c r="CAZ13" s="46"/>
      <c r="CBA13" s="46"/>
      <c r="CBB13" s="46"/>
      <c r="CBC13" s="46"/>
      <c r="CBD13" s="46"/>
      <c r="CBE13" s="46"/>
      <c r="CBF13" s="46"/>
      <c r="CBG13" s="46"/>
      <c r="CBH13" s="46"/>
      <c r="CBI13" s="46"/>
      <c r="CBJ13" s="46"/>
      <c r="CBK13" s="46"/>
      <c r="CBL13" s="46"/>
      <c r="CBM13" s="46"/>
      <c r="CBN13" s="46"/>
      <c r="CBO13" s="46"/>
      <c r="CBP13" s="46"/>
      <c r="CBQ13" s="46"/>
      <c r="CBR13" s="46"/>
      <c r="CBS13" s="46"/>
      <c r="CBT13" s="46"/>
      <c r="CBU13" s="46"/>
      <c r="CBV13" s="46"/>
      <c r="CBW13" s="46"/>
      <c r="CBX13" s="46"/>
      <c r="CBY13" s="46"/>
      <c r="CBZ13" s="46"/>
      <c r="CCA13" s="46"/>
      <c r="CCB13" s="46"/>
      <c r="CCC13" s="46"/>
      <c r="CCD13" s="46"/>
      <c r="CCE13" s="46"/>
      <c r="CCF13" s="46"/>
      <c r="CCG13" s="46"/>
      <c r="CCH13" s="46"/>
      <c r="CCI13" s="46"/>
      <c r="CCJ13" s="46"/>
      <c r="CCK13" s="46"/>
      <c r="CCL13" s="46"/>
      <c r="CCM13" s="46"/>
      <c r="CCN13" s="46"/>
      <c r="CCO13" s="46"/>
      <c r="CCP13" s="46"/>
      <c r="CCQ13" s="46"/>
      <c r="CCR13" s="46"/>
      <c r="CCS13" s="46"/>
      <c r="CCT13" s="46"/>
      <c r="CCU13" s="46"/>
      <c r="CCV13" s="46"/>
      <c r="CCW13" s="46"/>
      <c r="CCX13" s="46"/>
      <c r="CCY13" s="46"/>
      <c r="CCZ13" s="46"/>
      <c r="CDA13" s="46"/>
      <c r="CDB13" s="46"/>
      <c r="CDC13" s="46"/>
      <c r="CDD13" s="46"/>
      <c r="CDE13" s="46"/>
      <c r="CDF13" s="46"/>
      <c r="CDG13" s="46"/>
      <c r="CDH13" s="46"/>
      <c r="CDI13" s="46"/>
      <c r="CDJ13" s="46"/>
      <c r="CDK13" s="46"/>
      <c r="CDL13" s="46"/>
      <c r="CDM13" s="46"/>
      <c r="CDN13" s="46"/>
      <c r="CDO13" s="46"/>
      <c r="CDP13" s="46"/>
      <c r="CDQ13" s="46"/>
      <c r="CDR13" s="46"/>
      <c r="CDS13" s="46"/>
      <c r="CDT13" s="46"/>
      <c r="CDU13" s="46"/>
      <c r="CDV13" s="46"/>
      <c r="CDW13" s="46"/>
      <c r="CDX13" s="46"/>
      <c r="CDY13" s="46"/>
      <c r="CDZ13" s="46"/>
      <c r="CEA13" s="46"/>
      <c r="CEB13" s="46"/>
      <c r="CEC13" s="46"/>
      <c r="CED13" s="46"/>
      <c r="CEE13" s="46"/>
      <c r="CEF13" s="46"/>
      <c r="CEG13" s="46"/>
      <c r="CEH13" s="46"/>
      <c r="CEI13" s="46"/>
      <c r="CEJ13" s="46"/>
      <c r="CEK13" s="46"/>
      <c r="CEL13" s="46"/>
      <c r="CEM13" s="46"/>
      <c r="CEN13" s="46"/>
      <c r="CEO13" s="46"/>
      <c r="CEP13" s="46"/>
      <c r="CEQ13" s="46"/>
      <c r="CER13" s="46"/>
      <c r="CES13" s="46"/>
      <c r="CET13" s="46"/>
      <c r="CEU13" s="46"/>
      <c r="CEV13" s="46"/>
      <c r="CEW13" s="46"/>
      <c r="CEX13" s="46"/>
      <c r="CEY13" s="46"/>
      <c r="CEZ13" s="46"/>
      <c r="CFA13" s="46"/>
      <c r="CFB13" s="46"/>
      <c r="CFC13" s="46"/>
      <c r="CFD13" s="46"/>
      <c r="CFE13" s="46"/>
      <c r="CFF13" s="46"/>
      <c r="CFG13" s="46"/>
      <c r="CFH13" s="46"/>
      <c r="CFI13" s="46"/>
      <c r="CFJ13" s="46"/>
      <c r="CFK13" s="46"/>
      <c r="CFL13" s="46"/>
      <c r="CFM13" s="46"/>
      <c r="CFN13" s="46"/>
      <c r="CFO13" s="46"/>
      <c r="CFP13" s="46"/>
      <c r="CFQ13" s="46"/>
      <c r="CFR13" s="46"/>
      <c r="CFS13" s="46"/>
      <c r="CFT13" s="46"/>
      <c r="CFU13" s="46"/>
      <c r="CFV13" s="46"/>
      <c r="CFW13" s="46"/>
      <c r="CFX13" s="46"/>
      <c r="CFY13" s="46"/>
      <c r="CFZ13" s="46"/>
      <c r="CGA13" s="46"/>
      <c r="CGB13" s="46"/>
      <c r="CGC13" s="46"/>
      <c r="CGD13" s="46"/>
      <c r="CGE13" s="46"/>
      <c r="CGF13" s="46"/>
      <c r="CGG13" s="46"/>
      <c r="CGH13" s="46"/>
      <c r="CGI13" s="46"/>
      <c r="CGJ13" s="46"/>
      <c r="CGK13" s="46"/>
      <c r="CGL13" s="46"/>
      <c r="CGM13" s="46"/>
      <c r="CGN13" s="46"/>
      <c r="CGO13" s="46"/>
      <c r="CGP13" s="46"/>
      <c r="CGQ13" s="46"/>
      <c r="CGR13" s="46"/>
      <c r="CGS13" s="46"/>
      <c r="CGT13" s="46"/>
      <c r="CGU13" s="46"/>
      <c r="CGV13" s="46"/>
      <c r="CGW13" s="46"/>
      <c r="CGX13" s="46"/>
      <c r="CGY13" s="46"/>
      <c r="CGZ13" s="46"/>
      <c r="CHA13" s="46"/>
      <c r="CHB13" s="46"/>
      <c r="CHC13" s="46"/>
      <c r="CHD13" s="46"/>
      <c r="CHE13" s="46"/>
      <c r="CHF13" s="46"/>
      <c r="CHG13" s="46"/>
      <c r="CHH13" s="46"/>
      <c r="CHI13" s="46"/>
      <c r="CHJ13" s="46"/>
      <c r="CHK13" s="46"/>
      <c r="CHL13" s="46"/>
      <c r="CHM13" s="46"/>
      <c r="CHN13" s="46"/>
      <c r="CHO13" s="46"/>
      <c r="CHP13" s="46"/>
      <c r="CHQ13" s="46"/>
      <c r="CHR13" s="46"/>
      <c r="CHS13" s="46"/>
      <c r="CHT13" s="46"/>
      <c r="CHU13" s="46"/>
      <c r="CHV13" s="46"/>
      <c r="CHW13" s="46"/>
      <c r="CHX13" s="46"/>
      <c r="CHY13" s="46"/>
      <c r="CHZ13" s="46"/>
      <c r="CIA13" s="46"/>
      <c r="CIB13" s="46"/>
      <c r="CIC13" s="46"/>
      <c r="CID13" s="46"/>
      <c r="CIE13" s="46"/>
      <c r="CIF13" s="46"/>
      <c r="CIG13" s="46"/>
      <c r="CIH13" s="46"/>
      <c r="CII13" s="46"/>
      <c r="CIJ13" s="46"/>
      <c r="CIK13" s="46"/>
      <c r="CIL13" s="46"/>
      <c r="CIM13" s="46"/>
      <c r="CIN13" s="46"/>
      <c r="CIO13" s="46"/>
      <c r="CIP13" s="46"/>
      <c r="CIQ13" s="46"/>
      <c r="CIR13" s="46"/>
      <c r="CIS13" s="46"/>
      <c r="CIT13" s="46"/>
      <c r="CIU13" s="46"/>
      <c r="CIV13" s="46"/>
      <c r="CIW13" s="46"/>
      <c r="CIX13" s="46"/>
      <c r="CIY13" s="46"/>
      <c r="CIZ13" s="46"/>
      <c r="CJA13" s="46"/>
      <c r="CJB13" s="46"/>
      <c r="CJC13" s="46"/>
      <c r="CJD13" s="46"/>
      <c r="CJE13" s="46"/>
      <c r="CJF13" s="46"/>
      <c r="CJG13" s="46"/>
      <c r="CJH13" s="46"/>
      <c r="CJI13" s="46"/>
      <c r="CJJ13" s="46"/>
      <c r="CJK13" s="46"/>
      <c r="CJL13" s="46"/>
      <c r="CJM13" s="46"/>
      <c r="CJN13" s="46"/>
      <c r="CJO13" s="46"/>
      <c r="CJP13" s="46"/>
      <c r="CJQ13" s="46"/>
      <c r="CJR13" s="46"/>
      <c r="CJS13" s="46"/>
      <c r="CJT13" s="46"/>
      <c r="CJU13" s="46"/>
      <c r="CJV13" s="46"/>
      <c r="CJW13" s="46"/>
      <c r="CJX13" s="46"/>
      <c r="CJY13" s="46"/>
      <c r="CJZ13" s="46"/>
      <c r="CKA13" s="46"/>
      <c r="CKB13" s="46"/>
      <c r="CKC13" s="46"/>
      <c r="CKD13" s="46"/>
      <c r="CKE13" s="46"/>
      <c r="CKF13" s="46"/>
      <c r="CKG13" s="46"/>
      <c r="CKH13" s="46"/>
      <c r="CKI13" s="46"/>
      <c r="CKJ13" s="46"/>
      <c r="CKK13" s="46"/>
      <c r="CKL13" s="46"/>
      <c r="CKM13" s="46"/>
      <c r="CKN13" s="46"/>
      <c r="CKO13" s="46"/>
      <c r="CKP13" s="46"/>
      <c r="CKQ13" s="46"/>
      <c r="CKR13" s="46"/>
      <c r="CKS13" s="46"/>
      <c r="CKT13" s="46"/>
      <c r="CKU13" s="46"/>
      <c r="CKV13" s="46"/>
      <c r="CKW13" s="46"/>
      <c r="CKX13" s="46"/>
      <c r="CKY13" s="46"/>
      <c r="CKZ13" s="46"/>
      <c r="CLA13" s="46"/>
      <c r="CLB13" s="46"/>
      <c r="CLC13" s="46"/>
      <c r="CLD13" s="46"/>
      <c r="CLE13" s="46"/>
      <c r="CLF13" s="46"/>
      <c r="CLG13" s="46"/>
      <c r="CLH13" s="46"/>
      <c r="CLI13" s="46"/>
      <c r="CLJ13" s="46"/>
      <c r="CLK13" s="46"/>
      <c r="CLL13" s="46"/>
      <c r="CLM13" s="46"/>
      <c r="CLN13" s="46"/>
      <c r="CLO13" s="46"/>
      <c r="CLP13" s="46"/>
      <c r="CLQ13" s="46"/>
      <c r="CLR13" s="46"/>
      <c r="CLS13" s="46"/>
      <c r="CLT13" s="46"/>
      <c r="CLU13" s="46"/>
      <c r="CLV13" s="46"/>
      <c r="CLW13" s="46"/>
      <c r="CLX13" s="46"/>
      <c r="CLY13" s="46"/>
      <c r="CLZ13" s="46"/>
      <c r="CMA13" s="46"/>
      <c r="CMB13" s="46"/>
      <c r="CMC13" s="46"/>
      <c r="CMD13" s="46"/>
      <c r="CME13" s="46"/>
      <c r="CMF13" s="46"/>
      <c r="CMG13" s="46"/>
      <c r="CMH13" s="46"/>
      <c r="CMI13" s="46"/>
      <c r="CMJ13" s="46"/>
      <c r="CMK13" s="46"/>
      <c r="CML13" s="46"/>
      <c r="CMM13" s="46"/>
      <c r="CMN13" s="46"/>
      <c r="CMO13" s="46"/>
      <c r="CMP13" s="46"/>
      <c r="CMQ13" s="46"/>
      <c r="CMR13" s="46"/>
      <c r="CMS13" s="46"/>
      <c r="CMT13" s="46"/>
      <c r="CMU13" s="46"/>
      <c r="CMV13" s="46"/>
      <c r="CMW13" s="46"/>
      <c r="CMX13" s="46"/>
      <c r="CMY13" s="46"/>
      <c r="CMZ13" s="46"/>
      <c r="CNA13" s="46"/>
      <c r="CNB13" s="46"/>
      <c r="CNC13" s="46"/>
      <c r="CND13" s="46"/>
      <c r="CNE13" s="46"/>
      <c r="CNF13" s="46"/>
      <c r="CNG13" s="46"/>
      <c r="CNH13" s="46"/>
      <c r="CNI13" s="46"/>
      <c r="CNJ13" s="46"/>
      <c r="CNK13" s="46"/>
      <c r="CNL13" s="46"/>
      <c r="CNM13" s="46"/>
      <c r="CNN13" s="46"/>
      <c r="CNO13" s="46"/>
      <c r="CNP13" s="46"/>
      <c r="CNQ13" s="46"/>
      <c r="CNR13" s="46"/>
      <c r="CNS13" s="46"/>
      <c r="CNT13" s="46"/>
      <c r="CNU13" s="46"/>
      <c r="CNV13" s="46"/>
      <c r="CNW13" s="46"/>
      <c r="CNX13" s="46"/>
      <c r="CNY13" s="46"/>
      <c r="CNZ13" s="46"/>
      <c r="COA13" s="46"/>
      <c r="COB13" s="46"/>
      <c r="COC13" s="46"/>
      <c r="COD13" s="46"/>
      <c r="COE13" s="46"/>
      <c r="COF13" s="46"/>
      <c r="COG13" s="46"/>
      <c r="COH13" s="46"/>
      <c r="COI13" s="46"/>
      <c r="COJ13" s="46"/>
      <c r="COK13" s="46"/>
      <c r="COL13" s="46"/>
      <c r="COM13" s="46"/>
      <c r="CON13" s="46"/>
      <c r="COO13" s="46"/>
      <c r="COP13" s="46"/>
      <c r="COQ13" s="46"/>
      <c r="COR13" s="46"/>
      <c r="COS13" s="46"/>
      <c r="COT13" s="46"/>
      <c r="COU13" s="46"/>
      <c r="COV13" s="46"/>
      <c r="COW13" s="46"/>
      <c r="COX13" s="46"/>
      <c r="COY13" s="46"/>
      <c r="COZ13" s="46"/>
      <c r="CPA13" s="46"/>
      <c r="CPB13" s="46"/>
      <c r="CPC13" s="46"/>
      <c r="CPD13" s="46"/>
      <c r="CPE13" s="46"/>
      <c r="CPF13" s="46"/>
      <c r="CPG13" s="46"/>
      <c r="CPH13" s="46"/>
      <c r="CPI13" s="46"/>
      <c r="CPJ13" s="46"/>
      <c r="CPK13" s="46"/>
      <c r="CPL13" s="46"/>
      <c r="CPM13" s="46"/>
      <c r="CPN13" s="46"/>
      <c r="CPO13" s="46"/>
      <c r="CPP13" s="46"/>
      <c r="CPQ13" s="46"/>
      <c r="CPR13" s="46"/>
      <c r="CPS13" s="46"/>
      <c r="CPT13" s="46"/>
      <c r="CPU13" s="46"/>
      <c r="CPV13" s="46"/>
      <c r="CPW13" s="46"/>
      <c r="CPX13" s="46"/>
      <c r="CPY13" s="46"/>
      <c r="CPZ13" s="46"/>
      <c r="CQA13" s="46"/>
      <c r="CQB13" s="46"/>
      <c r="CQC13" s="46"/>
      <c r="CQD13" s="46"/>
      <c r="CQE13" s="46"/>
      <c r="CQF13" s="46"/>
      <c r="CQG13" s="46"/>
      <c r="CQH13" s="46"/>
      <c r="CQI13" s="46"/>
      <c r="CQJ13" s="46"/>
      <c r="CQK13" s="46"/>
      <c r="CQL13" s="46"/>
      <c r="CQM13" s="46"/>
      <c r="CQN13" s="46"/>
      <c r="CQO13" s="46"/>
      <c r="CQP13" s="46"/>
      <c r="CQQ13" s="46"/>
      <c r="CQR13" s="46"/>
      <c r="CQS13" s="46"/>
      <c r="CQT13" s="46"/>
      <c r="CQU13" s="46"/>
      <c r="CQV13" s="46"/>
      <c r="CQW13" s="46"/>
      <c r="CQX13" s="46"/>
      <c r="CQY13" s="46"/>
      <c r="CQZ13" s="46"/>
      <c r="CRA13" s="46"/>
      <c r="CRB13" s="46"/>
      <c r="CRC13" s="46"/>
      <c r="CRD13" s="46"/>
      <c r="CRE13" s="46"/>
      <c r="CRF13" s="46"/>
      <c r="CRG13" s="46"/>
      <c r="CRH13" s="46"/>
      <c r="CRI13" s="46"/>
      <c r="CRJ13" s="46"/>
      <c r="CRK13" s="46"/>
      <c r="CRL13" s="46"/>
      <c r="CRM13" s="46"/>
      <c r="CRN13" s="46"/>
      <c r="CRO13" s="46"/>
      <c r="CRP13" s="46"/>
      <c r="CRQ13" s="46"/>
      <c r="CRR13" s="46"/>
      <c r="CRS13" s="46"/>
      <c r="CRT13" s="46"/>
      <c r="CRU13" s="46"/>
      <c r="CRV13" s="46"/>
      <c r="CRW13" s="46"/>
      <c r="CRX13" s="46"/>
      <c r="CRY13" s="46"/>
      <c r="CRZ13" s="46"/>
      <c r="CSA13" s="46"/>
      <c r="CSB13" s="46"/>
      <c r="CSC13" s="46"/>
      <c r="CSD13" s="46"/>
      <c r="CSE13" s="46"/>
      <c r="CSF13" s="46"/>
      <c r="CSG13" s="46"/>
      <c r="CSH13" s="46"/>
      <c r="CSI13" s="46"/>
      <c r="CSJ13" s="46"/>
      <c r="CSK13" s="46"/>
      <c r="CSL13" s="46"/>
      <c r="CSM13" s="46"/>
      <c r="CSN13" s="46"/>
      <c r="CSO13" s="46"/>
      <c r="CSP13" s="46"/>
      <c r="CSQ13" s="46"/>
      <c r="CSR13" s="46"/>
      <c r="CSS13" s="46"/>
      <c r="CST13" s="46"/>
      <c r="CSU13" s="46"/>
      <c r="CSV13" s="46"/>
      <c r="CSW13" s="46"/>
      <c r="CSX13" s="46"/>
      <c r="CSY13" s="46"/>
      <c r="CSZ13" s="46"/>
      <c r="CTA13" s="46"/>
      <c r="CTB13" s="46"/>
      <c r="CTC13" s="46"/>
      <c r="CTD13" s="46"/>
      <c r="CTE13" s="46"/>
      <c r="CTF13" s="46"/>
      <c r="CTG13" s="46"/>
      <c r="CTH13" s="46"/>
      <c r="CTI13" s="46"/>
      <c r="CTJ13" s="46"/>
      <c r="CTK13" s="46"/>
      <c r="CTL13" s="46"/>
      <c r="CTM13" s="46"/>
      <c r="CTN13" s="46"/>
      <c r="CTO13" s="46"/>
      <c r="CTP13" s="46"/>
      <c r="CTQ13" s="46"/>
      <c r="CTR13" s="46"/>
      <c r="CTS13" s="46"/>
      <c r="CTT13" s="46"/>
      <c r="CTU13" s="46"/>
      <c r="CTV13" s="46"/>
      <c r="CTW13" s="46"/>
      <c r="CTX13" s="46"/>
      <c r="CTY13" s="46"/>
      <c r="CTZ13" s="46"/>
      <c r="CUA13" s="46"/>
      <c r="CUB13" s="46"/>
      <c r="CUC13" s="46"/>
      <c r="CUD13" s="46"/>
      <c r="CUE13" s="46"/>
      <c r="CUF13" s="46"/>
      <c r="CUG13" s="46"/>
      <c r="CUH13" s="46"/>
      <c r="CUI13" s="46"/>
      <c r="CUJ13" s="46"/>
      <c r="CUK13" s="46"/>
      <c r="CUL13" s="46"/>
      <c r="CUM13" s="46"/>
      <c r="CUN13" s="46"/>
      <c r="CUO13" s="46"/>
      <c r="CUP13" s="46"/>
      <c r="CUQ13" s="46"/>
      <c r="CUR13" s="46"/>
      <c r="CUS13" s="46"/>
      <c r="CUT13" s="46"/>
      <c r="CUU13" s="46"/>
      <c r="CUV13" s="46"/>
      <c r="CUW13" s="46"/>
      <c r="CUX13" s="46"/>
      <c r="CUY13" s="46"/>
      <c r="CUZ13" s="46"/>
      <c r="CVA13" s="46"/>
      <c r="CVB13" s="46"/>
      <c r="CVC13" s="46"/>
      <c r="CVD13" s="46"/>
      <c r="CVE13" s="46"/>
      <c r="CVF13" s="46"/>
      <c r="CVG13" s="46"/>
      <c r="CVH13" s="46"/>
      <c r="CVI13" s="46"/>
      <c r="CVJ13" s="46"/>
      <c r="CVK13" s="46"/>
      <c r="CVL13" s="46"/>
      <c r="CVM13" s="46"/>
      <c r="CVN13" s="46"/>
      <c r="CVO13" s="46"/>
      <c r="CVP13" s="46"/>
      <c r="CVQ13" s="46"/>
      <c r="CVR13" s="46"/>
      <c r="CVS13" s="46"/>
      <c r="CVT13" s="46"/>
      <c r="CVU13" s="46"/>
      <c r="CVV13" s="46"/>
      <c r="CVW13" s="46"/>
      <c r="CVX13" s="46"/>
      <c r="CVY13" s="46"/>
      <c r="CVZ13" s="46"/>
      <c r="CWA13" s="46"/>
      <c r="CWB13" s="46"/>
      <c r="CWC13" s="46"/>
      <c r="CWD13" s="46"/>
      <c r="CWE13" s="46"/>
      <c r="CWF13" s="46"/>
      <c r="CWG13" s="46"/>
      <c r="CWH13" s="46"/>
      <c r="CWI13" s="46"/>
      <c r="CWJ13" s="46"/>
      <c r="CWK13" s="46"/>
      <c r="CWL13" s="46"/>
      <c r="CWM13" s="46"/>
      <c r="CWN13" s="46"/>
      <c r="CWO13" s="46"/>
      <c r="CWP13" s="46"/>
      <c r="CWQ13" s="46"/>
      <c r="CWR13" s="46"/>
      <c r="CWS13" s="46"/>
      <c r="CWT13" s="46"/>
      <c r="CWU13" s="46"/>
      <c r="CWV13" s="46"/>
      <c r="CWW13" s="46"/>
      <c r="CWX13" s="46"/>
      <c r="CWY13" s="46"/>
      <c r="CWZ13" s="46"/>
      <c r="CXA13" s="46"/>
      <c r="CXB13" s="46"/>
      <c r="CXC13" s="46"/>
      <c r="CXD13" s="46"/>
      <c r="CXE13" s="46"/>
      <c r="CXF13" s="46"/>
      <c r="CXG13" s="46"/>
      <c r="CXH13" s="46"/>
      <c r="CXI13" s="46"/>
      <c r="CXJ13" s="46"/>
      <c r="CXK13" s="46"/>
      <c r="CXL13" s="46"/>
      <c r="CXM13" s="46"/>
      <c r="CXN13" s="46"/>
      <c r="CXO13" s="46"/>
      <c r="CXP13" s="46"/>
      <c r="CXQ13" s="46"/>
      <c r="CXR13" s="46"/>
      <c r="CXS13" s="46"/>
      <c r="CXT13" s="46"/>
      <c r="CXU13" s="46"/>
      <c r="CXV13" s="46"/>
      <c r="CXW13" s="46"/>
      <c r="CXX13" s="46"/>
      <c r="CXY13" s="46"/>
      <c r="CXZ13" s="46"/>
      <c r="CYA13" s="46"/>
      <c r="CYB13" s="46"/>
      <c r="CYC13" s="46"/>
      <c r="CYD13" s="46"/>
      <c r="CYE13" s="46"/>
      <c r="CYF13" s="46"/>
      <c r="CYG13" s="46"/>
      <c r="CYH13" s="46"/>
      <c r="CYI13" s="46"/>
      <c r="CYJ13" s="46"/>
      <c r="CYK13" s="46"/>
      <c r="CYL13" s="46"/>
      <c r="CYM13" s="46"/>
      <c r="CYN13" s="46"/>
      <c r="CYO13" s="46"/>
      <c r="CYP13" s="46"/>
      <c r="CYQ13" s="46"/>
      <c r="CYR13" s="46"/>
      <c r="CYS13" s="46"/>
      <c r="CYT13" s="46"/>
      <c r="CYU13" s="46"/>
      <c r="CYV13" s="46"/>
      <c r="CYW13" s="46"/>
      <c r="CYX13" s="46"/>
      <c r="CYY13" s="46"/>
      <c r="CYZ13" s="46"/>
      <c r="CZA13" s="46"/>
      <c r="CZB13" s="46"/>
      <c r="CZC13" s="46"/>
      <c r="CZD13" s="46"/>
      <c r="CZE13" s="46"/>
      <c r="CZF13" s="46"/>
      <c r="CZG13" s="46"/>
      <c r="CZH13" s="46"/>
      <c r="CZI13" s="46"/>
      <c r="CZJ13" s="46"/>
      <c r="CZK13" s="46"/>
      <c r="CZL13" s="46"/>
      <c r="CZM13" s="46"/>
      <c r="CZN13" s="46"/>
      <c r="CZO13" s="46"/>
      <c r="CZP13" s="46"/>
      <c r="CZQ13" s="46"/>
      <c r="CZR13" s="46"/>
      <c r="CZS13" s="46"/>
      <c r="CZT13" s="46"/>
      <c r="CZU13" s="46"/>
      <c r="CZV13" s="46"/>
      <c r="CZW13" s="46"/>
      <c r="CZX13" s="46"/>
      <c r="CZY13" s="46"/>
      <c r="CZZ13" s="46"/>
      <c r="DAA13" s="46"/>
      <c r="DAB13" s="46"/>
      <c r="DAC13" s="46"/>
      <c r="DAD13" s="46"/>
      <c r="DAE13" s="46"/>
      <c r="DAF13" s="46"/>
      <c r="DAG13" s="46"/>
      <c r="DAH13" s="46"/>
      <c r="DAI13" s="46"/>
      <c r="DAJ13" s="46"/>
      <c r="DAK13" s="46"/>
      <c r="DAL13" s="46"/>
      <c r="DAM13" s="46"/>
      <c r="DAN13" s="46"/>
      <c r="DAO13" s="46"/>
      <c r="DAP13" s="46"/>
      <c r="DAQ13" s="46"/>
      <c r="DAR13" s="46"/>
      <c r="DAS13" s="46"/>
      <c r="DAT13" s="46"/>
      <c r="DAU13" s="46"/>
      <c r="DAV13" s="46"/>
      <c r="DAW13" s="46"/>
      <c r="DAX13" s="46"/>
      <c r="DAY13" s="46"/>
      <c r="DAZ13" s="46"/>
      <c r="DBA13" s="46"/>
      <c r="DBB13" s="46"/>
      <c r="DBC13" s="46"/>
      <c r="DBD13" s="46"/>
      <c r="DBE13" s="46"/>
      <c r="DBF13" s="46"/>
      <c r="DBG13" s="46"/>
      <c r="DBH13" s="46"/>
      <c r="DBI13" s="46"/>
      <c r="DBJ13" s="46"/>
      <c r="DBK13" s="46"/>
      <c r="DBL13" s="46"/>
      <c r="DBM13" s="46"/>
      <c r="DBN13" s="46"/>
      <c r="DBO13" s="46"/>
      <c r="DBP13" s="46"/>
      <c r="DBQ13" s="46"/>
      <c r="DBR13" s="46"/>
      <c r="DBS13" s="46"/>
      <c r="DBT13" s="46"/>
      <c r="DBU13" s="46"/>
      <c r="DBV13" s="46"/>
      <c r="DBW13" s="46"/>
      <c r="DBX13" s="46"/>
      <c r="DBY13" s="46"/>
      <c r="DBZ13" s="46"/>
      <c r="DCA13" s="46"/>
      <c r="DCB13" s="46"/>
      <c r="DCC13" s="46"/>
      <c r="DCD13" s="46"/>
      <c r="DCE13" s="46"/>
      <c r="DCF13" s="46"/>
      <c r="DCG13" s="46"/>
      <c r="DCH13" s="46"/>
      <c r="DCI13" s="46"/>
      <c r="DCJ13" s="46"/>
      <c r="DCK13" s="46"/>
      <c r="DCL13" s="46"/>
      <c r="DCM13" s="46"/>
      <c r="DCN13" s="46"/>
      <c r="DCO13" s="46"/>
      <c r="DCP13" s="46"/>
      <c r="DCQ13" s="46"/>
      <c r="DCR13" s="46"/>
      <c r="DCS13" s="46"/>
      <c r="DCT13" s="46"/>
      <c r="DCU13" s="46"/>
      <c r="DCV13" s="46"/>
      <c r="DCW13" s="46"/>
      <c r="DCX13" s="46"/>
      <c r="DCY13" s="46"/>
      <c r="DCZ13" s="46"/>
      <c r="DDA13" s="46"/>
      <c r="DDB13" s="46"/>
      <c r="DDC13" s="46"/>
      <c r="DDD13" s="46"/>
      <c r="DDE13" s="46"/>
      <c r="DDF13" s="46"/>
      <c r="DDG13" s="46"/>
      <c r="DDH13" s="46"/>
      <c r="DDI13" s="46"/>
      <c r="DDJ13" s="46"/>
      <c r="DDK13" s="46"/>
      <c r="DDL13" s="46"/>
      <c r="DDM13" s="46"/>
      <c r="DDN13" s="46"/>
      <c r="DDO13" s="46"/>
      <c r="DDP13" s="46"/>
      <c r="DDQ13" s="46"/>
      <c r="DDR13" s="46"/>
      <c r="DDS13" s="46"/>
      <c r="DDT13" s="46"/>
      <c r="DDU13" s="46"/>
      <c r="DDV13" s="46"/>
      <c r="DDW13" s="46"/>
      <c r="DDX13" s="46"/>
      <c r="DDY13" s="46"/>
      <c r="DDZ13" s="46"/>
      <c r="DEA13" s="46"/>
      <c r="DEB13" s="46"/>
      <c r="DEC13" s="46"/>
      <c r="DED13" s="46"/>
      <c r="DEE13" s="46"/>
      <c r="DEF13" s="46"/>
      <c r="DEG13" s="46"/>
      <c r="DEH13" s="46"/>
      <c r="DEI13" s="46"/>
      <c r="DEJ13" s="46"/>
      <c r="DEK13" s="46"/>
      <c r="DEL13" s="46"/>
      <c r="DEM13" s="46"/>
      <c r="DEN13" s="46"/>
      <c r="DEO13" s="46"/>
      <c r="DEP13" s="46"/>
      <c r="DEQ13" s="46"/>
      <c r="DER13" s="46"/>
      <c r="DES13" s="46"/>
      <c r="DET13" s="46"/>
      <c r="DEU13" s="46"/>
      <c r="DEV13" s="46"/>
      <c r="DEW13" s="46"/>
      <c r="DEX13" s="46"/>
      <c r="DEY13" s="46"/>
      <c r="DEZ13" s="46"/>
      <c r="DFA13" s="46"/>
      <c r="DFB13" s="46"/>
      <c r="DFC13" s="46"/>
      <c r="DFD13" s="46"/>
      <c r="DFE13" s="46"/>
      <c r="DFF13" s="46"/>
      <c r="DFG13" s="46"/>
      <c r="DFH13" s="46"/>
      <c r="DFI13" s="46"/>
      <c r="DFJ13" s="46"/>
      <c r="DFK13" s="46"/>
      <c r="DFL13" s="46"/>
      <c r="DFM13" s="46"/>
      <c r="DFN13" s="46"/>
      <c r="DFO13" s="46"/>
      <c r="DFP13" s="46"/>
      <c r="DFQ13" s="46"/>
      <c r="DFR13" s="46"/>
      <c r="DFS13" s="46"/>
      <c r="DFT13" s="46"/>
      <c r="DFU13" s="46"/>
      <c r="DFV13" s="46"/>
      <c r="DFW13" s="46"/>
      <c r="DFX13" s="46"/>
      <c r="DFY13" s="46"/>
      <c r="DFZ13" s="46"/>
      <c r="DGA13" s="46"/>
      <c r="DGB13" s="46"/>
      <c r="DGC13" s="46"/>
      <c r="DGD13" s="46"/>
      <c r="DGE13" s="46"/>
      <c r="DGF13" s="46"/>
      <c r="DGG13" s="46"/>
      <c r="DGH13" s="46"/>
      <c r="DGI13" s="46"/>
      <c r="DGJ13" s="46"/>
      <c r="DGK13" s="46"/>
      <c r="DGL13" s="46"/>
      <c r="DGM13" s="46"/>
      <c r="DGN13" s="46"/>
      <c r="DGO13" s="46"/>
      <c r="DGP13" s="46"/>
      <c r="DGQ13" s="46"/>
      <c r="DGR13" s="46"/>
      <c r="DGS13" s="46"/>
      <c r="DGT13" s="46"/>
      <c r="DGU13" s="46"/>
      <c r="DGV13" s="46"/>
      <c r="DGW13" s="46"/>
      <c r="DGX13" s="46"/>
      <c r="DGY13" s="46"/>
      <c r="DGZ13" s="46"/>
      <c r="DHA13" s="46"/>
      <c r="DHB13" s="46"/>
      <c r="DHC13" s="46"/>
      <c r="DHD13" s="46"/>
      <c r="DHE13" s="46"/>
      <c r="DHF13" s="46"/>
      <c r="DHG13" s="46"/>
      <c r="DHH13" s="46"/>
      <c r="DHI13" s="46"/>
      <c r="DHJ13" s="46"/>
      <c r="DHK13" s="46"/>
      <c r="DHL13" s="46"/>
      <c r="DHM13" s="46"/>
      <c r="DHN13" s="46"/>
      <c r="DHO13" s="46"/>
      <c r="DHP13" s="46"/>
      <c r="DHQ13" s="46"/>
      <c r="DHR13" s="46"/>
      <c r="DHS13" s="46"/>
      <c r="DHT13" s="46"/>
      <c r="DHU13" s="46"/>
      <c r="DHV13" s="46"/>
      <c r="DHW13" s="46"/>
      <c r="DHX13" s="46"/>
      <c r="DHY13" s="46"/>
      <c r="DHZ13" s="46"/>
      <c r="DIA13" s="46"/>
      <c r="DIB13" s="46"/>
      <c r="DIC13" s="46"/>
      <c r="DID13" s="46"/>
      <c r="DIE13" s="46"/>
      <c r="DIF13" s="46"/>
      <c r="DIG13" s="46"/>
      <c r="DIH13" s="46"/>
      <c r="DII13" s="46"/>
      <c r="DIJ13" s="46"/>
      <c r="DIK13" s="46"/>
      <c r="DIL13" s="46"/>
      <c r="DIM13" s="46"/>
      <c r="DIN13" s="46"/>
      <c r="DIO13" s="46"/>
      <c r="DIP13" s="46"/>
      <c r="DIQ13" s="46"/>
      <c r="DIR13" s="46"/>
      <c r="DIS13" s="46"/>
      <c r="DIT13" s="46"/>
      <c r="DIU13" s="46"/>
      <c r="DIV13" s="46"/>
      <c r="DIW13" s="46"/>
      <c r="DIX13" s="46"/>
      <c r="DIY13" s="46"/>
      <c r="DIZ13" s="46"/>
      <c r="DJA13" s="46"/>
      <c r="DJB13" s="46"/>
      <c r="DJC13" s="46"/>
      <c r="DJD13" s="46"/>
      <c r="DJE13" s="46"/>
      <c r="DJF13" s="46"/>
      <c r="DJG13" s="46"/>
      <c r="DJH13" s="46"/>
      <c r="DJI13" s="46"/>
      <c r="DJJ13" s="46"/>
      <c r="DJK13" s="46"/>
      <c r="DJL13" s="46"/>
      <c r="DJM13" s="46"/>
      <c r="DJN13" s="46"/>
      <c r="DJO13" s="46"/>
      <c r="DJP13" s="46"/>
      <c r="DJQ13" s="46"/>
      <c r="DJR13" s="46"/>
      <c r="DJS13" s="46"/>
      <c r="DJT13" s="46"/>
      <c r="DJU13" s="46"/>
      <c r="DJV13" s="46"/>
      <c r="DJW13" s="46"/>
      <c r="DJX13" s="46"/>
      <c r="DJY13" s="46"/>
      <c r="DJZ13" s="46"/>
      <c r="DKA13" s="46"/>
      <c r="DKB13" s="46"/>
      <c r="DKC13" s="46"/>
      <c r="DKD13" s="46"/>
      <c r="DKE13" s="46"/>
      <c r="DKF13" s="46"/>
      <c r="DKG13" s="46"/>
      <c r="DKH13" s="46"/>
      <c r="DKI13" s="46"/>
      <c r="DKJ13" s="46"/>
      <c r="DKK13" s="46"/>
      <c r="DKL13" s="46"/>
      <c r="DKM13" s="46"/>
      <c r="DKN13" s="46"/>
      <c r="DKO13" s="46"/>
      <c r="DKP13" s="46"/>
      <c r="DKQ13" s="46"/>
      <c r="DKR13" s="46"/>
      <c r="DKS13" s="46"/>
      <c r="DKT13" s="46"/>
      <c r="DKU13" s="46"/>
      <c r="DKV13" s="46"/>
      <c r="DKW13" s="46"/>
      <c r="DKX13" s="46"/>
      <c r="DKY13" s="46"/>
      <c r="DKZ13" s="46"/>
      <c r="DLA13" s="46"/>
      <c r="DLB13" s="46"/>
      <c r="DLC13" s="46"/>
      <c r="DLD13" s="46"/>
      <c r="DLE13" s="46"/>
      <c r="DLF13" s="46"/>
      <c r="DLG13" s="46"/>
      <c r="DLH13" s="46"/>
      <c r="DLI13" s="46"/>
      <c r="DLJ13" s="46"/>
      <c r="DLK13" s="46"/>
      <c r="DLL13" s="46"/>
      <c r="DLM13" s="46"/>
      <c r="DLN13" s="46"/>
      <c r="DLO13" s="46"/>
      <c r="DLP13" s="46"/>
      <c r="DLQ13" s="46"/>
      <c r="DLR13" s="46"/>
      <c r="DLS13" s="46"/>
      <c r="DLT13" s="46"/>
      <c r="DLU13" s="46"/>
      <c r="DLV13" s="46"/>
      <c r="DLW13" s="46"/>
      <c r="DLX13" s="46"/>
      <c r="DLY13" s="46"/>
      <c r="DLZ13" s="46"/>
      <c r="DMA13" s="46"/>
      <c r="DMB13" s="46"/>
      <c r="DMC13" s="46"/>
      <c r="DMD13" s="46"/>
      <c r="DME13" s="46"/>
      <c r="DMF13" s="46"/>
      <c r="DMG13" s="46"/>
      <c r="DMH13" s="46"/>
      <c r="DMI13" s="46"/>
      <c r="DMJ13" s="46"/>
      <c r="DMK13" s="46"/>
      <c r="DML13" s="46"/>
      <c r="DMM13" s="46"/>
      <c r="DMN13" s="46"/>
      <c r="DMO13" s="46"/>
      <c r="DMP13" s="46"/>
      <c r="DMQ13" s="46"/>
      <c r="DMR13" s="46"/>
      <c r="DMS13" s="46"/>
      <c r="DMT13" s="46"/>
      <c r="DMU13" s="46"/>
      <c r="DMV13" s="46"/>
      <c r="DMW13" s="46"/>
      <c r="DMX13" s="46"/>
      <c r="DMY13" s="46"/>
      <c r="DMZ13" s="46"/>
      <c r="DNA13" s="46"/>
      <c r="DNB13" s="46"/>
      <c r="DNC13" s="46"/>
      <c r="DND13" s="46"/>
      <c r="DNE13" s="46"/>
      <c r="DNF13" s="46"/>
      <c r="DNG13" s="46"/>
      <c r="DNH13" s="46"/>
      <c r="DNI13" s="46"/>
      <c r="DNJ13" s="46"/>
      <c r="DNK13" s="46"/>
      <c r="DNL13" s="46"/>
      <c r="DNM13" s="46"/>
      <c r="DNN13" s="46"/>
      <c r="DNO13" s="46"/>
      <c r="DNP13" s="46"/>
      <c r="DNQ13" s="46"/>
      <c r="DNR13" s="46"/>
      <c r="DNS13" s="46"/>
      <c r="DNT13" s="46"/>
      <c r="DNU13" s="46"/>
      <c r="DNV13" s="46"/>
      <c r="DNW13" s="46"/>
      <c r="DNX13" s="46"/>
      <c r="DNY13" s="46"/>
      <c r="DNZ13" s="46"/>
      <c r="DOA13" s="46"/>
      <c r="DOB13" s="46"/>
      <c r="DOC13" s="46"/>
      <c r="DOD13" s="46"/>
      <c r="DOE13" s="46"/>
      <c r="DOF13" s="46"/>
      <c r="DOG13" s="46"/>
      <c r="DOH13" s="46"/>
      <c r="DOI13" s="46"/>
      <c r="DOJ13" s="46"/>
      <c r="DOK13" s="46"/>
      <c r="DOL13" s="46"/>
      <c r="DOM13" s="46"/>
      <c r="DON13" s="46"/>
      <c r="DOO13" s="46"/>
      <c r="DOP13" s="46"/>
      <c r="DOQ13" s="46"/>
      <c r="DOR13" s="46"/>
      <c r="DOS13" s="46"/>
      <c r="DOT13" s="46"/>
      <c r="DOU13" s="46"/>
      <c r="DOV13" s="46"/>
      <c r="DOW13" s="46"/>
      <c r="DOX13" s="46"/>
      <c r="DOY13" s="46"/>
      <c r="DOZ13" s="46"/>
      <c r="DPA13" s="46"/>
      <c r="DPB13" s="46"/>
      <c r="DPC13" s="46"/>
      <c r="DPD13" s="46"/>
      <c r="DPE13" s="46"/>
      <c r="DPF13" s="46"/>
      <c r="DPG13" s="46"/>
      <c r="DPH13" s="46"/>
      <c r="DPI13" s="46"/>
      <c r="DPJ13" s="46"/>
      <c r="DPK13" s="46"/>
      <c r="DPL13" s="46"/>
      <c r="DPM13" s="46"/>
      <c r="DPN13" s="46"/>
      <c r="DPO13" s="46"/>
      <c r="DPP13" s="46"/>
      <c r="DPQ13" s="46"/>
      <c r="DPR13" s="46"/>
      <c r="DPS13" s="46"/>
      <c r="DPT13" s="46"/>
      <c r="DPU13" s="46"/>
      <c r="DPV13" s="46"/>
      <c r="DPW13" s="46"/>
      <c r="DPX13" s="46"/>
      <c r="DPY13" s="46"/>
      <c r="DPZ13" s="46"/>
      <c r="DQA13" s="46"/>
      <c r="DQB13" s="46"/>
      <c r="DQC13" s="46"/>
      <c r="DQD13" s="46"/>
      <c r="DQE13" s="46"/>
      <c r="DQF13" s="46"/>
      <c r="DQG13" s="46"/>
      <c r="DQH13" s="46"/>
      <c r="DQI13" s="46"/>
      <c r="DQJ13" s="46"/>
      <c r="DQK13" s="46"/>
      <c r="DQL13" s="46"/>
      <c r="DQM13" s="46"/>
      <c r="DQN13" s="46"/>
      <c r="DQO13" s="46"/>
      <c r="DQP13" s="46"/>
      <c r="DQQ13" s="46"/>
      <c r="DQR13" s="46"/>
      <c r="DQS13" s="46"/>
      <c r="DQT13" s="46"/>
      <c r="DQU13" s="46"/>
      <c r="DQV13" s="46"/>
      <c r="DQW13" s="46"/>
      <c r="DQX13" s="46"/>
      <c r="DQY13" s="46"/>
      <c r="DQZ13" s="46"/>
      <c r="DRA13" s="46"/>
      <c r="DRB13" s="46"/>
      <c r="DRC13" s="46"/>
      <c r="DRD13" s="46"/>
      <c r="DRE13" s="46"/>
      <c r="DRF13" s="46"/>
      <c r="DRG13" s="46"/>
      <c r="DRH13" s="46"/>
      <c r="DRI13" s="46"/>
      <c r="DRJ13" s="46"/>
      <c r="DRK13" s="46"/>
      <c r="DRL13" s="46"/>
      <c r="DRM13" s="46"/>
      <c r="DRN13" s="46"/>
      <c r="DRO13" s="46"/>
      <c r="DRP13" s="46"/>
      <c r="DRQ13" s="46"/>
      <c r="DRR13" s="46"/>
      <c r="DRS13" s="46"/>
      <c r="DRT13" s="46"/>
      <c r="DRU13" s="46"/>
      <c r="DRV13" s="46"/>
      <c r="DRW13" s="46"/>
      <c r="DRX13" s="46"/>
      <c r="DRY13" s="46"/>
      <c r="DRZ13" s="46"/>
      <c r="DSA13" s="46"/>
      <c r="DSB13" s="46"/>
      <c r="DSC13" s="46"/>
      <c r="DSD13" s="46"/>
      <c r="DSE13" s="46"/>
      <c r="DSF13" s="46"/>
      <c r="DSG13" s="46"/>
      <c r="DSH13" s="46"/>
      <c r="DSI13" s="46"/>
      <c r="DSJ13" s="46"/>
      <c r="DSK13" s="46"/>
      <c r="DSL13" s="46"/>
      <c r="DSM13" s="46"/>
      <c r="DSN13" s="46"/>
      <c r="DSO13" s="46"/>
      <c r="DSP13" s="46"/>
      <c r="DSQ13" s="46"/>
      <c r="DSR13" s="46"/>
      <c r="DSS13" s="46"/>
      <c r="DST13" s="46"/>
      <c r="DSU13" s="46"/>
      <c r="DSV13" s="46"/>
      <c r="DSW13" s="46"/>
      <c r="DSX13" s="46"/>
      <c r="DSY13" s="46"/>
      <c r="DSZ13" s="46"/>
      <c r="DTA13" s="46"/>
      <c r="DTB13" s="46"/>
      <c r="DTC13" s="46"/>
      <c r="DTD13" s="46"/>
      <c r="DTE13" s="46"/>
      <c r="DTF13" s="46"/>
      <c r="DTG13" s="46"/>
      <c r="DTH13" s="46"/>
      <c r="DTI13" s="46"/>
      <c r="DTJ13" s="46"/>
      <c r="DTK13" s="46"/>
      <c r="DTL13" s="46"/>
      <c r="DTM13" s="46"/>
      <c r="DTN13" s="46"/>
      <c r="DTO13" s="46"/>
      <c r="DTP13" s="46"/>
      <c r="DTQ13" s="46"/>
      <c r="DTR13" s="46"/>
      <c r="DTS13" s="46"/>
      <c r="DTT13" s="46"/>
      <c r="DTU13" s="46"/>
      <c r="DTV13" s="46"/>
      <c r="DTW13" s="46"/>
      <c r="DTX13" s="46"/>
      <c r="DTY13" s="46"/>
      <c r="DTZ13" s="46"/>
      <c r="DUA13" s="46"/>
      <c r="DUB13" s="46"/>
      <c r="DUC13" s="46"/>
      <c r="DUD13" s="46"/>
      <c r="DUE13" s="46"/>
      <c r="DUF13" s="46"/>
      <c r="DUG13" s="46"/>
      <c r="DUH13" s="46"/>
      <c r="DUI13" s="46"/>
      <c r="DUJ13" s="46"/>
      <c r="DUK13" s="46"/>
      <c r="DUL13" s="46"/>
      <c r="DUM13" s="46"/>
      <c r="DUN13" s="46"/>
      <c r="DUO13" s="46"/>
      <c r="DUP13" s="46"/>
      <c r="DUQ13" s="46"/>
      <c r="DUR13" s="46"/>
      <c r="DUS13" s="46"/>
      <c r="DUT13" s="46"/>
      <c r="DUU13" s="46"/>
      <c r="DUV13" s="46"/>
      <c r="DUW13" s="46"/>
      <c r="DUX13" s="46"/>
      <c r="DUY13" s="46"/>
      <c r="DUZ13" s="46"/>
      <c r="DVA13" s="46"/>
      <c r="DVB13" s="46"/>
      <c r="DVC13" s="46"/>
      <c r="DVD13" s="46"/>
      <c r="DVE13" s="46"/>
      <c r="DVF13" s="46"/>
      <c r="DVG13" s="46"/>
      <c r="DVH13" s="46"/>
      <c r="DVI13" s="46"/>
      <c r="DVJ13" s="46"/>
      <c r="DVK13" s="46"/>
      <c r="DVL13" s="46"/>
      <c r="DVM13" s="46"/>
      <c r="DVN13" s="46"/>
      <c r="DVO13" s="46"/>
      <c r="DVP13" s="46"/>
      <c r="DVQ13" s="46"/>
      <c r="DVR13" s="46"/>
      <c r="DVS13" s="46"/>
      <c r="DVT13" s="46"/>
      <c r="DVU13" s="46"/>
      <c r="DVV13" s="46"/>
      <c r="DVW13" s="46"/>
      <c r="DVX13" s="46"/>
      <c r="DVY13" s="46"/>
      <c r="DVZ13" s="46"/>
      <c r="DWA13" s="46"/>
      <c r="DWB13" s="46"/>
      <c r="DWC13" s="46"/>
      <c r="DWD13" s="46"/>
      <c r="DWE13" s="46"/>
      <c r="DWF13" s="46"/>
      <c r="DWG13" s="46"/>
      <c r="DWH13" s="46"/>
      <c r="DWI13" s="46"/>
      <c r="DWJ13" s="46"/>
      <c r="DWK13" s="46"/>
      <c r="DWL13" s="46"/>
      <c r="DWM13" s="46"/>
      <c r="DWN13" s="46"/>
      <c r="DWO13" s="46"/>
      <c r="DWP13" s="46"/>
      <c r="DWQ13" s="46"/>
      <c r="DWR13" s="46"/>
      <c r="DWS13" s="46"/>
      <c r="DWT13" s="46"/>
      <c r="DWU13" s="46"/>
      <c r="DWV13" s="46"/>
      <c r="DWW13" s="46"/>
      <c r="DWX13" s="46"/>
      <c r="DWY13" s="46"/>
      <c r="DWZ13" s="46"/>
      <c r="DXA13" s="46"/>
      <c r="DXB13" s="46"/>
      <c r="DXC13" s="46"/>
      <c r="DXD13" s="46"/>
      <c r="DXE13" s="46"/>
      <c r="DXF13" s="46"/>
      <c r="DXG13" s="46"/>
      <c r="DXH13" s="46"/>
      <c r="DXI13" s="46"/>
      <c r="DXJ13" s="46"/>
      <c r="DXK13" s="46"/>
      <c r="DXL13" s="46"/>
      <c r="DXM13" s="46"/>
      <c r="DXN13" s="46"/>
      <c r="DXO13" s="46"/>
      <c r="DXP13" s="46"/>
      <c r="DXQ13" s="46"/>
      <c r="DXR13" s="46"/>
      <c r="DXS13" s="46"/>
      <c r="DXT13" s="46"/>
      <c r="DXU13" s="46"/>
      <c r="DXV13" s="46"/>
      <c r="DXW13" s="46"/>
      <c r="DXX13" s="46"/>
      <c r="DXY13" s="46"/>
      <c r="DXZ13" s="46"/>
      <c r="DYA13" s="46"/>
      <c r="DYB13" s="46"/>
      <c r="DYC13" s="46"/>
      <c r="DYD13" s="46"/>
      <c r="DYE13" s="46"/>
      <c r="DYF13" s="46"/>
      <c r="DYG13" s="46"/>
      <c r="DYH13" s="46"/>
      <c r="DYI13" s="46"/>
      <c r="DYJ13" s="46"/>
      <c r="DYK13" s="46"/>
      <c r="DYL13" s="46"/>
      <c r="DYM13" s="46"/>
      <c r="DYN13" s="46"/>
      <c r="DYO13" s="46"/>
      <c r="DYP13" s="46"/>
      <c r="DYQ13" s="46"/>
      <c r="DYR13" s="46"/>
      <c r="DYS13" s="46"/>
      <c r="DYT13" s="46"/>
      <c r="DYU13" s="46"/>
      <c r="DYV13" s="46"/>
      <c r="DYW13" s="46"/>
      <c r="DYX13" s="46"/>
      <c r="DYY13" s="46"/>
      <c r="DYZ13" s="46"/>
      <c r="DZA13" s="46"/>
      <c r="DZB13" s="46"/>
      <c r="DZC13" s="46"/>
      <c r="DZD13" s="46"/>
      <c r="DZE13" s="46"/>
      <c r="DZF13" s="46"/>
      <c r="DZG13" s="46"/>
      <c r="DZH13" s="46"/>
      <c r="DZI13" s="46"/>
      <c r="DZJ13" s="46"/>
      <c r="DZK13" s="46"/>
      <c r="DZL13" s="46"/>
      <c r="DZM13" s="46"/>
      <c r="DZN13" s="46"/>
      <c r="DZO13" s="46"/>
      <c r="DZP13" s="46"/>
      <c r="DZQ13" s="46"/>
      <c r="DZR13" s="46"/>
      <c r="DZS13" s="46"/>
      <c r="DZT13" s="46"/>
      <c r="DZU13" s="46"/>
      <c r="DZV13" s="46"/>
      <c r="DZW13" s="46"/>
      <c r="DZX13" s="46"/>
      <c r="DZY13" s="46"/>
      <c r="DZZ13" s="46"/>
      <c r="EAA13" s="46"/>
      <c r="EAB13" s="46"/>
      <c r="EAC13" s="46"/>
      <c r="EAD13" s="46"/>
      <c r="EAE13" s="46"/>
      <c r="EAF13" s="46"/>
      <c r="EAG13" s="46"/>
      <c r="EAH13" s="46"/>
      <c r="EAI13" s="46"/>
      <c r="EAJ13" s="46"/>
      <c r="EAK13" s="46"/>
      <c r="EAL13" s="46"/>
      <c r="EAM13" s="46"/>
      <c r="EAN13" s="46"/>
      <c r="EAO13" s="46"/>
      <c r="EAP13" s="46"/>
      <c r="EAQ13" s="46"/>
      <c r="EAR13" s="46"/>
      <c r="EAS13" s="46"/>
      <c r="EAT13" s="46"/>
      <c r="EAU13" s="46"/>
      <c r="EAV13" s="46"/>
      <c r="EAW13" s="46"/>
      <c r="EAX13" s="46"/>
      <c r="EAY13" s="46"/>
      <c r="EAZ13" s="46"/>
      <c r="EBA13" s="46"/>
      <c r="EBB13" s="46"/>
      <c r="EBC13" s="46"/>
      <c r="EBD13" s="46"/>
      <c r="EBE13" s="46"/>
      <c r="EBF13" s="46"/>
      <c r="EBG13" s="46"/>
      <c r="EBH13" s="46"/>
      <c r="EBI13" s="46"/>
      <c r="EBJ13" s="46"/>
      <c r="EBK13" s="46"/>
      <c r="EBL13" s="46"/>
      <c r="EBM13" s="46"/>
      <c r="EBN13" s="46"/>
      <c r="EBO13" s="46"/>
      <c r="EBP13" s="46"/>
      <c r="EBQ13" s="46"/>
      <c r="EBR13" s="46"/>
      <c r="EBS13" s="46"/>
      <c r="EBT13" s="46"/>
      <c r="EBU13" s="46"/>
      <c r="EBV13" s="46"/>
      <c r="EBW13" s="46"/>
      <c r="EBX13" s="46"/>
      <c r="EBY13" s="46"/>
      <c r="EBZ13" s="46"/>
      <c r="ECA13" s="46"/>
      <c r="ECB13" s="46"/>
      <c r="ECC13" s="46"/>
      <c r="ECD13" s="46"/>
      <c r="ECE13" s="46"/>
      <c r="ECF13" s="46"/>
      <c r="ECG13" s="46"/>
      <c r="ECH13" s="46"/>
      <c r="ECI13" s="46"/>
      <c r="ECJ13" s="46"/>
      <c r="ECK13" s="46"/>
      <c r="ECL13" s="46"/>
      <c r="ECM13" s="46"/>
      <c r="ECN13" s="46"/>
      <c r="ECO13" s="46"/>
      <c r="ECP13" s="46"/>
      <c r="ECQ13" s="46"/>
      <c r="ECR13" s="46"/>
      <c r="ECS13" s="46"/>
      <c r="ECT13" s="46"/>
      <c r="ECU13" s="46"/>
      <c r="ECV13" s="46"/>
      <c r="ECW13" s="46"/>
      <c r="ECX13" s="46"/>
      <c r="ECY13" s="46"/>
      <c r="ECZ13" s="46"/>
      <c r="EDA13" s="46"/>
      <c r="EDB13" s="46"/>
      <c r="EDC13" s="46"/>
      <c r="EDD13" s="46"/>
      <c r="EDE13" s="46"/>
      <c r="EDF13" s="46"/>
      <c r="EDG13" s="46"/>
      <c r="EDH13" s="46"/>
      <c r="EDI13" s="46"/>
      <c r="EDJ13" s="46"/>
      <c r="EDK13" s="46"/>
      <c r="EDL13" s="46"/>
      <c r="EDM13" s="46"/>
      <c r="EDN13" s="46"/>
      <c r="EDO13" s="46"/>
      <c r="EDP13" s="46"/>
      <c r="EDQ13" s="46"/>
      <c r="EDR13" s="46"/>
      <c r="EDS13" s="46"/>
      <c r="EDT13" s="46"/>
      <c r="EDU13" s="46"/>
      <c r="EDV13" s="46"/>
      <c r="EDW13" s="46"/>
      <c r="EDX13" s="46"/>
      <c r="EDY13" s="46"/>
      <c r="EDZ13" s="46"/>
      <c r="EEA13" s="46"/>
      <c r="EEB13" s="46"/>
      <c r="EEC13" s="46"/>
      <c r="EED13" s="46"/>
      <c r="EEE13" s="46"/>
      <c r="EEF13" s="46"/>
      <c r="EEG13" s="46"/>
      <c r="EEH13" s="46"/>
      <c r="EEI13" s="46"/>
      <c r="EEJ13" s="46"/>
      <c r="EEK13" s="46"/>
      <c r="EEL13" s="46"/>
      <c r="EEM13" s="46"/>
      <c r="EEN13" s="46"/>
      <c r="EEO13" s="46"/>
      <c r="EEP13" s="46"/>
      <c r="EEQ13" s="46"/>
      <c r="EER13" s="46"/>
      <c r="EES13" s="46"/>
      <c r="EET13" s="46"/>
      <c r="EEU13" s="46"/>
      <c r="EEV13" s="46"/>
      <c r="EEW13" s="46"/>
      <c r="EEX13" s="46"/>
      <c r="EEY13" s="46"/>
      <c r="EEZ13" s="46"/>
      <c r="EFA13" s="46"/>
      <c r="EFB13" s="46"/>
      <c r="EFC13" s="46"/>
      <c r="EFD13" s="46"/>
      <c r="EFE13" s="46"/>
      <c r="EFF13" s="46"/>
      <c r="EFG13" s="46"/>
      <c r="EFH13" s="46"/>
      <c r="EFI13" s="46"/>
      <c r="EFJ13" s="46"/>
      <c r="EFK13" s="46"/>
      <c r="EFL13" s="46"/>
      <c r="EFM13" s="46"/>
      <c r="EFN13" s="46"/>
      <c r="EFO13" s="46"/>
      <c r="EFP13" s="46"/>
      <c r="EFQ13" s="46"/>
      <c r="EFR13" s="46"/>
      <c r="EFS13" s="46"/>
      <c r="EFT13" s="46"/>
      <c r="EFU13" s="46"/>
      <c r="EFV13" s="46"/>
      <c r="EFW13" s="46"/>
      <c r="EFX13" s="46"/>
      <c r="EFY13" s="46"/>
      <c r="EFZ13" s="46"/>
      <c r="EGA13" s="46"/>
      <c r="EGB13" s="46"/>
      <c r="EGC13" s="46"/>
      <c r="EGD13" s="46"/>
      <c r="EGE13" s="46"/>
      <c r="EGF13" s="46"/>
      <c r="EGG13" s="46"/>
      <c r="EGH13" s="46"/>
      <c r="EGI13" s="46"/>
      <c r="EGJ13" s="46"/>
      <c r="EGK13" s="46"/>
      <c r="EGL13" s="46"/>
      <c r="EGM13" s="46"/>
      <c r="EGN13" s="46"/>
      <c r="EGO13" s="46"/>
      <c r="EGP13" s="46"/>
      <c r="EGQ13" s="46"/>
      <c r="EGR13" s="46"/>
      <c r="EGS13" s="46"/>
      <c r="EGT13" s="46"/>
      <c r="EGU13" s="46"/>
      <c r="EGV13" s="46"/>
      <c r="EGW13" s="46"/>
      <c r="EGX13" s="46"/>
      <c r="EGY13" s="46"/>
      <c r="EGZ13" s="46"/>
      <c r="EHA13" s="46"/>
      <c r="EHB13" s="46"/>
      <c r="EHC13" s="46"/>
      <c r="EHD13" s="46"/>
      <c r="EHE13" s="46"/>
      <c r="EHF13" s="46"/>
      <c r="EHG13" s="46"/>
      <c r="EHH13" s="46"/>
      <c r="EHI13" s="46"/>
      <c r="EHJ13" s="46"/>
      <c r="EHK13" s="46"/>
      <c r="EHL13" s="46"/>
      <c r="EHM13" s="46"/>
      <c r="EHN13" s="46"/>
      <c r="EHO13" s="46"/>
      <c r="EHP13" s="46"/>
      <c r="EHQ13" s="46"/>
      <c r="EHR13" s="46"/>
      <c r="EHS13" s="46"/>
      <c r="EHT13" s="46"/>
      <c r="EHU13" s="46"/>
      <c r="EHV13" s="46"/>
      <c r="EHW13" s="46"/>
      <c r="EHX13" s="46"/>
      <c r="EHY13" s="46"/>
      <c r="EHZ13" s="46"/>
      <c r="EIA13" s="46"/>
      <c r="EIB13" s="46"/>
      <c r="EIC13" s="46"/>
      <c r="EID13" s="46"/>
      <c r="EIE13" s="46"/>
      <c r="EIF13" s="46"/>
      <c r="EIG13" s="46"/>
      <c r="EIH13" s="46"/>
      <c r="EII13" s="46"/>
      <c r="EIJ13" s="46"/>
      <c r="EIK13" s="46"/>
      <c r="EIL13" s="46"/>
      <c r="EIM13" s="46"/>
      <c r="EIN13" s="46"/>
      <c r="EIO13" s="46"/>
      <c r="EIP13" s="46"/>
      <c r="EIQ13" s="46"/>
      <c r="EIR13" s="46"/>
      <c r="EIS13" s="46"/>
      <c r="EIT13" s="46"/>
      <c r="EIU13" s="46"/>
      <c r="EIV13" s="46"/>
      <c r="EIW13" s="46"/>
      <c r="EIX13" s="46"/>
      <c r="EIY13" s="46"/>
      <c r="EIZ13" s="46"/>
      <c r="EJA13" s="46"/>
      <c r="EJB13" s="46"/>
      <c r="EJC13" s="46"/>
      <c r="EJD13" s="46"/>
      <c r="EJE13" s="46"/>
      <c r="EJF13" s="46"/>
      <c r="EJG13" s="46"/>
      <c r="EJH13" s="46"/>
      <c r="EJI13" s="46"/>
      <c r="EJJ13" s="46"/>
      <c r="EJK13" s="46"/>
      <c r="EJL13" s="46"/>
      <c r="EJM13" s="46"/>
      <c r="EJN13" s="46"/>
      <c r="EJO13" s="46"/>
      <c r="EJP13" s="46"/>
      <c r="EJQ13" s="46"/>
      <c r="EJR13" s="46"/>
      <c r="EJS13" s="46"/>
      <c r="EJT13" s="46"/>
      <c r="EJU13" s="46"/>
      <c r="EJV13" s="46"/>
      <c r="EJW13" s="46"/>
      <c r="EJX13" s="46"/>
      <c r="EJY13" s="46"/>
      <c r="EJZ13" s="46"/>
      <c r="EKA13" s="46"/>
      <c r="EKB13" s="46"/>
      <c r="EKC13" s="46"/>
      <c r="EKD13" s="46"/>
      <c r="EKE13" s="46"/>
      <c r="EKF13" s="46"/>
      <c r="EKG13" s="46"/>
      <c r="EKH13" s="46"/>
      <c r="EKI13" s="46"/>
      <c r="EKJ13" s="46"/>
      <c r="EKK13" s="46"/>
      <c r="EKL13" s="46"/>
      <c r="EKM13" s="46"/>
      <c r="EKN13" s="46"/>
      <c r="EKO13" s="46"/>
      <c r="EKP13" s="46"/>
      <c r="EKQ13" s="46"/>
      <c r="EKR13" s="46"/>
      <c r="EKS13" s="46"/>
      <c r="EKT13" s="46"/>
      <c r="EKU13" s="46"/>
      <c r="EKV13" s="46"/>
      <c r="EKW13" s="46"/>
      <c r="EKX13" s="46"/>
      <c r="EKY13" s="46"/>
      <c r="EKZ13" s="46"/>
      <c r="ELA13" s="46"/>
      <c r="ELB13" s="46"/>
      <c r="ELC13" s="46"/>
      <c r="ELD13" s="46"/>
      <c r="ELE13" s="46"/>
      <c r="ELF13" s="46"/>
      <c r="ELG13" s="46"/>
      <c r="ELH13" s="46"/>
      <c r="ELI13" s="46"/>
      <c r="ELJ13" s="46"/>
      <c r="ELK13" s="46"/>
      <c r="ELL13" s="46"/>
      <c r="ELM13" s="46"/>
      <c r="ELN13" s="46"/>
      <c r="ELO13" s="46"/>
      <c r="ELP13" s="46"/>
      <c r="ELQ13" s="46"/>
      <c r="ELR13" s="46"/>
      <c r="ELS13" s="46"/>
      <c r="ELT13" s="46"/>
      <c r="ELU13" s="46"/>
      <c r="ELV13" s="46"/>
      <c r="ELW13" s="46"/>
      <c r="ELX13" s="46"/>
      <c r="ELY13" s="46"/>
      <c r="ELZ13" s="46"/>
      <c r="EMA13" s="46"/>
      <c r="EMB13" s="46"/>
      <c r="EMC13" s="46"/>
      <c r="EMD13" s="46"/>
      <c r="EME13" s="46"/>
      <c r="EMF13" s="46"/>
      <c r="EMG13" s="46"/>
      <c r="EMH13" s="46"/>
      <c r="EMI13" s="46"/>
      <c r="EMJ13" s="46"/>
      <c r="EMK13" s="46"/>
      <c r="EML13" s="46"/>
      <c r="EMM13" s="46"/>
      <c r="EMN13" s="46"/>
      <c r="EMO13" s="46"/>
      <c r="EMP13" s="46"/>
      <c r="EMQ13" s="46"/>
      <c r="EMR13" s="46"/>
      <c r="EMS13" s="46"/>
      <c r="EMT13" s="46"/>
      <c r="EMU13" s="46"/>
      <c r="EMV13" s="46"/>
      <c r="EMW13" s="46"/>
      <c r="EMX13" s="46"/>
      <c r="EMY13" s="46"/>
      <c r="EMZ13" s="46"/>
      <c r="ENA13" s="46"/>
      <c r="ENB13" s="46"/>
      <c r="ENC13" s="46"/>
      <c r="END13" s="46"/>
      <c r="ENE13" s="46"/>
      <c r="ENF13" s="46"/>
      <c r="ENG13" s="46"/>
      <c r="ENH13" s="46"/>
      <c r="ENI13" s="46"/>
      <c r="ENJ13" s="46"/>
      <c r="ENK13" s="46"/>
      <c r="ENL13" s="46"/>
      <c r="ENM13" s="46"/>
      <c r="ENN13" s="46"/>
      <c r="ENO13" s="46"/>
      <c r="ENP13" s="46"/>
      <c r="ENQ13" s="46"/>
      <c r="ENR13" s="46"/>
      <c r="ENS13" s="46"/>
      <c r="ENT13" s="46"/>
      <c r="ENU13" s="46"/>
      <c r="ENV13" s="46"/>
      <c r="ENW13" s="46"/>
      <c r="ENX13" s="46"/>
      <c r="ENY13" s="46"/>
      <c r="ENZ13" s="46"/>
      <c r="EOA13" s="46"/>
      <c r="EOB13" s="46"/>
      <c r="EOC13" s="46"/>
      <c r="EOD13" s="46"/>
      <c r="EOE13" s="46"/>
      <c r="EOF13" s="46"/>
      <c r="EOG13" s="46"/>
      <c r="EOH13" s="46"/>
      <c r="EOI13" s="46"/>
      <c r="EOJ13" s="46"/>
      <c r="EOK13" s="46"/>
      <c r="EOL13" s="46"/>
      <c r="EOM13" s="46"/>
      <c r="EON13" s="46"/>
      <c r="EOO13" s="46"/>
      <c r="EOP13" s="46"/>
      <c r="EOQ13" s="46"/>
      <c r="EOR13" s="46"/>
      <c r="EOS13" s="46"/>
      <c r="EOT13" s="46"/>
      <c r="EOU13" s="46"/>
      <c r="EOV13" s="46"/>
      <c r="EOW13" s="46"/>
      <c r="EOX13" s="46"/>
      <c r="EOY13" s="46"/>
      <c r="EOZ13" s="46"/>
      <c r="EPA13" s="46"/>
      <c r="EPB13" s="46"/>
      <c r="EPC13" s="46"/>
      <c r="EPD13" s="46"/>
      <c r="EPE13" s="46"/>
      <c r="EPF13" s="46"/>
      <c r="EPG13" s="46"/>
      <c r="EPH13" s="46"/>
      <c r="EPI13" s="46"/>
      <c r="EPJ13" s="46"/>
      <c r="EPK13" s="46"/>
      <c r="EPL13" s="46"/>
      <c r="EPM13" s="46"/>
      <c r="EPN13" s="46"/>
      <c r="EPO13" s="46"/>
      <c r="EPP13" s="46"/>
      <c r="EPQ13" s="46"/>
      <c r="EPR13" s="46"/>
      <c r="EPS13" s="46"/>
      <c r="EPT13" s="46"/>
      <c r="EPU13" s="46"/>
      <c r="EPV13" s="46"/>
      <c r="EPW13" s="46"/>
      <c r="EPX13" s="46"/>
      <c r="EPY13" s="46"/>
      <c r="EPZ13" s="46"/>
      <c r="EQA13" s="46"/>
      <c r="EQB13" s="46"/>
      <c r="EQC13" s="46"/>
      <c r="EQD13" s="46"/>
      <c r="EQE13" s="46"/>
      <c r="EQF13" s="46"/>
      <c r="EQG13" s="46"/>
      <c r="EQH13" s="46"/>
      <c r="EQI13" s="46"/>
      <c r="EQJ13" s="46"/>
      <c r="EQK13" s="46"/>
      <c r="EQL13" s="46"/>
      <c r="EQM13" s="46"/>
      <c r="EQN13" s="46"/>
      <c r="EQO13" s="46"/>
      <c r="EQP13" s="46"/>
      <c r="EQQ13" s="46"/>
      <c r="EQR13" s="46"/>
      <c r="EQS13" s="46"/>
      <c r="EQT13" s="46"/>
      <c r="EQU13" s="46"/>
      <c r="EQV13" s="46"/>
      <c r="EQW13" s="46"/>
      <c r="EQX13" s="46"/>
      <c r="EQY13" s="46"/>
      <c r="EQZ13" s="46"/>
      <c r="ERA13" s="46"/>
      <c r="ERB13" s="46"/>
      <c r="ERC13" s="46"/>
      <c r="ERD13" s="46"/>
      <c r="ERE13" s="46"/>
      <c r="ERF13" s="46"/>
      <c r="ERG13" s="46"/>
      <c r="ERH13" s="46"/>
      <c r="ERI13" s="46"/>
      <c r="ERJ13" s="46"/>
      <c r="ERK13" s="46"/>
      <c r="ERL13" s="46"/>
      <c r="ERM13" s="46"/>
      <c r="ERN13" s="46"/>
      <c r="ERO13" s="46"/>
      <c r="ERP13" s="46"/>
      <c r="ERQ13" s="46"/>
      <c r="ERR13" s="46"/>
      <c r="ERS13" s="46"/>
      <c r="ERT13" s="46"/>
      <c r="ERU13" s="46"/>
      <c r="ERV13" s="46"/>
      <c r="ERW13" s="46"/>
      <c r="ERX13" s="46"/>
      <c r="ERY13" s="46"/>
      <c r="ERZ13" s="46"/>
      <c r="ESA13" s="46"/>
      <c r="ESB13" s="46"/>
      <c r="ESC13" s="46"/>
      <c r="ESD13" s="46"/>
      <c r="ESE13" s="46"/>
      <c r="ESF13" s="46"/>
      <c r="ESG13" s="46"/>
      <c r="ESH13" s="46"/>
      <c r="ESI13" s="46"/>
      <c r="ESJ13" s="46"/>
      <c r="ESK13" s="46"/>
      <c r="ESL13" s="46"/>
      <c r="ESM13" s="46"/>
      <c r="ESN13" s="46"/>
      <c r="ESO13" s="46"/>
      <c r="ESP13" s="46"/>
      <c r="ESQ13" s="46"/>
      <c r="ESR13" s="46"/>
      <c r="ESS13" s="46"/>
      <c r="EST13" s="46"/>
      <c r="ESU13" s="46"/>
      <c r="ESV13" s="46"/>
      <c r="ESW13" s="46"/>
      <c r="ESX13" s="46"/>
      <c r="ESY13" s="46"/>
      <c r="ESZ13" s="46"/>
      <c r="ETA13" s="46"/>
      <c r="ETB13" s="46"/>
      <c r="ETC13" s="46"/>
      <c r="ETD13" s="46"/>
      <c r="ETE13" s="46"/>
      <c r="ETF13" s="46"/>
      <c r="ETG13" s="46"/>
      <c r="ETH13" s="46"/>
      <c r="ETI13" s="46"/>
      <c r="ETJ13" s="46"/>
      <c r="ETK13" s="46"/>
      <c r="ETL13" s="46"/>
      <c r="ETM13" s="46"/>
      <c r="ETN13" s="46"/>
      <c r="ETO13" s="46"/>
      <c r="ETP13" s="46"/>
      <c r="ETQ13" s="46"/>
      <c r="ETR13" s="46"/>
      <c r="ETS13" s="46"/>
      <c r="ETT13" s="46"/>
      <c r="ETU13" s="46"/>
      <c r="ETV13" s="46"/>
      <c r="ETW13" s="46"/>
      <c r="ETX13" s="46"/>
      <c r="ETY13" s="46"/>
      <c r="ETZ13" s="46"/>
      <c r="EUA13" s="46"/>
      <c r="EUB13" s="46"/>
      <c r="EUC13" s="46"/>
      <c r="EUD13" s="46"/>
      <c r="EUE13" s="46"/>
      <c r="EUF13" s="46"/>
      <c r="EUG13" s="46"/>
      <c r="EUH13" s="46"/>
      <c r="EUI13" s="46"/>
      <c r="EUJ13" s="46"/>
      <c r="EUK13" s="46"/>
      <c r="EUL13" s="46"/>
      <c r="EUM13" s="46"/>
      <c r="EUN13" s="46"/>
      <c r="EUO13" s="46"/>
      <c r="EUP13" s="46"/>
      <c r="EUQ13" s="46"/>
      <c r="EUR13" s="46"/>
      <c r="EUS13" s="46"/>
      <c r="EUT13" s="46"/>
      <c r="EUU13" s="46"/>
      <c r="EUV13" s="46"/>
      <c r="EUW13" s="46"/>
      <c r="EUX13" s="46"/>
      <c r="EUY13" s="46"/>
      <c r="EUZ13" s="46"/>
      <c r="EVA13" s="46"/>
      <c r="EVB13" s="46"/>
      <c r="EVC13" s="46"/>
      <c r="EVD13" s="46"/>
      <c r="EVE13" s="46"/>
      <c r="EVF13" s="46"/>
      <c r="EVG13" s="46"/>
      <c r="EVH13" s="46"/>
      <c r="EVI13" s="46"/>
      <c r="EVJ13" s="46"/>
      <c r="EVK13" s="46"/>
      <c r="EVL13" s="46"/>
      <c r="EVM13" s="46"/>
      <c r="EVN13" s="46"/>
      <c r="EVO13" s="46"/>
      <c r="EVP13" s="46"/>
      <c r="EVQ13" s="46"/>
      <c r="EVR13" s="46"/>
      <c r="EVS13" s="46"/>
      <c r="EVT13" s="46"/>
      <c r="EVU13" s="46"/>
      <c r="EVV13" s="46"/>
      <c r="EVW13" s="46"/>
      <c r="EVX13" s="46"/>
      <c r="EVY13" s="46"/>
      <c r="EVZ13" s="46"/>
      <c r="EWA13" s="46"/>
      <c r="EWB13" s="46"/>
      <c r="EWC13" s="46"/>
      <c r="EWD13" s="46"/>
      <c r="EWE13" s="46"/>
      <c r="EWF13" s="46"/>
      <c r="EWG13" s="46"/>
      <c r="EWH13" s="46"/>
      <c r="EWI13" s="46"/>
      <c r="EWJ13" s="46"/>
      <c r="EWK13" s="46"/>
      <c r="EWL13" s="46"/>
      <c r="EWM13" s="46"/>
      <c r="EWN13" s="46"/>
      <c r="EWO13" s="46"/>
      <c r="EWP13" s="46"/>
      <c r="EWQ13" s="46"/>
      <c r="EWR13" s="46"/>
      <c r="EWS13" s="46"/>
      <c r="EWT13" s="46"/>
      <c r="EWU13" s="46"/>
      <c r="EWV13" s="46"/>
      <c r="EWW13" s="46"/>
      <c r="EWX13" s="46"/>
      <c r="EWY13" s="46"/>
      <c r="EWZ13" s="46"/>
      <c r="EXA13" s="46"/>
      <c r="EXB13" s="46"/>
      <c r="EXC13" s="46"/>
      <c r="EXD13" s="46"/>
      <c r="EXE13" s="46"/>
      <c r="EXF13" s="46"/>
      <c r="EXG13" s="46"/>
      <c r="EXH13" s="46"/>
      <c r="EXI13" s="46"/>
      <c r="EXJ13" s="46"/>
      <c r="EXK13" s="46"/>
      <c r="EXL13" s="46"/>
      <c r="EXM13" s="46"/>
      <c r="EXN13" s="46"/>
      <c r="EXO13" s="46"/>
      <c r="EXP13" s="46"/>
      <c r="EXQ13" s="46"/>
      <c r="EXR13" s="46"/>
      <c r="EXS13" s="46"/>
      <c r="EXT13" s="46"/>
      <c r="EXU13" s="46"/>
      <c r="EXV13" s="46"/>
      <c r="EXW13" s="46"/>
      <c r="EXX13" s="46"/>
      <c r="EXY13" s="46"/>
      <c r="EXZ13" s="46"/>
      <c r="EYA13" s="46"/>
      <c r="EYB13" s="46"/>
      <c r="EYC13" s="46"/>
      <c r="EYD13" s="46"/>
      <c r="EYE13" s="46"/>
      <c r="EYF13" s="46"/>
      <c r="EYG13" s="46"/>
      <c r="EYH13" s="46"/>
      <c r="EYI13" s="46"/>
      <c r="EYJ13" s="46"/>
      <c r="EYK13" s="46"/>
      <c r="EYL13" s="46"/>
      <c r="EYM13" s="46"/>
      <c r="EYN13" s="46"/>
      <c r="EYO13" s="46"/>
      <c r="EYP13" s="46"/>
      <c r="EYQ13" s="46"/>
      <c r="EYR13" s="46"/>
      <c r="EYS13" s="46"/>
      <c r="EYT13" s="46"/>
      <c r="EYU13" s="46"/>
      <c r="EYV13" s="46"/>
      <c r="EYW13" s="46"/>
      <c r="EYX13" s="46"/>
      <c r="EYY13" s="46"/>
      <c r="EYZ13" s="46"/>
      <c r="EZA13" s="46"/>
      <c r="EZB13" s="46"/>
      <c r="EZC13" s="46"/>
      <c r="EZD13" s="46"/>
      <c r="EZE13" s="46"/>
      <c r="EZF13" s="46"/>
      <c r="EZG13" s="46"/>
      <c r="EZH13" s="46"/>
      <c r="EZI13" s="46"/>
      <c r="EZJ13" s="46"/>
      <c r="EZK13" s="46"/>
      <c r="EZL13" s="46"/>
      <c r="EZM13" s="46"/>
      <c r="EZN13" s="46"/>
      <c r="EZO13" s="46"/>
      <c r="EZP13" s="46"/>
      <c r="EZQ13" s="46"/>
      <c r="EZR13" s="46"/>
      <c r="EZS13" s="46"/>
      <c r="EZT13" s="46"/>
      <c r="EZU13" s="46"/>
      <c r="EZV13" s="46"/>
      <c r="EZW13" s="46"/>
      <c r="EZX13" s="46"/>
      <c r="EZY13" s="46"/>
      <c r="EZZ13" s="46"/>
      <c r="FAA13" s="46"/>
      <c r="FAB13" s="46"/>
      <c r="FAC13" s="46"/>
      <c r="FAD13" s="46"/>
      <c r="FAE13" s="46"/>
      <c r="FAF13" s="46"/>
      <c r="FAG13" s="46"/>
      <c r="FAH13" s="46"/>
      <c r="FAI13" s="46"/>
      <c r="FAJ13" s="46"/>
      <c r="FAK13" s="46"/>
      <c r="FAL13" s="46"/>
      <c r="FAM13" s="46"/>
      <c r="FAN13" s="46"/>
      <c r="FAO13" s="46"/>
      <c r="FAP13" s="46"/>
      <c r="FAQ13" s="46"/>
      <c r="FAR13" s="46"/>
      <c r="FAS13" s="46"/>
      <c r="FAT13" s="46"/>
      <c r="FAU13" s="46"/>
      <c r="FAV13" s="46"/>
      <c r="FAW13" s="46"/>
      <c r="FAX13" s="46"/>
      <c r="FAY13" s="46"/>
      <c r="FAZ13" s="46"/>
      <c r="FBA13" s="46"/>
      <c r="FBB13" s="46"/>
      <c r="FBC13" s="46"/>
      <c r="FBD13" s="46"/>
      <c r="FBE13" s="46"/>
      <c r="FBF13" s="46"/>
      <c r="FBG13" s="46"/>
      <c r="FBH13" s="46"/>
      <c r="FBI13" s="46"/>
      <c r="FBJ13" s="46"/>
      <c r="FBK13" s="46"/>
      <c r="FBL13" s="46"/>
      <c r="FBM13" s="46"/>
      <c r="FBN13" s="46"/>
      <c r="FBO13" s="46"/>
      <c r="FBP13" s="46"/>
      <c r="FBQ13" s="46"/>
      <c r="FBR13" s="46"/>
      <c r="FBS13" s="46"/>
      <c r="FBT13" s="46"/>
      <c r="FBU13" s="46"/>
      <c r="FBV13" s="46"/>
      <c r="FBW13" s="46"/>
      <c r="FBX13" s="46"/>
      <c r="FBY13" s="46"/>
      <c r="FBZ13" s="46"/>
      <c r="FCA13" s="46"/>
      <c r="FCB13" s="46"/>
      <c r="FCC13" s="46"/>
      <c r="FCD13" s="46"/>
      <c r="FCE13" s="46"/>
      <c r="FCF13" s="46"/>
      <c r="FCG13" s="46"/>
      <c r="FCH13" s="46"/>
      <c r="FCI13" s="46"/>
      <c r="FCJ13" s="46"/>
      <c r="FCK13" s="46"/>
      <c r="FCL13" s="46"/>
      <c r="FCM13" s="46"/>
      <c r="FCN13" s="46"/>
      <c r="FCO13" s="46"/>
      <c r="FCP13" s="46"/>
      <c r="FCQ13" s="46"/>
      <c r="FCR13" s="46"/>
      <c r="FCS13" s="46"/>
      <c r="FCT13" s="46"/>
      <c r="FCU13" s="46"/>
      <c r="FCV13" s="46"/>
      <c r="FCW13" s="46"/>
      <c r="FCX13" s="46"/>
      <c r="FCY13" s="46"/>
      <c r="FCZ13" s="46"/>
      <c r="FDA13" s="46"/>
      <c r="FDB13" s="46"/>
      <c r="FDC13" s="46"/>
      <c r="FDD13" s="46"/>
      <c r="FDE13" s="46"/>
      <c r="FDF13" s="46"/>
      <c r="FDG13" s="46"/>
      <c r="FDH13" s="46"/>
      <c r="FDI13" s="46"/>
      <c r="FDJ13" s="46"/>
      <c r="FDK13" s="46"/>
      <c r="FDL13" s="46"/>
      <c r="FDM13" s="46"/>
      <c r="FDN13" s="46"/>
      <c r="FDO13" s="46"/>
      <c r="FDP13" s="46"/>
      <c r="FDQ13" s="46"/>
      <c r="FDR13" s="46"/>
      <c r="FDS13" s="46"/>
      <c r="FDT13" s="46"/>
      <c r="FDU13" s="46"/>
      <c r="FDV13" s="46"/>
      <c r="FDW13" s="46"/>
      <c r="FDX13" s="46"/>
      <c r="FDY13" s="46"/>
      <c r="FDZ13" s="46"/>
      <c r="FEA13" s="46"/>
      <c r="FEB13" s="46"/>
      <c r="FEC13" s="46"/>
      <c r="FED13" s="46"/>
      <c r="FEE13" s="46"/>
      <c r="FEF13" s="46"/>
      <c r="FEG13" s="46"/>
      <c r="FEH13" s="46"/>
      <c r="FEI13" s="46"/>
      <c r="FEJ13" s="46"/>
      <c r="FEK13" s="46"/>
      <c r="FEL13" s="46"/>
      <c r="FEM13" s="46"/>
      <c r="FEN13" s="46"/>
      <c r="FEO13" s="46"/>
      <c r="FEP13" s="46"/>
      <c r="FEQ13" s="46"/>
      <c r="FER13" s="46"/>
      <c r="FES13" s="46"/>
      <c r="FET13" s="46"/>
      <c r="FEU13" s="46"/>
      <c r="FEV13" s="46"/>
      <c r="FEW13" s="46"/>
      <c r="FEX13" s="46"/>
      <c r="FEY13" s="46"/>
      <c r="FEZ13" s="46"/>
      <c r="FFA13" s="46"/>
      <c r="FFB13" s="46"/>
      <c r="FFC13" s="46"/>
      <c r="FFD13" s="46"/>
      <c r="FFE13" s="46"/>
      <c r="FFF13" s="46"/>
      <c r="FFG13" s="46"/>
      <c r="FFH13" s="46"/>
      <c r="FFI13" s="46"/>
      <c r="FFJ13" s="46"/>
      <c r="FFK13" s="46"/>
      <c r="FFL13" s="46"/>
      <c r="FFM13" s="46"/>
      <c r="FFN13" s="46"/>
      <c r="FFO13" s="46"/>
      <c r="FFP13" s="46"/>
      <c r="FFQ13" s="46"/>
      <c r="FFR13" s="46"/>
      <c r="FFS13" s="46"/>
      <c r="FFT13" s="46"/>
      <c r="FFU13" s="46"/>
      <c r="FFV13" s="46"/>
      <c r="FFW13" s="46"/>
      <c r="FFX13" s="46"/>
      <c r="FFY13" s="46"/>
      <c r="FFZ13" s="46"/>
      <c r="FGA13" s="46"/>
      <c r="FGB13" s="46"/>
      <c r="FGC13" s="46"/>
      <c r="FGD13" s="46"/>
      <c r="FGE13" s="46"/>
      <c r="FGF13" s="46"/>
      <c r="FGG13" s="46"/>
      <c r="FGH13" s="46"/>
      <c r="FGI13" s="46"/>
      <c r="FGJ13" s="46"/>
      <c r="FGK13" s="46"/>
      <c r="FGL13" s="46"/>
      <c r="FGM13" s="46"/>
      <c r="FGN13" s="46"/>
      <c r="FGO13" s="46"/>
      <c r="FGP13" s="46"/>
      <c r="FGQ13" s="46"/>
      <c r="FGR13" s="46"/>
      <c r="FGS13" s="46"/>
      <c r="FGT13" s="46"/>
      <c r="FGU13" s="46"/>
      <c r="FGV13" s="46"/>
      <c r="FGW13" s="46"/>
      <c r="FGX13" s="46"/>
      <c r="FGY13" s="46"/>
      <c r="FGZ13" s="46"/>
      <c r="FHA13" s="46"/>
      <c r="FHB13" s="46"/>
      <c r="FHC13" s="46"/>
      <c r="FHD13" s="46"/>
      <c r="FHE13" s="46"/>
      <c r="FHF13" s="46"/>
      <c r="FHG13" s="46"/>
      <c r="FHH13" s="46"/>
      <c r="FHI13" s="46"/>
      <c r="FHJ13" s="46"/>
      <c r="FHK13" s="46"/>
      <c r="FHL13" s="46"/>
      <c r="FHM13" s="46"/>
      <c r="FHN13" s="46"/>
      <c r="FHO13" s="46"/>
      <c r="FHP13" s="46"/>
      <c r="FHQ13" s="46"/>
      <c r="FHR13" s="46"/>
      <c r="FHS13" s="46"/>
      <c r="FHT13" s="46"/>
      <c r="FHU13" s="46"/>
      <c r="FHV13" s="46"/>
      <c r="FHW13" s="46"/>
      <c r="FHX13" s="46"/>
      <c r="FHY13" s="46"/>
      <c r="FHZ13" s="46"/>
      <c r="FIA13" s="46"/>
      <c r="FIB13" s="46"/>
      <c r="FIC13" s="46"/>
      <c r="FID13" s="46"/>
      <c r="FIE13" s="46"/>
      <c r="FIF13" s="46"/>
      <c r="FIG13" s="46"/>
      <c r="FIH13" s="46"/>
      <c r="FII13" s="46"/>
      <c r="FIJ13" s="46"/>
      <c r="FIK13" s="46"/>
      <c r="FIL13" s="46"/>
      <c r="FIM13" s="46"/>
      <c r="FIN13" s="46"/>
      <c r="FIO13" s="46"/>
      <c r="FIP13" s="46"/>
      <c r="FIQ13" s="46"/>
      <c r="FIR13" s="46"/>
      <c r="FIS13" s="46"/>
      <c r="FIT13" s="46"/>
      <c r="FIU13" s="46"/>
      <c r="FIV13" s="46"/>
      <c r="FIW13" s="46"/>
      <c r="FIX13" s="46"/>
      <c r="FIY13" s="46"/>
      <c r="FIZ13" s="46"/>
      <c r="FJA13" s="46"/>
      <c r="FJB13" s="46"/>
      <c r="FJC13" s="46"/>
      <c r="FJD13" s="46"/>
      <c r="FJE13" s="46"/>
      <c r="FJF13" s="46"/>
      <c r="FJG13" s="46"/>
      <c r="FJH13" s="46"/>
      <c r="FJI13" s="46"/>
      <c r="FJJ13" s="46"/>
      <c r="FJK13" s="46"/>
      <c r="FJL13" s="46"/>
      <c r="FJM13" s="46"/>
      <c r="FJN13" s="46"/>
      <c r="FJO13" s="46"/>
      <c r="FJP13" s="46"/>
      <c r="FJQ13" s="46"/>
      <c r="FJR13" s="46"/>
      <c r="FJS13" s="46"/>
      <c r="FJT13" s="46"/>
      <c r="FJU13" s="46"/>
      <c r="FJV13" s="46"/>
      <c r="FJW13" s="46"/>
      <c r="FJX13" s="46"/>
      <c r="FJY13" s="46"/>
      <c r="FJZ13" s="46"/>
      <c r="FKA13" s="46"/>
      <c r="FKB13" s="46"/>
      <c r="FKC13" s="46"/>
      <c r="FKD13" s="46"/>
      <c r="FKE13" s="46"/>
      <c r="FKF13" s="46"/>
      <c r="FKG13" s="46"/>
      <c r="FKH13" s="46"/>
      <c r="FKI13" s="46"/>
      <c r="FKJ13" s="46"/>
      <c r="FKK13" s="46"/>
      <c r="FKL13" s="46"/>
      <c r="FKM13" s="46"/>
      <c r="FKN13" s="46"/>
      <c r="FKO13" s="46"/>
      <c r="FKP13" s="46"/>
      <c r="FKQ13" s="46"/>
      <c r="FKR13" s="46"/>
      <c r="FKS13" s="46"/>
      <c r="FKT13" s="46"/>
      <c r="FKU13" s="46"/>
      <c r="FKV13" s="46"/>
      <c r="FKW13" s="46"/>
      <c r="FKX13" s="46"/>
      <c r="FKY13" s="46"/>
      <c r="FKZ13" s="46"/>
      <c r="FLA13" s="46"/>
      <c r="FLB13" s="46"/>
      <c r="FLC13" s="46"/>
      <c r="FLD13" s="46"/>
      <c r="FLE13" s="46"/>
      <c r="FLF13" s="46"/>
      <c r="FLG13" s="46"/>
      <c r="FLH13" s="46"/>
      <c r="FLI13" s="46"/>
      <c r="FLJ13" s="46"/>
      <c r="FLK13" s="46"/>
      <c r="FLL13" s="46"/>
      <c r="FLM13" s="46"/>
      <c r="FLN13" s="46"/>
      <c r="FLO13" s="46"/>
      <c r="FLP13" s="46"/>
      <c r="FLQ13" s="46"/>
      <c r="FLR13" s="46"/>
      <c r="FLS13" s="46"/>
      <c r="FLT13" s="46"/>
      <c r="FLU13" s="46"/>
      <c r="FLV13" s="46"/>
      <c r="FLW13" s="46"/>
      <c r="FLX13" s="46"/>
      <c r="FLY13" s="46"/>
      <c r="FLZ13" s="46"/>
      <c r="FMA13" s="46"/>
      <c r="FMB13" s="46"/>
      <c r="FMC13" s="46"/>
      <c r="FMD13" s="46"/>
      <c r="FME13" s="46"/>
      <c r="FMF13" s="46"/>
      <c r="FMG13" s="46"/>
      <c r="FMH13" s="46"/>
      <c r="FMI13" s="46"/>
      <c r="FMJ13" s="46"/>
      <c r="FMK13" s="46"/>
      <c r="FML13" s="46"/>
      <c r="FMM13" s="46"/>
      <c r="FMN13" s="46"/>
      <c r="FMO13" s="46"/>
      <c r="FMP13" s="46"/>
      <c r="FMQ13" s="46"/>
      <c r="FMR13" s="46"/>
      <c r="FMS13" s="46"/>
      <c r="FMT13" s="46"/>
      <c r="FMU13" s="46"/>
      <c r="FMV13" s="46"/>
      <c r="FMW13" s="46"/>
      <c r="FMX13" s="46"/>
      <c r="FMY13" s="46"/>
      <c r="FMZ13" s="46"/>
      <c r="FNA13" s="46"/>
      <c r="FNB13" s="46"/>
      <c r="FNC13" s="46"/>
      <c r="FND13" s="46"/>
      <c r="FNE13" s="46"/>
      <c r="FNF13" s="46"/>
      <c r="FNG13" s="46"/>
      <c r="FNH13" s="46"/>
      <c r="FNI13" s="46"/>
      <c r="FNJ13" s="46"/>
      <c r="FNK13" s="46"/>
      <c r="FNL13" s="46"/>
      <c r="FNM13" s="46"/>
      <c r="FNN13" s="46"/>
      <c r="FNO13" s="46"/>
      <c r="FNP13" s="46"/>
      <c r="FNQ13" s="46"/>
      <c r="FNR13" s="46"/>
      <c r="FNS13" s="46"/>
      <c r="FNT13" s="46"/>
      <c r="FNU13" s="46"/>
      <c r="FNV13" s="46"/>
      <c r="FNW13" s="46"/>
      <c r="FNX13" s="46"/>
      <c r="FNY13" s="46"/>
      <c r="FNZ13" s="46"/>
      <c r="FOA13" s="46"/>
      <c r="FOB13" s="46"/>
      <c r="FOC13" s="46"/>
      <c r="FOD13" s="46"/>
      <c r="FOE13" s="46"/>
      <c r="FOF13" s="46"/>
      <c r="FOG13" s="46"/>
      <c r="FOH13" s="46"/>
      <c r="FOI13" s="46"/>
      <c r="FOJ13" s="46"/>
      <c r="FOK13" s="46"/>
      <c r="FOL13" s="46"/>
      <c r="FOM13" s="46"/>
      <c r="FON13" s="46"/>
      <c r="FOO13" s="46"/>
      <c r="FOP13" s="46"/>
      <c r="FOQ13" s="46"/>
      <c r="FOR13" s="46"/>
      <c r="FOS13" s="46"/>
      <c r="FOT13" s="46"/>
      <c r="FOU13" s="46"/>
      <c r="FOV13" s="46"/>
      <c r="FOW13" s="46"/>
      <c r="FOX13" s="46"/>
      <c r="FOY13" s="46"/>
      <c r="FOZ13" s="46"/>
      <c r="FPA13" s="46"/>
      <c r="FPB13" s="46"/>
      <c r="FPC13" s="46"/>
      <c r="FPD13" s="46"/>
      <c r="FPE13" s="46"/>
      <c r="FPF13" s="46"/>
      <c r="FPG13" s="46"/>
      <c r="FPH13" s="46"/>
      <c r="FPI13" s="46"/>
      <c r="FPJ13" s="46"/>
      <c r="FPK13" s="46"/>
      <c r="FPL13" s="46"/>
      <c r="FPM13" s="46"/>
      <c r="FPN13" s="46"/>
      <c r="FPO13" s="46"/>
      <c r="FPP13" s="46"/>
      <c r="FPQ13" s="46"/>
      <c r="FPR13" s="46"/>
      <c r="FPS13" s="46"/>
      <c r="FPT13" s="46"/>
      <c r="FPU13" s="46"/>
      <c r="FPV13" s="46"/>
      <c r="FPW13" s="46"/>
      <c r="FPX13" s="46"/>
      <c r="FPY13" s="46"/>
      <c r="FPZ13" s="46"/>
      <c r="FQA13" s="46"/>
      <c r="FQB13" s="46"/>
      <c r="FQC13" s="46"/>
      <c r="FQD13" s="46"/>
      <c r="FQE13" s="46"/>
      <c r="FQF13" s="46"/>
      <c r="FQG13" s="46"/>
      <c r="FQH13" s="46"/>
      <c r="FQI13" s="46"/>
      <c r="FQJ13" s="46"/>
      <c r="FQK13" s="46"/>
      <c r="FQL13" s="46"/>
      <c r="FQM13" s="46"/>
      <c r="FQN13" s="46"/>
      <c r="FQO13" s="46"/>
      <c r="FQP13" s="46"/>
      <c r="FQQ13" s="46"/>
      <c r="FQR13" s="46"/>
      <c r="FQS13" s="46"/>
      <c r="FQT13" s="46"/>
      <c r="FQU13" s="46"/>
      <c r="FQV13" s="46"/>
      <c r="FQW13" s="46"/>
      <c r="FQX13" s="46"/>
      <c r="FQY13" s="46"/>
      <c r="FQZ13" s="46"/>
      <c r="FRA13" s="46"/>
      <c r="FRB13" s="46"/>
      <c r="FRC13" s="46"/>
      <c r="FRD13" s="46"/>
      <c r="FRE13" s="46"/>
      <c r="FRF13" s="46"/>
      <c r="FRG13" s="46"/>
      <c r="FRH13" s="46"/>
      <c r="FRI13" s="46"/>
      <c r="FRJ13" s="46"/>
      <c r="FRK13" s="46"/>
      <c r="FRL13" s="46"/>
      <c r="FRM13" s="46"/>
      <c r="FRN13" s="46"/>
      <c r="FRO13" s="46"/>
      <c r="FRP13" s="46"/>
      <c r="FRQ13" s="46"/>
      <c r="FRR13" s="46"/>
      <c r="FRS13" s="46"/>
      <c r="FRT13" s="46"/>
      <c r="FRU13" s="46"/>
      <c r="FRV13" s="46"/>
      <c r="FRW13" s="46"/>
      <c r="FRX13" s="46"/>
      <c r="FRY13" s="46"/>
      <c r="FRZ13" s="46"/>
      <c r="FSA13" s="46"/>
      <c r="FSB13" s="46"/>
      <c r="FSC13" s="46"/>
      <c r="FSD13" s="46"/>
      <c r="FSE13" s="46"/>
      <c r="FSF13" s="46"/>
      <c r="FSG13" s="46"/>
      <c r="FSH13" s="46"/>
      <c r="FSI13" s="46"/>
      <c r="FSJ13" s="46"/>
      <c r="FSK13" s="46"/>
      <c r="FSL13" s="46"/>
      <c r="FSM13" s="46"/>
      <c r="FSN13" s="46"/>
      <c r="FSO13" s="46"/>
      <c r="FSP13" s="46"/>
      <c r="FSQ13" s="46"/>
      <c r="FSR13" s="46"/>
      <c r="FSS13" s="46"/>
      <c r="FST13" s="46"/>
      <c r="FSU13" s="46"/>
      <c r="FSV13" s="46"/>
      <c r="FSW13" s="46"/>
      <c r="FSX13" s="46"/>
      <c r="FSY13" s="46"/>
      <c r="FSZ13" s="46"/>
      <c r="FTA13" s="46"/>
      <c r="FTB13" s="46"/>
      <c r="FTC13" s="46"/>
      <c r="FTD13" s="46"/>
      <c r="FTE13" s="46"/>
      <c r="FTF13" s="46"/>
      <c r="FTG13" s="46"/>
      <c r="FTH13" s="46"/>
      <c r="FTI13" s="46"/>
      <c r="FTJ13" s="46"/>
      <c r="FTK13" s="46"/>
      <c r="FTL13" s="46"/>
      <c r="FTM13" s="46"/>
      <c r="FTN13" s="46"/>
      <c r="FTO13" s="46"/>
      <c r="FTP13" s="46"/>
      <c r="FTQ13" s="46"/>
      <c r="FTR13" s="46"/>
      <c r="FTS13" s="46"/>
      <c r="FTT13" s="46"/>
      <c r="FTU13" s="46"/>
      <c r="FTV13" s="46"/>
      <c r="FTW13" s="46"/>
      <c r="FTX13" s="46"/>
      <c r="FTY13" s="46"/>
      <c r="FTZ13" s="46"/>
      <c r="FUA13" s="46"/>
      <c r="FUB13" s="46"/>
      <c r="FUC13" s="46"/>
      <c r="FUD13" s="46"/>
      <c r="FUE13" s="46"/>
      <c r="FUF13" s="46"/>
      <c r="FUG13" s="46"/>
      <c r="FUH13" s="46"/>
      <c r="FUI13" s="46"/>
      <c r="FUJ13" s="46"/>
      <c r="FUK13" s="46"/>
      <c r="FUL13" s="46"/>
      <c r="FUM13" s="46"/>
      <c r="FUN13" s="46"/>
      <c r="FUO13" s="46"/>
      <c r="FUP13" s="46"/>
      <c r="FUQ13" s="46"/>
      <c r="FUR13" s="46"/>
      <c r="FUS13" s="46"/>
      <c r="FUT13" s="46"/>
      <c r="FUU13" s="46"/>
      <c r="FUV13" s="46"/>
      <c r="FUW13" s="46"/>
      <c r="FUX13" s="46"/>
      <c r="FUY13" s="46"/>
      <c r="FUZ13" s="46"/>
      <c r="FVA13" s="46"/>
      <c r="FVB13" s="46"/>
      <c r="FVC13" s="46"/>
      <c r="FVD13" s="46"/>
      <c r="FVE13" s="46"/>
      <c r="FVF13" s="46"/>
      <c r="FVG13" s="46"/>
      <c r="FVH13" s="46"/>
      <c r="FVI13" s="46"/>
      <c r="FVJ13" s="46"/>
      <c r="FVK13" s="46"/>
      <c r="FVL13" s="46"/>
      <c r="FVM13" s="46"/>
      <c r="FVN13" s="46"/>
      <c r="FVO13" s="46"/>
      <c r="FVP13" s="46"/>
      <c r="FVQ13" s="46"/>
      <c r="FVR13" s="46"/>
      <c r="FVS13" s="46"/>
      <c r="FVT13" s="46"/>
      <c r="FVU13" s="46"/>
      <c r="FVV13" s="46"/>
      <c r="FVW13" s="46"/>
      <c r="FVX13" s="46"/>
      <c r="FVY13" s="46"/>
      <c r="FVZ13" s="46"/>
      <c r="FWA13" s="46"/>
      <c r="FWB13" s="46"/>
      <c r="FWC13" s="46"/>
      <c r="FWD13" s="46"/>
      <c r="FWE13" s="46"/>
      <c r="FWF13" s="46"/>
      <c r="FWG13" s="46"/>
      <c r="FWH13" s="46"/>
      <c r="FWI13" s="46"/>
      <c r="FWJ13" s="46"/>
      <c r="FWK13" s="46"/>
      <c r="FWL13" s="46"/>
      <c r="FWM13" s="46"/>
      <c r="FWN13" s="46"/>
      <c r="FWO13" s="46"/>
      <c r="FWP13" s="46"/>
      <c r="FWQ13" s="46"/>
      <c r="FWR13" s="46"/>
      <c r="FWS13" s="46"/>
      <c r="FWT13" s="46"/>
      <c r="FWU13" s="46"/>
      <c r="FWV13" s="46"/>
      <c r="FWW13" s="46"/>
      <c r="FWX13" s="46"/>
      <c r="FWY13" s="46"/>
      <c r="FWZ13" s="46"/>
      <c r="FXA13" s="46"/>
      <c r="FXB13" s="46"/>
      <c r="FXC13" s="46"/>
      <c r="FXD13" s="46"/>
      <c r="FXE13" s="46"/>
      <c r="FXF13" s="46"/>
      <c r="FXG13" s="46"/>
      <c r="FXH13" s="46"/>
      <c r="FXI13" s="46"/>
      <c r="FXJ13" s="46"/>
      <c r="FXK13" s="46"/>
      <c r="FXL13" s="46"/>
      <c r="FXM13" s="46"/>
      <c r="FXN13" s="46"/>
      <c r="FXO13" s="46"/>
      <c r="FXP13" s="46"/>
      <c r="FXQ13" s="46"/>
      <c r="FXR13" s="46"/>
      <c r="FXS13" s="46"/>
      <c r="FXT13" s="46"/>
      <c r="FXU13" s="46"/>
      <c r="FXV13" s="46"/>
      <c r="FXW13" s="46"/>
      <c r="FXX13" s="46"/>
      <c r="FXY13" s="46"/>
      <c r="FXZ13" s="46"/>
      <c r="FYA13" s="46"/>
      <c r="FYB13" s="46"/>
      <c r="FYC13" s="46"/>
      <c r="FYD13" s="46"/>
      <c r="FYE13" s="46"/>
      <c r="FYF13" s="46"/>
      <c r="FYG13" s="46"/>
      <c r="FYH13" s="46"/>
      <c r="FYI13" s="46"/>
      <c r="FYJ13" s="46"/>
      <c r="FYK13" s="46"/>
      <c r="FYL13" s="46"/>
      <c r="FYM13" s="46"/>
      <c r="FYN13" s="46"/>
      <c r="FYO13" s="46"/>
      <c r="FYP13" s="46"/>
      <c r="FYQ13" s="46"/>
      <c r="FYR13" s="46"/>
      <c r="FYS13" s="46"/>
      <c r="FYT13" s="46"/>
      <c r="FYU13" s="46"/>
      <c r="FYV13" s="46"/>
      <c r="FYW13" s="46"/>
      <c r="FYX13" s="46"/>
      <c r="FYY13" s="46"/>
      <c r="FYZ13" s="46"/>
      <c r="FZA13" s="46"/>
      <c r="FZB13" s="46"/>
      <c r="FZC13" s="46"/>
      <c r="FZD13" s="46"/>
      <c r="FZE13" s="46"/>
      <c r="FZF13" s="46"/>
      <c r="FZG13" s="46"/>
      <c r="FZH13" s="46"/>
      <c r="FZI13" s="46"/>
      <c r="FZJ13" s="46"/>
      <c r="FZK13" s="46"/>
      <c r="FZL13" s="46"/>
      <c r="FZM13" s="46"/>
      <c r="FZN13" s="46"/>
      <c r="FZO13" s="46"/>
      <c r="FZP13" s="46"/>
      <c r="FZQ13" s="46"/>
      <c r="FZR13" s="46"/>
      <c r="FZS13" s="46"/>
      <c r="FZT13" s="46"/>
      <c r="FZU13" s="46"/>
      <c r="FZV13" s="46"/>
      <c r="FZW13" s="46"/>
      <c r="FZX13" s="46"/>
      <c r="FZY13" s="46"/>
      <c r="FZZ13" s="46"/>
      <c r="GAA13" s="46"/>
      <c r="GAB13" s="46"/>
      <c r="GAC13" s="46"/>
      <c r="GAD13" s="46"/>
      <c r="GAE13" s="46"/>
      <c r="GAF13" s="46"/>
      <c r="GAG13" s="46"/>
      <c r="GAH13" s="46"/>
      <c r="GAI13" s="46"/>
      <c r="GAJ13" s="46"/>
      <c r="GAK13" s="46"/>
      <c r="GAL13" s="46"/>
      <c r="GAM13" s="46"/>
      <c r="GAN13" s="46"/>
      <c r="GAO13" s="46"/>
      <c r="GAP13" s="46"/>
      <c r="GAQ13" s="46"/>
      <c r="GAR13" s="46"/>
      <c r="GAS13" s="46"/>
      <c r="GAT13" s="46"/>
      <c r="GAU13" s="46"/>
      <c r="GAV13" s="46"/>
      <c r="GAW13" s="46"/>
      <c r="GAX13" s="46"/>
      <c r="GAY13" s="46"/>
      <c r="GAZ13" s="46"/>
      <c r="GBA13" s="46"/>
      <c r="GBB13" s="46"/>
      <c r="GBC13" s="46"/>
      <c r="GBD13" s="46"/>
      <c r="GBE13" s="46"/>
      <c r="GBF13" s="46"/>
      <c r="GBG13" s="46"/>
      <c r="GBH13" s="46"/>
      <c r="GBI13" s="46"/>
      <c r="GBJ13" s="46"/>
      <c r="GBK13" s="46"/>
      <c r="GBL13" s="46"/>
      <c r="GBM13" s="46"/>
      <c r="GBN13" s="46"/>
      <c r="GBO13" s="46"/>
      <c r="GBP13" s="46"/>
      <c r="GBQ13" s="46"/>
      <c r="GBR13" s="46"/>
      <c r="GBS13" s="46"/>
      <c r="GBT13" s="46"/>
      <c r="GBU13" s="46"/>
      <c r="GBV13" s="46"/>
      <c r="GBW13" s="46"/>
      <c r="GBX13" s="46"/>
      <c r="GBY13" s="46"/>
      <c r="GBZ13" s="46"/>
      <c r="GCA13" s="46"/>
      <c r="GCB13" s="46"/>
      <c r="GCC13" s="46"/>
      <c r="GCD13" s="46"/>
      <c r="GCE13" s="46"/>
      <c r="GCF13" s="46"/>
      <c r="GCG13" s="46"/>
      <c r="GCH13" s="46"/>
      <c r="GCI13" s="46"/>
      <c r="GCJ13" s="46"/>
      <c r="GCK13" s="46"/>
      <c r="GCL13" s="46"/>
      <c r="GCM13" s="46"/>
      <c r="GCN13" s="46"/>
      <c r="GCO13" s="46"/>
      <c r="GCP13" s="46"/>
      <c r="GCQ13" s="46"/>
      <c r="GCR13" s="46"/>
      <c r="GCS13" s="46"/>
      <c r="GCT13" s="46"/>
      <c r="GCU13" s="46"/>
      <c r="GCV13" s="46"/>
      <c r="GCW13" s="46"/>
      <c r="GCX13" s="46"/>
      <c r="GCY13" s="46"/>
      <c r="GCZ13" s="46"/>
      <c r="GDA13" s="46"/>
      <c r="GDB13" s="46"/>
      <c r="GDC13" s="46"/>
      <c r="GDD13" s="46"/>
      <c r="GDE13" s="46"/>
      <c r="GDF13" s="46"/>
      <c r="GDG13" s="46"/>
      <c r="GDH13" s="46"/>
      <c r="GDI13" s="46"/>
      <c r="GDJ13" s="46"/>
      <c r="GDK13" s="46"/>
      <c r="GDL13" s="46"/>
      <c r="GDM13" s="46"/>
      <c r="GDN13" s="46"/>
      <c r="GDO13" s="46"/>
      <c r="GDP13" s="46"/>
      <c r="GDQ13" s="46"/>
      <c r="GDR13" s="46"/>
      <c r="GDS13" s="46"/>
      <c r="GDT13" s="46"/>
      <c r="GDU13" s="46"/>
      <c r="GDV13" s="46"/>
      <c r="GDW13" s="46"/>
      <c r="GDX13" s="46"/>
      <c r="GDY13" s="46"/>
      <c r="GDZ13" s="46"/>
      <c r="GEA13" s="46"/>
      <c r="GEB13" s="46"/>
      <c r="GEC13" s="46"/>
      <c r="GED13" s="46"/>
      <c r="GEE13" s="46"/>
      <c r="GEF13" s="46"/>
      <c r="GEG13" s="46"/>
      <c r="GEH13" s="46"/>
      <c r="GEI13" s="46"/>
      <c r="GEJ13" s="46"/>
      <c r="GEK13" s="46"/>
      <c r="GEL13" s="46"/>
      <c r="GEM13" s="46"/>
      <c r="GEN13" s="46"/>
      <c r="GEO13" s="46"/>
      <c r="GEP13" s="46"/>
      <c r="GEQ13" s="46"/>
      <c r="GER13" s="46"/>
      <c r="GES13" s="46"/>
      <c r="GET13" s="46"/>
      <c r="GEU13" s="46"/>
      <c r="GEV13" s="46"/>
      <c r="GEW13" s="46"/>
      <c r="GEX13" s="46"/>
      <c r="GEY13" s="46"/>
      <c r="GEZ13" s="46"/>
      <c r="GFA13" s="46"/>
      <c r="GFB13" s="46"/>
      <c r="GFC13" s="46"/>
      <c r="GFD13" s="46"/>
      <c r="GFE13" s="46"/>
      <c r="GFF13" s="46"/>
      <c r="GFG13" s="46"/>
      <c r="GFH13" s="46"/>
      <c r="GFI13" s="46"/>
      <c r="GFJ13" s="46"/>
      <c r="GFK13" s="46"/>
      <c r="GFL13" s="46"/>
      <c r="GFM13" s="46"/>
      <c r="GFN13" s="46"/>
      <c r="GFO13" s="46"/>
      <c r="GFP13" s="46"/>
      <c r="GFQ13" s="46"/>
      <c r="GFR13" s="46"/>
      <c r="GFS13" s="46"/>
      <c r="GFT13" s="46"/>
      <c r="GFU13" s="46"/>
      <c r="GFV13" s="46"/>
      <c r="GFW13" s="46"/>
      <c r="GFX13" s="46"/>
      <c r="GFY13" s="46"/>
      <c r="GFZ13" s="46"/>
      <c r="GGA13" s="46"/>
      <c r="GGB13" s="46"/>
      <c r="GGC13" s="46"/>
      <c r="GGD13" s="46"/>
      <c r="GGE13" s="46"/>
      <c r="GGF13" s="46"/>
      <c r="GGG13" s="46"/>
      <c r="GGH13" s="46"/>
      <c r="GGI13" s="46"/>
      <c r="GGJ13" s="46"/>
      <c r="GGK13" s="46"/>
      <c r="GGL13" s="46"/>
      <c r="GGM13" s="46"/>
      <c r="GGN13" s="46"/>
      <c r="GGO13" s="46"/>
      <c r="GGP13" s="46"/>
      <c r="GGQ13" s="46"/>
      <c r="GGR13" s="46"/>
      <c r="GGS13" s="46"/>
      <c r="GGT13" s="46"/>
      <c r="GGU13" s="46"/>
      <c r="GGV13" s="46"/>
      <c r="GGW13" s="46"/>
      <c r="GGX13" s="46"/>
      <c r="GGY13" s="46"/>
      <c r="GGZ13" s="46"/>
      <c r="GHA13" s="46"/>
      <c r="GHB13" s="46"/>
      <c r="GHC13" s="46"/>
      <c r="GHD13" s="46"/>
      <c r="GHE13" s="46"/>
      <c r="GHF13" s="46"/>
      <c r="GHG13" s="46"/>
      <c r="GHH13" s="46"/>
      <c r="GHI13" s="46"/>
      <c r="GHJ13" s="46"/>
      <c r="GHK13" s="46"/>
      <c r="GHL13" s="46"/>
      <c r="GHM13" s="46"/>
      <c r="GHN13" s="46"/>
      <c r="GHO13" s="46"/>
      <c r="GHP13" s="46"/>
      <c r="GHQ13" s="46"/>
      <c r="GHR13" s="46"/>
      <c r="GHS13" s="46"/>
      <c r="GHT13" s="46"/>
      <c r="GHU13" s="46"/>
      <c r="GHV13" s="46"/>
      <c r="GHW13" s="46"/>
      <c r="GHX13" s="46"/>
      <c r="GHY13" s="46"/>
      <c r="GHZ13" s="46"/>
      <c r="GIA13" s="46"/>
      <c r="GIB13" s="46"/>
      <c r="GIC13" s="46"/>
      <c r="GID13" s="46"/>
      <c r="GIE13" s="46"/>
      <c r="GIF13" s="46"/>
      <c r="GIG13" s="46"/>
      <c r="GIH13" s="46"/>
      <c r="GII13" s="46"/>
      <c r="GIJ13" s="46"/>
      <c r="GIK13" s="46"/>
      <c r="GIL13" s="46"/>
      <c r="GIM13" s="46"/>
      <c r="GIN13" s="46"/>
      <c r="GIO13" s="46"/>
      <c r="GIP13" s="46"/>
      <c r="GIQ13" s="46"/>
      <c r="GIR13" s="46"/>
      <c r="GIS13" s="46"/>
      <c r="GIT13" s="46"/>
      <c r="GIU13" s="46"/>
      <c r="GIV13" s="46"/>
      <c r="GIW13" s="46"/>
      <c r="GIX13" s="46"/>
      <c r="GIY13" s="46"/>
      <c r="GIZ13" s="46"/>
      <c r="GJA13" s="46"/>
      <c r="GJB13" s="46"/>
      <c r="GJC13" s="46"/>
      <c r="GJD13" s="46"/>
      <c r="GJE13" s="46"/>
      <c r="GJF13" s="46"/>
      <c r="GJG13" s="46"/>
      <c r="GJH13" s="46"/>
      <c r="GJI13" s="46"/>
      <c r="GJJ13" s="46"/>
      <c r="GJK13" s="46"/>
      <c r="GJL13" s="46"/>
      <c r="GJM13" s="46"/>
      <c r="GJN13" s="46"/>
      <c r="GJO13" s="46"/>
      <c r="GJP13" s="46"/>
      <c r="GJQ13" s="46"/>
      <c r="GJR13" s="46"/>
      <c r="GJS13" s="46"/>
      <c r="GJT13" s="46"/>
      <c r="GJU13" s="46"/>
      <c r="GJV13" s="46"/>
      <c r="GJW13" s="46"/>
      <c r="GJX13" s="46"/>
      <c r="GJY13" s="46"/>
      <c r="GJZ13" s="46"/>
      <c r="GKA13" s="46"/>
      <c r="GKB13" s="46"/>
      <c r="GKC13" s="46"/>
      <c r="GKD13" s="46"/>
      <c r="GKE13" s="46"/>
      <c r="GKF13" s="46"/>
      <c r="GKG13" s="46"/>
      <c r="GKH13" s="46"/>
      <c r="GKI13" s="46"/>
      <c r="GKJ13" s="46"/>
      <c r="GKK13" s="46"/>
      <c r="GKL13" s="46"/>
      <c r="GKM13" s="46"/>
      <c r="GKN13" s="46"/>
      <c r="GKO13" s="46"/>
      <c r="GKP13" s="46"/>
      <c r="GKQ13" s="46"/>
      <c r="GKR13" s="46"/>
      <c r="GKS13" s="46"/>
      <c r="GKT13" s="46"/>
      <c r="GKU13" s="46"/>
      <c r="GKV13" s="46"/>
      <c r="GKW13" s="46"/>
      <c r="GKX13" s="46"/>
      <c r="GKY13" s="46"/>
      <c r="GKZ13" s="46"/>
      <c r="GLA13" s="46"/>
      <c r="GLB13" s="46"/>
      <c r="GLC13" s="46"/>
      <c r="GLD13" s="46"/>
      <c r="GLE13" s="46"/>
      <c r="GLF13" s="46"/>
      <c r="GLG13" s="46"/>
      <c r="GLH13" s="46"/>
      <c r="GLI13" s="46"/>
      <c r="GLJ13" s="46"/>
      <c r="GLK13" s="46"/>
      <c r="GLL13" s="46"/>
      <c r="GLM13" s="46"/>
      <c r="GLN13" s="46"/>
      <c r="GLO13" s="46"/>
      <c r="GLP13" s="46"/>
      <c r="GLQ13" s="46"/>
      <c r="GLR13" s="46"/>
      <c r="GLS13" s="46"/>
      <c r="GLT13" s="46"/>
      <c r="GLU13" s="46"/>
      <c r="GLV13" s="46"/>
      <c r="GLW13" s="46"/>
      <c r="GLX13" s="46"/>
      <c r="GLY13" s="46"/>
      <c r="GLZ13" s="46"/>
      <c r="GMA13" s="46"/>
      <c r="GMB13" s="46"/>
      <c r="GMC13" s="46"/>
      <c r="GMD13" s="46"/>
      <c r="GME13" s="46"/>
      <c r="GMF13" s="46"/>
      <c r="GMG13" s="46"/>
      <c r="GMH13" s="46"/>
      <c r="GMI13" s="46"/>
      <c r="GMJ13" s="46"/>
      <c r="GMK13" s="46"/>
      <c r="GML13" s="46"/>
      <c r="GMM13" s="46"/>
      <c r="GMN13" s="46"/>
      <c r="GMO13" s="46"/>
      <c r="GMP13" s="46"/>
      <c r="GMQ13" s="46"/>
      <c r="GMR13" s="46"/>
      <c r="GMS13" s="46"/>
      <c r="GMT13" s="46"/>
      <c r="GMU13" s="46"/>
      <c r="GMV13" s="46"/>
      <c r="GMW13" s="46"/>
      <c r="GMX13" s="46"/>
      <c r="GMY13" s="46"/>
      <c r="GMZ13" s="46"/>
      <c r="GNA13" s="46"/>
      <c r="GNB13" s="46"/>
      <c r="GNC13" s="46"/>
      <c r="GND13" s="46"/>
      <c r="GNE13" s="46"/>
      <c r="GNF13" s="46"/>
      <c r="GNG13" s="46"/>
      <c r="GNH13" s="46"/>
      <c r="GNI13" s="46"/>
      <c r="GNJ13" s="46"/>
      <c r="GNK13" s="46"/>
      <c r="GNL13" s="46"/>
      <c r="GNM13" s="46"/>
      <c r="GNN13" s="46"/>
      <c r="GNO13" s="46"/>
      <c r="GNP13" s="46"/>
      <c r="GNQ13" s="46"/>
      <c r="GNR13" s="46"/>
      <c r="GNS13" s="46"/>
      <c r="GNT13" s="46"/>
      <c r="GNU13" s="46"/>
      <c r="GNV13" s="46"/>
      <c r="GNW13" s="46"/>
      <c r="GNX13" s="46"/>
      <c r="GNY13" s="46"/>
      <c r="GNZ13" s="46"/>
      <c r="GOA13" s="46"/>
      <c r="GOB13" s="46"/>
      <c r="GOC13" s="46"/>
      <c r="GOD13" s="46"/>
      <c r="GOE13" s="46"/>
      <c r="GOF13" s="46"/>
      <c r="GOG13" s="46"/>
      <c r="GOH13" s="46"/>
      <c r="GOI13" s="46"/>
      <c r="GOJ13" s="46"/>
      <c r="GOK13" s="46"/>
      <c r="GOL13" s="46"/>
      <c r="GOM13" s="46"/>
      <c r="GON13" s="46"/>
      <c r="GOO13" s="46"/>
      <c r="GOP13" s="46"/>
      <c r="GOQ13" s="46"/>
      <c r="GOR13" s="46"/>
      <c r="GOS13" s="46"/>
      <c r="GOT13" s="46"/>
      <c r="GOU13" s="46"/>
      <c r="GOV13" s="46"/>
      <c r="GOW13" s="46"/>
      <c r="GOX13" s="46"/>
      <c r="GOY13" s="46"/>
      <c r="GOZ13" s="46"/>
      <c r="GPA13" s="46"/>
      <c r="GPB13" s="46"/>
      <c r="GPC13" s="46"/>
      <c r="GPD13" s="46"/>
      <c r="GPE13" s="46"/>
      <c r="GPF13" s="46"/>
      <c r="GPG13" s="46"/>
      <c r="GPH13" s="46"/>
      <c r="GPI13" s="46"/>
      <c r="GPJ13" s="46"/>
      <c r="GPK13" s="46"/>
      <c r="GPL13" s="46"/>
      <c r="GPM13" s="46"/>
      <c r="GPN13" s="46"/>
      <c r="GPO13" s="46"/>
      <c r="GPP13" s="46"/>
      <c r="GPQ13" s="46"/>
      <c r="GPR13" s="46"/>
      <c r="GPS13" s="46"/>
      <c r="GPT13" s="46"/>
      <c r="GPU13" s="46"/>
      <c r="GPV13" s="46"/>
      <c r="GPW13" s="46"/>
      <c r="GPX13" s="46"/>
      <c r="GPY13" s="46"/>
      <c r="GPZ13" s="46"/>
      <c r="GQA13" s="46"/>
      <c r="GQB13" s="46"/>
      <c r="GQC13" s="46"/>
      <c r="GQD13" s="46"/>
      <c r="GQE13" s="46"/>
      <c r="GQF13" s="46"/>
      <c r="GQG13" s="46"/>
      <c r="GQH13" s="46"/>
      <c r="GQI13" s="46"/>
      <c r="GQJ13" s="46"/>
      <c r="GQK13" s="46"/>
      <c r="GQL13" s="46"/>
      <c r="GQM13" s="46"/>
      <c r="GQN13" s="46"/>
      <c r="GQO13" s="46"/>
      <c r="GQP13" s="46"/>
      <c r="GQQ13" s="46"/>
      <c r="GQR13" s="46"/>
      <c r="GQS13" s="46"/>
      <c r="GQT13" s="46"/>
      <c r="GQU13" s="46"/>
      <c r="GQV13" s="46"/>
      <c r="GQW13" s="46"/>
      <c r="GQX13" s="46"/>
      <c r="GQY13" s="46"/>
      <c r="GQZ13" s="46"/>
      <c r="GRA13" s="46"/>
      <c r="GRB13" s="46"/>
      <c r="GRC13" s="46"/>
      <c r="GRD13" s="46"/>
      <c r="GRE13" s="46"/>
      <c r="GRF13" s="46"/>
      <c r="GRG13" s="46"/>
      <c r="GRH13" s="46"/>
      <c r="GRI13" s="46"/>
      <c r="GRJ13" s="46"/>
      <c r="GRK13" s="46"/>
      <c r="GRL13" s="46"/>
      <c r="GRM13" s="46"/>
      <c r="GRN13" s="46"/>
      <c r="GRO13" s="46"/>
      <c r="GRP13" s="46"/>
      <c r="GRQ13" s="46"/>
      <c r="GRR13" s="46"/>
      <c r="GRS13" s="46"/>
      <c r="GRT13" s="46"/>
      <c r="GRU13" s="46"/>
      <c r="GRV13" s="46"/>
      <c r="GRW13" s="46"/>
      <c r="GRX13" s="46"/>
      <c r="GRY13" s="46"/>
      <c r="GRZ13" s="46"/>
      <c r="GSA13" s="46"/>
      <c r="GSB13" s="46"/>
      <c r="GSC13" s="46"/>
      <c r="GSD13" s="46"/>
      <c r="GSE13" s="46"/>
      <c r="GSF13" s="46"/>
      <c r="GSG13" s="46"/>
      <c r="GSH13" s="46"/>
      <c r="GSI13" s="46"/>
      <c r="GSJ13" s="46"/>
      <c r="GSK13" s="46"/>
      <c r="GSL13" s="46"/>
      <c r="GSM13" s="46"/>
      <c r="GSN13" s="46"/>
      <c r="GSO13" s="46"/>
      <c r="GSP13" s="46"/>
      <c r="GSQ13" s="46"/>
      <c r="GSR13" s="46"/>
      <c r="GSS13" s="46"/>
      <c r="GST13" s="46"/>
      <c r="GSU13" s="46"/>
      <c r="GSV13" s="46"/>
      <c r="GSW13" s="46"/>
      <c r="GSX13" s="46"/>
      <c r="GSY13" s="46"/>
      <c r="GSZ13" s="46"/>
      <c r="GTA13" s="46"/>
      <c r="GTB13" s="46"/>
      <c r="GTC13" s="46"/>
      <c r="GTD13" s="46"/>
      <c r="GTE13" s="46"/>
      <c r="GTF13" s="46"/>
      <c r="GTG13" s="46"/>
      <c r="GTH13" s="46"/>
      <c r="GTI13" s="46"/>
      <c r="GTJ13" s="46"/>
      <c r="GTK13" s="46"/>
      <c r="GTL13" s="46"/>
      <c r="GTM13" s="46"/>
      <c r="GTN13" s="46"/>
      <c r="GTO13" s="46"/>
      <c r="GTP13" s="46"/>
      <c r="GTQ13" s="46"/>
      <c r="GTR13" s="46"/>
      <c r="GTS13" s="46"/>
      <c r="GTT13" s="46"/>
      <c r="GTU13" s="46"/>
      <c r="GTV13" s="46"/>
      <c r="GTW13" s="46"/>
      <c r="GTX13" s="46"/>
      <c r="GTY13" s="46"/>
      <c r="GTZ13" s="46"/>
      <c r="GUA13" s="46"/>
      <c r="GUB13" s="46"/>
      <c r="GUC13" s="46"/>
      <c r="GUD13" s="46"/>
      <c r="GUE13" s="46"/>
      <c r="GUF13" s="46"/>
      <c r="GUG13" s="46"/>
      <c r="GUH13" s="46"/>
      <c r="GUI13" s="46"/>
      <c r="GUJ13" s="46"/>
      <c r="GUK13" s="46"/>
      <c r="GUL13" s="46"/>
      <c r="GUM13" s="46"/>
      <c r="GUN13" s="46"/>
      <c r="GUO13" s="46"/>
      <c r="GUP13" s="46"/>
      <c r="GUQ13" s="46"/>
      <c r="GUR13" s="46"/>
      <c r="GUS13" s="46"/>
      <c r="GUT13" s="46"/>
      <c r="GUU13" s="46"/>
      <c r="GUV13" s="46"/>
      <c r="GUW13" s="46"/>
      <c r="GUX13" s="46"/>
      <c r="GUY13" s="46"/>
      <c r="GUZ13" s="46"/>
      <c r="GVA13" s="46"/>
      <c r="GVB13" s="46"/>
      <c r="GVC13" s="46"/>
      <c r="GVD13" s="46"/>
      <c r="GVE13" s="46"/>
      <c r="GVF13" s="46"/>
      <c r="GVG13" s="46"/>
      <c r="GVH13" s="46"/>
      <c r="GVI13" s="46"/>
      <c r="GVJ13" s="46"/>
      <c r="GVK13" s="46"/>
      <c r="GVL13" s="46"/>
      <c r="GVM13" s="46"/>
      <c r="GVN13" s="46"/>
      <c r="GVO13" s="46"/>
      <c r="GVP13" s="46"/>
      <c r="GVQ13" s="46"/>
      <c r="GVR13" s="46"/>
      <c r="GVS13" s="46"/>
      <c r="GVT13" s="46"/>
      <c r="GVU13" s="46"/>
      <c r="GVV13" s="46"/>
      <c r="GVW13" s="46"/>
      <c r="GVX13" s="46"/>
      <c r="GVY13" s="46"/>
      <c r="GVZ13" s="46"/>
      <c r="GWA13" s="46"/>
      <c r="GWB13" s="46"/>
      <c r="GWC13" s="46"/>
      <c r="GWD13" s="46"/>
      <c r="GWE13" s="46"/>
      <c r="GWF13" s="46"/>
      <c r="GWG13" s="46"/>
      <c r="GWH13" s="46"/>
      <c r="GWI13" s="46"/>
      <c r="GWJ13" s="46"/>
      <c r="GWK13" s="46"/>
      <c r="GWL13" s="46"/>
      <c r="GWM13" s="46"/>
      <c r="GWN13" s="46"/>
      <c r="GWO13" s="46"/>
      <c r="GWP13" s="46"/>
      <c r="GWQ13" s="46"/>
      <c r="GWR13" s="46"/>
      <c r="GWS13" s="46"/>
      <c r="GWT13" s="46"/>
      <c r="GWU13" s="46"/>
      <c r="GWV13" s="46"/>
      <c r="GWW13" s="46"/>
      <c r="GWX13" s="46"/>
      <c r="GWY13" s="46"/>
      <c r="GWZ13" s="46"/>
      <c r="GXA13" s="46"/>
      <c r="GXB13" s="46"/>
      <c r="GXC13" s="46"/>
      <c r="GXD13" s="46"/>
      <c r="GXE13" s="46"/>
      <c r="GXF13" s="46"/>
      <c r="GXG13" s="46"/>
      <c r="GXH13" s="46"/>
      <c r="GXI13" s="46"/>
      <c r="GXJ13" s="46"/>
      <c r="GXK13" s="46"/>
      <c r="GXL13" s="46"/>
      <c r="GXM13" s="46"/>
      <c r="GXN13" s="46"/>
      <c r="GXO13" s="46"/>
      <c r="GXP13" s="46"/>
      <c r="GXQ13" s="46"/>
      <c r="GXR13" s="46"/>
      <c r="GXS13" s="46"/>
      <c r="GXT13" s="46"/>
      <c r="GXU13" s="46"/>
      <c r="GXV13" s="46"/>
      <c r="GXW13" s="46"/>
      <c r="GXX13" s="46"/>
      <c r="GXY13" s="46"/>
      <c r="GXZ13" s="46"/>
      <c r="GYA13" s="46"/>
      <c r="GYB13" s="46"/>
      <c r="GYC13" s="46"/>
      <c r="GYD13" s="46"/>
      <c r="GYE13" s="46"/>
      <c r="GYF13" s="46"/>
      <c r="GYG13" s="46"/>
      <c r="GYH13" s="46"/>
      <c r="GYI13" s="46"/>
      <c r="GYJ13" s="46"/>
      <c r="GYK13" s="46"/>
      <c r="GYL13" s="46"/>
      <c r="GYM13" s="46"/>
      <c r="GYN13" s="46"/>
      <c r="GYO13" s="46"/>
      <c r="GYP13" s="46"/>
      <c r="GYQ13" s="46"/>
      <c r="GYR13" s="46"/>
      <c r="GYS13" s="46"/>
      <c r="GYT13" s="46"/>
      <c r="GYU13" s="46"/>
      <c r="GYV13" s="46"/>
      <c r="GYW13" s="46"/>
      <c r="GYX13" s="46"/>
      <c r="GYY13" s="46"/>
      <c r="GYZ13" s="46"/>
      <c r="GZA13" s="46"/>
      <c r="GZB13" s="46"/>
      <c r="GZC13" s="46"/>
      <c r="GZD13" s="46"/>
      <c r="GZE13" s="46"/>
      <c r="GZF13" s="46"/>
      <c r="GZG13" s="46"/>
      <c r="GZH13" s="46"/>
      <c r="GZI13" s="46"/>
      <c r="GZJ13" s="46"/>
      <c r="GZK13" s="46"/>
      <c r="GZL13" s="46"/>
      <c r="GZM13" s="46"/>
      <c r="GZN13" s="46"/>
      <c r="GZO13" s="46"/>
      <c r="GZP13" s="46"/>
      <c r="GZQ13" s="46"/>
      <c r="GZR13" s="46"/>
      <c r="GZS13" s="46"/>
      <c r="GZT13" s="46"/>
      <c r="GZU13" s="46"/>
      <c r="GZV13" s="46"/>
      <c r="GZW13" s="46"/>
      <c r="GZX13" s="46"/>
      <c r="GZY13" s="46"/>
      <c r="GZZ13" s="46"/>
      <c r="HAA13" s="46"/>
      <c r="HAB13" s="46"/>
      <c r="HAC13" s="46"/>
      <c r="HAD13" s="46"/>
      <c r="HAE13" s="46"/>
      <c r="HAF13" s="46"/>
      <c r="HAG13" s="46"/>
      <c r="HAH13" s="46"/>
      <c r="HAI13" s="46"/>
      <c r="HAJ13" s="46"/>
      <c r="HAK13" s="46"/>
      <c r="HAL13" s="46"/>
      <c r="HAM13" s="46"/>
      <c r="HAN13" s="46"/>
      <c r="HAO13" s="46"/>
      <c r="HAP13" s="46"/>
      <c r="HAQ13" s="46"/>
      <c r="HAR13" s="46"/>
      <c r="HAS13" s="46"/>
      <c r="HAT13" s="46"/>
      <c r="HAU13" s="46"/>
      <c r="HAV13" s="46"/>
      <c r="HAW13" s="46"/>
      <c r="HAX13" s="46"/>
      <c r="HAY13" s="46"/>
      <c r="HAZ13" s="46"/>
      <c r="HBA13" s="46"/>
      <c r="HBB13" s="46"/>
      <c r="HBC13" s="46"/>
      <c r="HBD13" s="46"/>
      <c r="HBE13" s="46"/>
      <c r="HBF13" s="46"/>
      <c r="HBG13" s="46"/>
      <c r="HBH13" s="46"/>
      <c r="HBI13" s="46"/>
      <c r="HBJ13" s="46"/>
      <c r="HBK13" s="46"/>
      <c r="HBL13" s="46"/>
      <c r="HBM13" s="46"/>
      <c r="HBN13" s="46"/>
      <c r="HBO13" s="46"/>
      <c r="HBP13" s="46"/>
      <c r="HBQ13" s="46"/>
      <c r="HBR13" s="46"/>
      <c r="HBS13" s="46"/>
      <c r="HBT13" s="46"/>
      <c r="HBU13" s="46"/>
      <c r="HBV13" s="46"/>
      <c r="HBW13" s="46"/>
      <c r="HBX13" s="46"/>
      <c r="HBY13" s="46"/>
      <c r="HBZ13" s="46"/>
      <c r="HCA13" s="46"/>
      <c r="HCB13" s="46"/>
      <c r="HCC13" s="46"/>
      <c r="HCD13" s="46"/>
      <c r="HCE13" s="46"/>
      <c r="HCF13" s="46"/>
      <c r="HCG13" s="46"/>
      <c r="HCH13" s="46"/>
      <c r="HCI13" s="46"/>
      <c r="HCJ13" s="46"/>
      <c r="HCK13" s="46"/>
      <c r="HCL13" s="46"/>
      <c r="HCM13" s="46"/>
      <c r="HCN13" s="46"/>
      <c r="HCO13" s="46"/>
      <c r="HCP13" s="46"/>
      <c r="HCQ13" s="46"/>
      <c r="HCR13" s="46"/>
      <c r="HCS13" s="46"/>
      <c r="HCT13" s="46"/>
      <c r="HCU13" s="46"/>
      <c r="HCV13" s="46"/>
      <c r="HCW13" s="46"/>
      <c r="HCX13" s="46"/>
      <c r="HCY13" s="46"/>
      <c r="HCZ13" s="46"/>
      <c r="HDA13" s="46"/>
      <c r="HDB13" s="46"/>
      <c r="HDC13" s="46"/>
      <c r="HDD13" s="46"/>
      <c r="HDE13" s="46"/>
      <c r="HDF13" s="46"/>
      <c r="HDG13" s="46"/>
      <c r="HDH13" s="46"/>
      <c r="HDI13" s="46"/>
      <c r="HDJ13" s="46"/>
      <c r="HDK13" s="46"/>
      <c r="HDL13" s="46"/>
      <c r="HDM13" s="46"/>
      <c r="HDN13" s="46"/>
      <c r="HDO13" s="46"/>
      <c r="HDP13" s="46"/>
      <c r="HDQ13" s="46"/>
      <c r="HDR13" s="46"/>
      <c r="HDS13" s="46"/>
      <c r="HDT13" s="46"/>
      <c r="HDU13" s="46"/>
      <c r="HDV13" s="46"/>
      <c r="HDW13" s="46"/>
      <c r="HDX13" s="46"/>
      <c r="HDY13" s="46"/>
      <c r="HDZ13" s="46"/>
      <c r="HEA13" s="46"/>
      <c r="HEB13" s="46"/>
      <c r="HEC13" s="46"/>
      <c r="HED13" s="46"/>
      <c r="HEE13" s="46"/>
      <c r="HEF13" s="46"/>
      <c r="HEG13" s="46"/>
      <c r="HEH13" s="46"/>
      <c r="HEI13" s="46"/>
      <c r="HEJ13" s="46"/>
      <c r="HEK13" s="46"/>
      <c r="HEL13" s="46"/>
      <c r="HEM13" s="46"/>
      <c r="HEN13" s="46"/>
      <c r="HEO13" s="46"/>
      <c r="HEP13" s="46"/>
      <c r="HEQ13" s="46"/>
      <c r="HER13" s="46"/>
      <c r="HES13" s="46"/>
      <c r="HET13" s="46"/>
      <c r="HEU13" s="46"/>
      <c r="HEV13" s="46"/>
      <c r="HEW13" s="46"/>
      <c r="HEX13" s="46"/>
      <c r="HEY13" s="46"/>
      <c r="HEZ13" s="46"/>
      <c r="HFA13" s="46"/>
      <c r="HFB13" s="46"/>
      <c r="HFC13" s="46"/>
      <c r="HFD13" s="46"/>
      <c r="HFE13" s="46"/>
      <c r="HFF13" s="46"/>
      <c r="HFG13" s="46"/>
      <c r="HFH13" s="46"/>
      <c r="HFI13" s="46"/>
      <c r="HFJ13" s="46"/>
      <c r="HFK13" s="46"/>
      <c r="HFL13" s="46"/>
      <c r="HFM13" s="46"/>
      <c r="HFN13" s="46"/>
      <c r="HFO13" s="46"/>
      <c r="HFP13" s="46"/>
      <c r="HFQ13" s="46"/>
      <c r="HFR13" s="46"/>
      <c r="HFS13" s="46"/>
      <c r="HFT13" s="46"/>
      <c r="HFU13" s="46"/>
      <c r="HFV13" s="46"/>
      <c r="HFW13" s="46"/>
      <c r="HFX13" s="46"/>
      <c r="HFY13" s="46"/>
      <c r="HFZ13" s="46"/>
      <c r="HGA13" s="46"/>
      <c r="HGB13" s="46"/>
      <c r="HGC13" s="46"/>
      <c r="HGD13" s="46"/>
      <c r="HGE13" s="46"/>
      <c r="HGF13" s="46"/>
      <c r="HGG13" s="46"/>
      <c r="HGH13" s="46"/>
      <c r="HGI13" s="46"/>
      <c r="HGJ13" s="46"/>
      <c r="HGK13" s="46"/>
      <c r="HGL13" s="46"/>
      <c r="HGM13" s="46"/>
      <c r="HGN13" s="46"/>
      <c r="HGO13" s="46"/>
      <c r="HGP13" s="46"/>
      <c r="HGQ13" s="46"/>
      <c r="HGR13" s="46"/>
      <c r="HGS13" s="46"/>
      <c r="HGT13" s="46"/>
      <c r="HGU13" s="46"/>
      <c r="HGV13" s="46"/>
      <c r="HGW13" s="46"/>
      <c r="HGX13" s="46"/>
      <c r="HGY13" s="46"/>
      <c r="HGZ13" s="46"/>
      <c r="HHA13" s="46"/>
      <c r="HHB13" s="46"/>
      <c r="HHC13" s="46"/>
      <c r="HHD13" s="46"/>
      <c r="HHE13" s="46"/>
      <c r="HHF13" s="46"/>
      <c r="HHG13" s="46"/>
      <c r="HHH13" s="46"/>
      <c r="HHI13" s="46"/>
      <c r="HHJ13" s="46"/>
      <c r="HHK13" s="46"/>
      <c r="HHL13" s="46"/>
      <c r="HHM13" s="46"/>
      <c r="HHN13" s="46"/>
      <c r="HHO13" s="46"/>
      <c r="HHP13" s="46"/>
      <c r="HHQ13" s="46"/>
      <c r="HHR13" s="46"/>
      <c r="HHS13" s="46"/>
      <c r="HHT13" s="46"/>
      <c r="HHU13" s="46"/>
      <c r="HHV13" s="46"/>
      <c r="HHW13" s="46"/>
      <c r="HHX13" s="46"/>
      <c r="HHY13" s="46"/>
      <c r="HHZ13" s="46"/>
      <c r="HIA13" s="46"/>
      <c r="HIB13" s="46"/>
      <c r="HIC13" s="46"/>
      <c r="HID13" s="46"/>
      <c r="HIE13" s="46"/>
      <c r="HIF13" s="46"/>
      <c r="HIG13" s="46"/>
      <c r="HIH13" s="46"/>
      <c r="HII13" s="46"/>
      <c r="HIJ13" s="46"/>
      <c r="HIK13" s="46"/>
      <c r="HIL13" s="46"/>
      <c r="HIM13" s="46"/>
      <c r="HIN13" s="46"/>
      <c r="HIO13" s="46"/>
      <c r="HIP13" s="46"/>
      <c r="HIQ13" s="46"/>
      <c r="HIR13" s="46"/>
      <c r="HIS13" s="46"/>
      <c r="HIT13" s="46"/>
      <c r="HIU13" s="46"/>
      <c r="HIV13" s="46"/>
      <c r="HIW13" s="46"/>
      <c r="HIX13" s="46"/>
      <c r="HIY13" s="46"/>
      <c r="HIZ13" s="46"/>
      <c r="HJA13" s="46"/>
      <c r="HJB13" s="46"/>
      <c r="HJC13" s="46"/>
      <c r="HJD13" s="46"/>
      <c r="HJE13" s="46"/>
      <c r="HJF13" s="46"/>
      <c r="HJG13" s="46"/>
      <c r="HJH13" s="46"/>
      <c r="HJI13" s="46"/>
      <c r="HJJ13" s="46"/>
      <c r="HJK13" s="46"/>
      <c r="HJL13" s="46"/>
      <c r="HJM13" s="46"/>
      <c r="HJN13" s="46"/>
      <c r="HJO13" s="46"/>
      <c r="HJP13" s="46"/>
      <c r="HJQ13" s="46"/>
      <c r="HJR13" s="46"/>
      <c r="HJS13" s="46"/>
      <c r="HJT13" s="46"/>
      <c r="HJU13" s="46"/>
      <c r="HJV13" s="46"/>
      <c r="HJW13" s="46"/>
      <c r="HJX13" s="46"/>
      <c r="HJY13" s="46"/>
      <c r="HJZ13" s="46"/>
      <c r="HKA13" s="46"/>
      <c r="HKB13" s="46"/>
      <c r="HKC13" s="46"/>
      <c r="HKD13" s="46"/>
      <c r="HKE13" s="46"/>
      <c r="HKF13" s="46"/>
      <c r="HKG13" s="46"/>
      <c r="HKH13" s="46"/>
      <c r="HKI13" s="46"/>
      <c r="HKJ13" s="46"/>
      <c r="HKK13" s="46"/>
      <c r="HKL13" s="46"/>
      <c r="HKM13" s="46"/>
      <c r="HKN13" s="46"/>
      <c r="HKO13" s="46"/>
      <c r="HKP13" s="46"/>
      <c r="HKQ13" s="46"/>
      <c r="HKR13" s="46"/>
      <c r="HKS13" s="46"/>
      <c r="HKT13" s="46"/>
      <c r="HKU13" s="46"/>
      <c r="HKV13" s="46"/>
      <c r="HKW13" s="46"/>
      <c r="HKX13" s="46"/>
      <c r="HKY13" s="46"/>
      <c r="HKZ13" s="46"/>
      <c r="HLA13" s="46"/>
      <c r="HLB13" s="46"/>
      <c r="HLC13" s="46"/>
      <c r="HLD13" s="46"/>
      <c r="HLE13" s="46"/>
      <c r="HLF13" s="46"/>
      <c r="HLG13" s="46"/>
      <c r="HLH13" s="46"/>
      <c r="HLI13" s="46"/>
      <c r="HLJ13" s="46"/>
      <c r="HLK13" s="46"/>
      <c r="HLL13" s="46"/>
      <c r="HLM13" s="46"/>
      <c r="HLN13" s="46"/>
      <c r="HLO13" s="46"/>
      <c r="HLP13" s="46"/>
      <c r="HLQ13" s="46"/>
      <c r="HLR13" s="46"/>
      <c r="HLS13" s="46"/>
      <c r="HLT13" s="46"/>
      <c r="HLU13" s="46"/>
      <c r="HLV13" s="46"/>
      <c r="HLW13" s="46"/>
      <c r="HLX13" s="46"/>
      <c r="HLY13" s="46"/>
      <c r="HLZ13" s="46"/>
      <c r="HMA13" s="46"/>
      <c r="HMB13" s="46"/>
      <c r="HMC13" s="46"/>
      <c r="HMD13" s="46"/>
      <c r="HME13" s="46"/>
      <c r="HMF13" s="46"/>
      <c r="HMG13" s="46"/>
      <c r="HMH13" s="46"/>
      <c r="HMI13" s="46"/>
      <c r="HMJ13" s="46"/>
      <c r="HMK13" s="46"/>
      <c r="HML13" s="46"/>
      <c r="HMM13" s="46"/>
      <c r="HMN13" s="46"/>
      <c r="HMO13" s="46"/>
      <c r="HMP13" s="46"/>
      <c r="HMQ13" s="46"/>
      <c r="HMR13" s="46"/>
      <c r="HMS13" s="46"/>
      <c r="HMT13" s="46"/>
      <c r="HMU13" s="46"/>
      <c r="HMV13" s="46"/>
      <c r="HMW13" s="46"/>
      <c r="HMX13" s="46"/>
      <c r="HMY13" s="46"/>
      <c r="HMZ13" s="46"/>
      <c r="HNA13" s="46"/>
      <c r="HNB13" s="46"/>
      <c r="HNC13" s="46"/>
      <c r="HND13" s="46"/>
      <c r="HNE13" s="46"/>
      <c r="HNF13" s="46"/>
      <c r="HNG13" s="46"/>
      <c r="HNH13" s="46"/>
      <c r="HNI13" s="46"/>
      <c r="HNJ13" s="46"/>
      <c r="HNK13" s="46"/>
      <c r="HNL13" s="46"/>
      <c r="HNM13" s="46"/>
      <c r="HNN13" s="46"/>
      <c r="HNO13" s="46"/>
      <c r="HNP13" s="46"/>
      <c r="HNQ13" s="46"/>
      <c r="HNR13" s="46"/>
      <c r="HNS13" s="46"/>
      <c r="HNT13" s="46"/>
      <c r="HNU13" s="46"/>
      <c r="HNV13" s="46"/>
      <c r="HNW13" s="46"/>
      <c r="HNX13" s="46"/>
      <c r="HNY13" s="46"/>
      <c r="HNZ13" s="46"/>
      <c r="HOA13" s="46"/>
      <c r="HOB13" s="46"/>
      <c r="HOC13" s="46"/>
      <c r="HOD13" s="46"/>
      <c r="HOE13" s="46"/>
      <c r="HOF13" s="46"/>
      <c r="HOG13" s="46"/>
      <c r="HOH13" s="46"/>
      <c r="HOI13" s="46"/>
      <c r="HOJ13" s="46"/>
      <c r="HOK13" s="46"/>
      <c r="HOL13" s="46"/>
      <c r="HOM13" s="46"/>
      <c r="HON13" s="46"/>
      <c r="HOO13" s="46"/>
      <c r="HOP13" s="46"/>
      <c r="HOQ13" s="46"/>
      <c r="HOR13" s="46"/>
      <c r="HOS13" s="46"/>
      <c r="HOT13" s="46"/>
      <c r="HOU13" s="46"/>
      <c r="HOV13" s="46"/>
      <c r="HOW13" s="46"/>
      <c r="HOX13" s="46"/>
      <c r="HOY13" s="46"/>
      <c r="HOZ13" s="46"/>
      <c r="HPA13" s="46"/>
      <c r="HPB13" s="46"/>
      <c r="HPC13" s="46"/>
      <c r="HPD13" s="46"/>
      <c r="HPE13" s="46"/>
      <c r="HPF13" s="46"/>
      <c r="HPG13" s="46"/>
      <c r="HPH13" s="46"/>
      <c r="HPI13" s="46"/>
      <c r="HPJ13" s="46"/>
      <c r="HPK13" s="46"/>
      <c r="HPL13" s="46"/>
      <c r="HPM13" s="46"/>
      <c r="HPN13" s="46"/>
      <c r="HPO13" s="46"/>
      <c r="HPP13" s="46"/>
      <c r="HPQ13" s="46"/>
      <c r="HPR13" s="46"/>
      <c r="HPS13" s="46"/>
      <c r="HPT13" s="46"/>
      <c r="HPU13" s="46"/>
      <c r="HPV13" s="46"/>
      <c r="HPW13" s="46"/>
      <c r="HPX13" s="46"/>
      <c r="HPY13" s="46"/>
      <c r="HPZ13" s="46"/>
      <c r="HQA13" s="46"/>
      <c r="HQB13" s="46"/>
      <c r="HQC13" s="46"/>
      <c r="HQD13" s="46"/>
      <c r="HQE13" s="46"/>
      <c r="HQF13" s="46"/>
      <c r="HQG13" s="46"/>
      <c r="HQH13" s="46"/>
      <c r="HQI13" s="46"/>
      <c r="HQJ13" s="46"/>
      <c r="HQK13" s="46"/>
      <c r="HQL13" s="46"/>
      <c r="HQM13" s="46"/>
      <c r="HQN13" s="46"/>
      <c r="HQO13" s="46"/>
      <c r="HQP13" s="46"/>
      <c r="HQQ13" s="46"/>
      <c r="HQR13" s="46"/>
      <c r="HQS13" s="46"/>
      <c r="HQT13" s="46"/>
      <c r="HQU13" s="46"/>
      <c r="HQV13" s="46"/>
      <c r="HQW13" s="46"/>
      <c r="HQX13" s="46"/>
      <c r="HQY13" s="46"/>
      <c r="HQZ13" s="46"/>
      <c r="HRA13" s="46"/>
      <c r="HRB13" s="46"/>
      <c r="HRC13" s="46"/>
      <c r="HRD13" s="46"/>
      <c r="HRE13" s="46"/>
      <c r="HRF13" s="46"/>
      <c r="HRG13" s="46"/>
      <c r="HRH13" s="46"/>
      <c r="HRI13" s="46"/>
      <c r="HRJ13" s="46"/>
      <c r="HRK13" s="46"/>
      <c r="HRL13" s="46"/>
      <c r="HRM13" s="46"/>
      <c r="HRN13" s="46"/>
      <c r="HRO13" s="46"/>
      <c r="HRP13" s="46"/>
      <c r="HRQ13" s="46"/>
      <c r="HRR13" s="46"/>
      <c r="HRS13" s="46"/>
      <c r="HRT13" s="46"/>
      <c r="HRU13" s="46"/>
      <c r="HRV13" s="46"/>
      <c r="HRW13" s="46"/>
      <c r="HRX13" s="46"/>
      <c r="HRY13" s="46"/>
      <c r="HRZ13" s="46"/>
      <c r="HSA13" s="46"/>
      <c r="HSB13" s="46"/>
      <c r="HSC13" s="46"/>
      <c r="HSD13" s="46"/>
      <c r="HSE13" s="46"/>
      <c r="HSF13" s="46"/>
      <c r="HSG13" s="46"/>
      <c r="HSH13" s="46"/>
      <c r="HSI13" s="46"/>
      <c r="HSJ13" s="46"/>
      <c r="HSK13" s="46"/>
      <c r="HSL13" s="46"/>
      <c r="HSM13" s="46"/>
      <c r="HSN13" s="46"/>
      <c r="HSO13" s="46"/>
      <c r="HSP13" s="46"/>
      <c r="HSQ13" s="46"/>
      <c r="HSR13" s="46"/>
      <c r="HSS13" s="46"/>
      <c r="HST13" s="46"/>
      <c r="HSU13" s="46"/>
      <c r="HSV13" s="46"/>
      <c r="HSW13" s="46"/>
      <c r="HSX13" s="46"/>
      <c r="HSY13" s="46"/>
      <c r="HSZ13" s="46"/>
      <c r="HTA13" s="46"/>
      <c r="HTB13" s="46"/>
      <c r="HTC13" s="46"/>
      <c r="HTD13" s="46"/>
      <c r="HTE13" s="46"/>
      <c r="HTF13" s="46"/>
      <c r="HTG13" s="46"/>
      <c r="HTH13" s="46"/>
      <c r="HTI13" s="46"/>
      <c r="HTJ13" s="46"/>
      <c r="HTK13" s="46"/>
      <c r="HTL13" s="46"/>
      <c r="HTM13" s="46"/>
      <c r="HTN13" s="46"/>
      <c r="HTO13" s="46"/>
      <c r="HTP13" s="46"/>
      <c r="HTQ13" s="46"/>
      <c r="HTR13" s="46"/>
      <c r="HTS13" s="46"/>
      <c r="HTT13" s="46"/>
      <c r="HTU13" s="46"/>
      <c r="HTV13" s="46"/>
      <c r="HTW13" s="46"/>
      <c r="HTX13" s="46"/>
      <c r="HTY13" s="46"/>
      <c r="HTZ13" s="46"/>
      <c r="HUA13" s="46"/>
      <c r="HUB13" s="46"/>
      <c r="HUC13" s="46"/>
      <c r="HUD13" s="46"/>
      <c r="HUE13" s="46"/>
      <c r="HUF13" s="46"/>
      <c r="HUG13" s="46"/>
      <c r="HUH13" s="46"/>
      <c r="HUI13" s="46"/>
      <c r="HUJ13" s="46"/>
      <c r="HUK13" s="46"/>
      <c r="HUL13" s="46"/>
      <c r="HUM13" s="46"/>
      <c r="HUN13" s="46"/>
      <c r="HUO13" s="46"/>
      <c r="HUP13" s="46"/>
      <c r="HUQ13" s="46"/>
      <c r="HUR13" s="46"/>
      <c r="HUS13" s="46"/>
      <c r="HUT13" s="46"/>
      <c r="HUU13" s="46"/>
      <c r="HUV13" s="46"/>
      <c r="HUW13" s="46"/>
      <c r="HUX13" s="46"/>
      <c r="HUY13" s="46"/>
      <c r="HUZ13" s="46"/>
      <c r="HVA13" s="46"/>
      <c r="HVB13" s="46"/>
      <c r="HVC13" s="46"/>
      <c r="HVD13" s="46"/>
      <c r="HVE13" s="46"/>
      <c r="HVF13" s="46"/>
      <c r="HVG13" s="46"/>
      <c r="HVH13" s="46"/>
      <c r="HVI13" s="46"/>
      <c r="HVJ13" s="46"/>
      <c r="HVK13" s="46"/>
      <c r="HVL13" s="46"/>
      <c r="HVM13" s="46"/>
      <c r="HVN13" s="46"/>
      <c r="HVO13" s="46"/>
      <c r="HVP13" s="46"/>
      <c r="HVQ13" s="46"/>
      <c r="HVR13" s="46"/>
      <c r="HVS13" s="46"/>
      <c r="HVT13" s="46"/>
      <c r="HVU13" s="46"/>
      <c r="HVV13" s="46"/>
      <c r="HVW13" s="46"/>
      <c r="HVX13" s="46"/>
      <c r="HVY13" s="46"/>
      <c r="HVZ13" s="46"/>
      <c r="HWA13" s="46"/>
      <c r="HWB13" s="46"/>
      <c r="HWC13" s="46"/>
      <c r="HWD13" s="46"/>
      <c r="HWE13" s="46"/>
      <c r="HWF13" s="46"/>
      <c r="HWG13" s="46"/>
      <c r="HWH13" s="46"/>
      <c r="HWI13" s="46"/>
      <c r="HWJ13" s="46"/>
      <c r="HWK13" s="46"/>
      <c r="HWL13" s="46"/>
      <c r="HWM13" s="46"/>
      <c r="HWN13" s="46"/>
      <c r="HWO13" s="46"/>
      <c r="HWP13" s="46"/>
      <c r="HWQ13" s="46"/>
      <c r="HWR13" s="46"/>
      <c r="HWS13" s="46"/>
      <c r="HWT13" s="46"/>
      <c r="HWU13" s="46"/>
      <c r="HWV13" s="46"/>
      <c r="HWW13" s="46"/>
      <c r="HWX13" s="46"/>
      <c r="HWY13" s="46"/>
      <c r="HWZ13" s="46"/>
      <c r="HXA13" s="46"/>
      <c r="HXB13" s="46"/>
      <c r="HXC13" s="46"/>
      <c r="HXD13" s="46"/>
      <c r="HXE13" s="46"/>
      <c r="HXF13" s="46"/>
      <c r="HXG13" s="46"/>
      <c r="HXH13" s="46"/>
      <c r="HXI13" s="46"/>
      <c r="HXJ13" s="46"/>
      <c r="HXK13" s="46"/>
      <c r="HXL13" s="46"/>
      <c r="HXM13" s="46"/>
      <c r="HXN13" s="46"/>
      <c r="HXO13" s="46"/>
      <c r="HXP13" s="46"/>
      <c r="HXQ13" s="46"/>
      <c r="HXR13" s="46"/>
      <c r="HXS13" s="46"/>
      <c r="HXT13" s="46"/>
      <c r="HXU13" s="46"/>
      <c r="HXV13" s="46"/>
      <c r="HXW13" s="46"/>
      <c r="HXX13" s="46"/>
      <c r="HXY13" s="46"/>
      <c r="HXZ13" s="46"/>
      <c r="HYA13" s="46"/>
      <c r="HYB13" s="46"/>
      <c r="HYC13" s="46"/>
      <c r="HYD13" s="46"/>
      <c r="HYE13" s="46"/>
      <c r="HYF13" s="46"/>
      <c r="HYG13" s="46"/>
      <c r="HYH13" s="46"/>
      <c r="HYI13" s="46"/>
      <c r="HYJ13" s="46"/>
      <c r="HYK13" s="46"/>
      <c r="HYL13" s="46"/>
      <c r="HYM13" s="46"/>
      <c r="HYN13" s="46"/>
      <c r="HYO13" s="46"/>
      <c r="HYP13" s="46"/>
      <c r="HYQ13" s="46"/>
      <c r="HYR13" s="46"/>
      <c r="HYS13" s="46"/>
      <c r="HYT13" s="46"/>
      <c r="HYU13" s="46"/>
      <c r="HYV13" s="46"/>
      <c r="HYW13" s="46"/>
      <c r="HYX13" s="46"/>
      <c r="HYY13" s="46"/>
      <c r="HYZ13" s="46"/>
      <c r="HZA13" s="46"/>
      <c r="HZB13" s="46"/>
      <c r="HZC13" s="46"/>
      <c r="HZD13" s="46"/>
      <c r="HZE13" s="46"/>
      <c r="HZF13" s="46"/>
      <c r="HZG13" s="46"/>
      <c r="HZH13" s="46"/>
      <c r="HZI13" s="46"/>
      <c r="HZJ13" s="46"/>
      <c r="HZK13" s="46"/>
      <c r="HZL13" s="46"/>
      <c r="HZM13" s="46"/>
      <c r="HZN13" s="46"/>
      <c r="HZO13" s="46"/>
      <c r="HZP13" s="46"/>
      <c r="HZQ13" s="46"/>
      <c r="HZR13" s="46"/>
      <c r="HZS13" s="46"/>
      <c r="HZT13" s="46"/>
      <c r="HZU13" s="46"/>
      <c r="HZV13" s="46"/>
      <c r="HZW13" s="46"/>
      <c r="HZX13" s="46"/>
      <c r="HZY13" s="46"/>
      <c r="HZZ13" s="46"/>
      <c r="IAA13" s="46"/>
      <c r="IAB13" s="46"/>
      <c r="IAC13" s="46"/>
      <c r="IAD13" s="46"/>
      <c r="IAE13" s="46"/>
      <c r="IAF13" s="46"/>
      <c r="IAG13" s="46"/>
      <c r="IAH13" s="46"/>
      <c r="IAI13" s="46"/>
      <c r="IAJ13" s="46"/>
      <c r="IAK13" s="46"/>
      <c r="IAL13" s="46"/>
      <c r="IAM13" s="46"/>
      <c r="IAN13" s="46"/>
      <c r="IAO13" s="46"/>
      <c r="IAP13" s="46"/>
      <c r="IAQ13" s="46"/>
      <c r="IAR13" s="46"/>
      <c r="IAS13" s="46"/>
      <c r="IAT13" s="46"/>
      <c r="IAU13" s="46"/>
      <c r="IAV13" s="46"/>
      <c r="IAW13" s="46"/>
      <c r="IAX13" s="46"/>
      <c r="IAY13" s="46"/>
      <c r="IAZ13" s="46"/>
      <c r="IBA13" s="46"/>
      <c r="IBB13" s="46"/>
      <c r="IBC13" s="46"/>
      <c r="IBD13" s="46"/>
      <c r="IBE13" s="46"/>
      <c r="IBF13" s="46"/>
      <c r="IBG13" s="46"/>
      <c r="IBH13" s="46"/>
      <c r="IBI13" s="46"/>
      <c r="IBJ13" s="46"/>
      <c r="IBK13" s="46"/>
      <c r="IBL13" s="46"/>
      <c r="IBM13" s="46"/>
      <c r="IBN13" s="46"/>
      <c r="IBO13" s="46"/>
      <c r="IBP13" s="46"/>
      <c r="IBQ13" s="46"/>
      <c r="IBR13" s="46"/>
      <c r="IBS13" s="46"/>
      <c r="IBT13" s="46"/>
      <c r="IBU13" s="46"/>
      <c r="IBV13" s="46"/>
      <c r="IBW13" s="46"/>
      <c r="IBX13" s="46"/>
      <c r="IBY13" s="46"/>
      <c r="IBZ13" s="46"/>
      <c r="ICA13" s="46"/>
      <c r="ICB13" s="46"/>
      <c r="ICC13" s="46"/>
      <c r="ICD13" s="46"/>
      <c r="ICE13" s="46"/>
      <c r="ICF13" s="46"/>
      <c r="ICG13" s="46"/>
      <c r="ICH13" s="46"/>
      <c r="ICI13" s="46"/>
      <c r="ICJ13" s="46"/>
      <c r="ICK13" s="46"/>
      <c r="ICL13" s="46"/>
      <c r="ICM13" s="46"/>
      <c r="ICN13" s="46"/>
      <c r="ICO13" s="46"/>
      <c r="ICP13" s="46"/>
      <c r="ICQ13" s="46"/>
      <c r="ICR13" s="46"/>
      <c r="ICS13" s="46"/>
      <c r="ICT13" s="46"/>
      <c r="ICU13" s="46"/>
      <c r="ICV13" s="46"/>
      <c r="ICW13" s="46"/>
      <c r="ICX13" s="46"/>
      <c r="ICY13" s="46"/>
      <c r="ICZ13" s="46"/>
      <c r="IDA13" s="46"/>
      <c r="IDB13" s="46"/>
      <c r="IDC13" s="46"/>
      <c r="IDD13" s="46"/>
      <c r="IDE13" s="46"/>
      <c r="IDF13" s="46"/>
      <c r="IDG13" s="46"/>
      <c r="IDH13" s="46"/>
      <c r="IDI13" s="46"/>
      <c r="IDJ13" s="46"/>
      <c r="IDK13" s="46"/>
      <c r="IDL13" s="46"/>
      <c r="IDM13" s="46"/>
      <c r="IDN13" s="46"/>
      <c r="IDO13" s="46"/>
      <c r="IDP13" s="46"/>
      <c r="IDQ13" s="46"/>
      <c r="IDR13" s="46"/>
      <c r="IDS13" s="46"/>
      <c r="IDT13" s="46"/>
      <c r="IDU13" s="46"/>
      <c r="IDV13" s="46"/>
      <c r="IDW13" s="46"/>
      <c r="IDX13" s="46"/>
      <c r="IDY13" s="46"/>
      <c r="IDZ13" s="46"/>
      <c r="IEA13" s="46"/>
      <c r="IEB13" s="46"/>
      <c r="IEC13" s="46"/>
      <c r="IED13" s="46"/>
      <c r="IEE13" s="46"/>
      <c r="IEF13" s="46"/>
      <c r="IEG13" s="46"/>
      <c r="IEH13" s="46"/>
      <c r="IEI13" s="46"/>
      <c r="IEJ13" s="46"/>
      <c r="IEK13" s="46"/>
      <c r="IEL13" s="46"/>
      <c r="IEM13" s="46"/>
      <c r="IEN13" s="46"/>
      <c r="IEO13" s="46"/>
      <c r="IEP13" s="46"/>
      <c r="IEQ13" s="46"/>
      <c r="IER13" s="46"/>
      <c r="IES13" s="46"/>
      <c r="IET13" s="46"/>
      <c r="IEU13" s="46"/>
      <c r="IEV13" s="46"/>
      <c r="IEW13" s="46"/>
      <c r="IEX13" s="46"/>
      <c r="IEY13" s="46"/>
      <c r="IEZ13" s="46"/>
      <c r="IFA13" s="46"/>
      <c r="IFB13" s="46"/>
      <c r="IFC13" s="46"/>
      <c r="IFD13" s="46"/>
      <c r="IFE13" s="46"/>
      <c r="IFF13" s="46"/>
      <c r="IFG13" s="46"/>
      <c r="IFH13" s="46"/>
      <c r="IFI13" s="46"/>
      <c r="IFJ13" s="46"/>
      <c r="IFK13" s="46"/>
      <c r="IFL13" s="46"/>
      <c r="IFM13" s="46"/>
      <c r="IFN13" s="46"/>
      <c r="IFO13" s="46"/>
      <c r="IFP13" s="46"/>
      <c r="IFQ13" s="46"/>
      <c r="IFR13" s="46"/>
      <c r="IFS13" s="46"/>
      <c r="IFT13" s="46"/>
      <c r="IFU13" s="46"/>
      <c r="IFV13" s="46"/>
      <c r="IFW13" s="46"/>
      <c r="IFX13" s="46"/>
      <c r="IFY13" s="46"/>
      <c r="IFZ13" s="46"/>
      <c r="IGA13" s="46"/>
      <c r="IGB13" s="46"/>
      <c r="IGC13" s="46"/>
      <c r="IGD13" s="46"/>
      <c r="IGE13" s="46"/>
      <c r="IGF13" s="46"/>
      <c r="IGG13" s="46"/>
      <c r="IGH13" s="46"/>
      <c r="IGI13" s="46"/>
      <c r="IGJ13" s="46"/>
      <c r="IGK13" s="46"/>
      <c r="IGL13" s="46"/>
      <c r="IGM13" s="46"/>
      <c r="IGN13" s="46"/>
      <c r="IGO13" s="46"/>
      <c r="IGP13" s="46"/>
      <c r="IGQ13" s="46"/>
      <c r="IGR13" s="46"/>
      <c r="IGS13" s="46"/>
      <c r="IGT13" s="46"/>
      <c r="IGU13" s="46"/>
      <c r="IGV13" s="46"/>
      <c r="IGW13" s="46"/>
      <c r="IGX13" s="46"/>
      <c r="IGY13" s="46"/>
      <c r="IGZ13" s="46"/>
      <c r="IHA13" s="46"/>
      <c r="IHB13" s="46"/>
      <c r="IHC13" s="46"/>
      <c r="IHD13" s="46"/>
      <c r="IHE13" s="46"/>
      <c r="IHF13" s="46"/>
      <c r="IHG13" s="46"/>
      <c r="IHH13" s="46"/>
      <c r="IHI13" s="46"/>
      <c r="IHJ13" s="46"/>
      <c r="IHK13" s="46"/>
      <c r="IHL13" s="46"/>
      <c r="IHM13" s="46"/>
      <c r="IHN13" s="46"/>
      <c r="IHO13" s="46"/>
      <c r="IHP13" s="46"/>
      <c r="IHQ13" s="46"/>
      <c r="IHR13" s="46"/>
      <c r="IHS13" s="46"/>
      <c r="IHT13" s="46"/>
      <c r="IHU13" s="46"/>
      <c r="IHV13" s="46"/>
      <c r="IHW13" s="46"/>
      <c r="IHX13" s="46"/>
      <c r="IHY13" s="46"/>
      <c r="IHZ13" s="46"/>
      <c r="IIA13" s="46"/>
      <c r="IIB13" s="46"/>
      <c r="IIC13" s="46"/>
      <c r="IID13" s="46"/>
      <c r="IIE13" s="46"/>
      <c r="IIF13" s="46"/>
      <c r="IIG13" s="46"/>
      <c r="IIH13" s="46"/>
      <c r="III13" s="46"/>
      <c r="IIJ13" s="46"/>
      <c r="IIK13" s="46"/>
      <c r="IIL13" s="46"/>
      <c r="IIM13" s="46"/>
      <c r="IIN13" s="46"/>
      <c r="IIO13" s="46"/>
      <c r="IIP13" s="46"/>
      <c r="IIQ13" s="46"/>
      <c r="IIR13" s="46"/>
      <c r="IIS13" s="46"/>
      <c r="IIT13" s="46"/>
      <c r="IIU13" s="46"/>
      <c r="IIV13" s="46"/>
      <c r="IIW13" s="46"/>
      <c r="IIX13" s="46"/>
      <c r="IIY13" s="46"/>
      <c r="IIZ13" s="46"/>
      <c r="IJA13" s="46"/>
      <c r="IJB13" s="46"/>
      <c r="IJC13" s="46"/>
      <c r="IJD13" s="46"/>
      <c r="IJE13" s="46"/>
      <c r="IJF13" s="46"/>
      <c r="IJG13" s="46"/>
      <c r="IJH13" s="46"/>
      <c r="IJI13" s="46"/>
      <c r="IJJ13" s="46"/>
      <c r="IJK13" s="46"/>
      <c r="IJL13" s="46"/>
      <c r="IJM13" s="46"/>
      <c r="IJN13" s="46"/>
      <c r="IJO13" s="46"/>
      <c r="IJP13" s="46"/>
      <c r="IJQ13" s="46"/>
      <c r="IJR13" s="46"/>
      <c r="IJS13" s="46"/>
      <c r="IJT13" s="46"/>
      <c r="IJU13" s="46"/>
      <c r="IJV13" s="46"/>
      <c r="IJW13" s="46"/>
      <c r="IJX13" s="46"/>
      <c r="IJY13" s="46"/>
      <c r="IJZ13" s="46"/>
      <c r="IKA13" s="46"/>
      <c r="IKB13" s="46"/>
      <c r="IKC13" s="46"/>
      <c r="IKD13" s="46"/>
      <c r="IKE13" s="46"/>
      <c r="IKF13" s="46"/>
      <c r="IKG13" s="46"/>
      <c r="IKH13" s="46"/>
      <c r="IKI13" s="46"/>
      <c r="IKJ13" s="46"/>
      <c r="IKK13" s="46"/>
      <c r="IKL13" s="46"/>
      <c r="IKM13" s="46"/>
      <c r="IKN13" s="46"/>
      <c r="IKO13" s="46"/>
      <c r="IKP13" s="46"/>
      <c r="IKQ13" s="46"/>
      <c r="IKR13" s="46"/>
      <c r="IKS13" s="46"/>
      <c r="IKT13" s="46"/>
      <c r="IKU13" s="46"/>
      <c r="IKV13" s="46"/>
      <c r="IKW13" s="46"/>
      <c r="IKX13" s="46"/>
      <c r="IKY13" s="46"/>
      <c r="IKZ13" s="46"/>
      <c r="ILA13" s="46"/>
      <c r="ILB13" s="46"/>
      <c r="ILC13" s="46"/>
      <c r="ILD13" s="46"/>
      <c r="ILE13" s="46"/>
      <c r="ILF13" s="46"/>
      <c r="ILG13" s="46"/>
      <c r="ILH13" s="46"/>
      <c r="ILI13" s="46"/>
      <c r="ILJ13" s="46"/>
      <c r="ILK13" s="46"/>
      <c r="ILL13" s="46"/>
      <c r="ILM13" s="46"/>
      <c r="ILN13" s="46"/>
      <c r="ILO13" s="46"/>
      <c r="ILP13" s="46"/>
      <c r="ILQ13" s="46"/>
      <c r="ILR13" s="46"/>
      <c r="ILS13" s="46"/>
      <c r="ILT13" s="46"/>
      <c r="ILU13" s="46"/>
      <c r="ILV13" s="46"/>
      <c r="ILW13" s="46"/>
      <c r="ILX13" s="46"/>
      <c r="ILY13" s="46"/>
      <c r="ILZ13" s="46"/>
      <c r="IMA13" s="46"/>
      <c r="IMB13" s="46"/>
      <c r="IMC13" s="46"/>
      <c r="IMD13" s="46"/>
      <c r="IME13" s="46"/>
      <c r="IMF13" s="46"/>
      <c r="IMG13" s="46"/>
      <c r="IMH13" s="46"/>
      <c r="IMI13" s="46"/>
      <c r="IMJ13" s="46"/>
      <c r="IMK13" s="46"/>
      <c r="IML13" s="46"/>
      <c r="IMM13" s="46"/>
      <c r="IMN13" s="46"/>
      <c r="IMO13" s="46"/>
      <c r="IMP13" s="46"/>
      <c r="IMQ13" s="46"/>
      <c r="IMR13" s="46"/>
      <c r="IMS13" s="46"/>
      <c r="IMT13" s="46"/>
      <c r="IMU13" s="46"/>
      <c r="IMV13" s="46"/>
      <c r="IMW13" s="46"/>
      <c r="IMX13" s="46"/>
      <c r="IMY13" s="46"/>
      <c r="IMZ13" s="46"/>
      <c r="INA13" s="46"/>
      <c r="INB13" s="46"/>
      <c r="INC13" s="46"/>
      <c r="IND13" s="46"/>
      <c r="INE13" s="46"/>
      <c r="INF13" s="46"/>
      <c r="ING13" s="46"/>
      <c r="INH13" s="46"/>
      <c r="INI13" s="46"/>
      <c r="INJ13" s="46"/>
      <c r="INK13" s="46"/>
      <c r="INL13" s="46"/>
      <c r="INM13" s="46"/>
      <c r="INN13" s="46"/>
      <c r="INO13" s="46"/>
      <c r="INP13" s="46"/>
      <c r="INQ13" s="46"/>
      <c r="INR13" s="46"/>
      <c r="INS13" s="46"/>
      <c r="INT13" s="46"/>
      <c r="INU13" s="46"/>
      <c r="INV13" s="46"/>
      <c r="INW13" s="46"/>
      <c r="INX13" s="46"/>
      <c r="INY13" s="46"/>
      <c r="INZ13" s="46"/>
      <c r="IOA13" s="46"/>
      <c r="IOB13" s="46"/>
      <c r="IOC13" s="46"/>
      <c r="IOD13" s="46"/>
      <c r="IOE13" s="46"/>
      <c r="IOF13" s="46"/>
      <c r="IOG13" s="46"/>
      <c r="IOH13" s="46"/>
      <c r="IOI13" s="46"/>
      <c r="IOJ13" s="46"/>
      <c r="IOK13" s="46"/>
      <c r="IOL13" s="46"/>
      <c r="IOM13" s="46"/>
      <c r="ION13" s="46"/>
      <c r="IOO13" s="46"/>
      <c r="IOP13" s="46"/>
      <c r="IOQ13" s="46"/>
      <c r="IOR13" s="46"/>
      <c r="IOS13" s="46"/>
      <c r="IOT13" s="46"/>
      <c r="IOU13" s="46"/>
      <c r="IOV13" s="46"/>
      <c r="IOW13" s="46"/>
      <c r="IOX13" s="46"/>
      <c r="IOY13" s="46"/>
      <c r="IOZ13" s="46"/>
      <c r="IPA13" s="46"/>
      <c r="IPB13" s="46"/>
      <c r="IPC13" s="46"/>
      <c r="IPD13" s="46"/>
      <c r="IPE13" s="46"/>
      <c r="IPF13" s="46"/>
      <c r="IPG13" s="46"/>
      <c r="IPH13" s="46"/>
      <c r="IPI13" s="46"/>
      <c r="IPJ13" s="46"/>
      <c r="IPK13" s="46"/>
      <c r="IPL13" s="46"/>
      <c r="IPM13" s="46"/>
      <c r="IPN13" s="46"/>
      <c r="IPO13" s="46"/>
      <c r="IPP13" s="46"/>
      <c r="IPQ13" s="46"/>
      <c r="IPR13" s="46"/>
      <c r="IPS13" s="46"/>
      <c r="IPT13" s="46"/>
      <c r="IPU13" s="46"/>
      <c r="IPV13" s="46"/>
      <c r="IPW13" s="46"/>
      <c r="IPX13" s="46"/>
      <c r="IPY13" s="46"/>
      <c r="IPZ13" s="46"/>
      <c r="IQA13" s="46"/>
      <c r="IQB13" s="46"/>
      <c r="IQC13" s="46"/>
      <c r="IQD13" s="46"/>
      <c r="IQE13" s="46"/>
      <c r="IQF13" s="46"/>
      <c r="IQG13" s="46"/>
      <c r="IQH13" s="46"/>
      <c r="IQI13" s="46"/>
      <c r="IQJ13" s="46"/>
      <c r="IQK13" s="46"/>
      <c r="IQL13" s="46"/>
      <c r="IQM13" s="46"/>
      <c r="IQN13" s="46"/>
      <c r="IQO13" s="46"/>
      <c r="IQP13" s="46"/>
      <c r="IQQ13" s="46"/>
      <c r="IQR13" s="46"/>
      <c r="IQS13" s="46"/>
      <c r="IQT13" s="46"/>
      <c r="IQU13" s="46"/>
      <c r="IQV13" s="46"/>
      <c r="IQW13" s="46"/>
      <c r="IQX13" s="46"/>
      <c r="IQY13" s="46"/>
      <c r="IQZ13" s="46"/>
      <c r="IRA13" s="46"/>
      <c r="IRB13" s="46"/>
      <c r="IRC13" s="46"/>
      <c r="IRD13" s="46"/>
      <c r="IRE13" s="46"/>
      <c r="IRF13" s="46"/>
      <c r="IRG13" s="46"/>
      <c r="IRH13" s="46"/>
      <c r="IRI13" s="46"/>
      <c r="IRJ13" s="46"/>
      <c r="IRK13" s="46"/>
      <c r="IRL13" s="46"/>
      <c r="IRM13" s="46"/>
      <c r="IRN13" s="46"/>
      <c r="IRO13" s="46"/>
      <c r="IRP13" s="46"/>
      <c r="IRQ13" s="46"/>
      <c r="IRR13" s="46"/>
      <c r="IRS13" s="46"/>
      <c r="IRT13" s="46"/>
      <c r="IRU13" s="46"/>
      <c r="IRV13" s="46"/>
      <c r="IRW13" s="46"/>
      <c r="IRX13" s="46"/>
      <c r="IRY13" s="46"/>
      <c r="IRZ13" s="46"/>
      <c r="ISA13" s="46"/>
      <c r="ISB13" s="46"/>
      <c r="ISC13" s="46"/>
      <c r="ISD13" s="46"/>
      <c r="ISE13" s="46"/>
      <c r="ISF13" s="46"/>
      <c r="ISG13" s="46"/>
      <c r="ISH13" s="46"/>
      <c r="ISI13" s="46"/>
      <c r="ISJ13" s="46"/>
      <c r="ISK13" s="46"/>
      <c r="ISL13" s="46"/>
      <c r="ISM13" s="46"/>
      <c r="ISN13" s="46"/>
      <c r="ISO13" s="46"/>
      <c r="ISP13" s="46"/>
      <c r="ISQ13" s="46"/>
      <c r="ISR13" s="46"/>
      <c r="ISS13" s="46"/>
      <c r="IST13" s="46"/>
      <c r="ISU13" s="46"/>
      <c r="ISV13" s="46"/>
      <c r="ISW13" s="46"/>
      <c r="ISX13" s="46"/>
      <c r="ISY13" s="46"/>
      <c r="ISZ13" s="46"/>
      <c r="ITA13" s="46"/>
      <c r="ITB13" s="46"/>
      <c r="ITC13" s="46"/>
      <c r="ITD13" s="46"/>
      <c r="ITE13" s="46"/>
      <c r="ITF13" s="46"/>
      <c r="ITG13" s="46"/>
      <c r="ITH13" s="46"/>
      <c r="ITI13" s="46"/>
      <c r="ITJ13" s="46"/>
      <c r="ITK13" s="46"/>
      <c r="ITL13" s="46"/>
      <c r="ITM13" s="46"/>
      <c r="ITN13" s="46"/>
      <c r="ITO13" s="46"/>
      <c r="ITP13" s="46"/>
      <c r="ITQ13" s="46"/>
      <c r="ITR13" s="46"/>
      <c r="ITS13" s="46"/>
      <c r="ITT13" s="46"/>
      <c r="ITU13" s="46"/>
      <c r="ITV13" s="46"/>
      <c r="ITW13" s="46"/>
      <c r="ITX13" s="46"/>
      <c r="ITY13" s="46"/>
      <c r="ITZ13" s="46"/>
      <c r="IUA13" s="46"/>
      <c r="IUB13" s="46"/>
      <c r="IUC13" s="46"/>
      <c r="IUD13" s="46"/>
      <c r="IUE13" s="46"/>
      <c r="IUF13" s="46"/>
      <c r="IUG13" s="46"/>
      <c r="IUH13" s="46"/>
      <c r="IUI13" s="46"/>
      <c r="IUJ13" s="46"/>
      <c r="IUK13" s="46"/>
      <c r="IUL13" s="46"/>
      <c r="IUM13" s="46"/>
      <c r="IUN13" s="46"/>
      <c r="IUO13" s="46"/>
      <c r="IUP13" s="46"/>
      <c r="IUQ13" s="46"/>
      <c r="IUR13" s="46"/>
      <c r="IUS13" s="46"/>
      <c r="IUT13" s="46"/>
      <c r="IUU13" s="46"/>
      <c r="IUV13" s="46"/>
      <c r="IUW13" s="46"/>
      <c r="IUX13" s="46"/>
      <c r="IUY13" s="46"/>
      <c r="IUZ13" s="46"/>
      <c r="IVA13" s="46"/>
      <c r="IVB13" s="46"/>
      <c r="IVC13" s="46"/>
      <c r="IVD13" s="46"/>
      <c r="IVE13" s="46"/>
      <c r="IVF13" s="46"/>
      <c r="IVG13" s="46"/>
      <c r="IVH13" s="46"/>
      <c r="IVI13" s="46"/>
      <c r="IVJ13" s="46"/>
      <c r="IVK13" s="46"/>
      <c r="IVL13" s="46"/>
      <c r="IVM13" s="46"/>
      <c r="IVN13" s="46"/>
      <c r="IVO13" s="46"/>
      <c r="IVP13" s="46"/>
      <c r="IVQ13" s="46"/>
      <c r="IVR13" s="46"/>
      <c r="IVS13" s="46"/>
      <c r="IVT13" s="46"/>
      <c r="IVU13" s="46"/>
      <c r="IVV13" s="46"/>
      <c r="IVW13" s="46"/>
      <c r="IVX13" s="46"/>
      <c r="IVY13" s="46"/>
      <c r="IVZ13" s="46"/>
      <c r="IWA13" s="46"/>
      <c r="IWB13" s="46"/>
      <c r="IWC13" s="46"/>
      <c r="IWD13" s="46"/>
      <c r="IWE13" s="46"/>
      <c r="IWF13" s="46"/>
      <c r="IWG13" s="46"/>
      <c r="IWH13" s="46"/>
      <c r="IWI13" s="46"/>
      <c r="IWJ13" s="46"/>
      <c r="IWK13" s="46"/>
      <c r="IWL13" s="46"/>
      <c r="IWM13" s="46"/>
      <c r="IWN13" s="46"/>
      <c r="IWO13" s="46"/>
      <c r="IWP13" s="46"/>
      <c r="IWQ13" s="46"/>
      <c r="IWR13" s="46"/>
      <c r="IWS13" s="46"/>
      <c r="IWT13" s="46"/>
      <c r="IWU13" s="46"/>
      <c r="IWV13" s="46"/>
      <c r="IWW13" s="46"/>
      <c r="IWX13" s="46"/>
      <c r="IWY13" s="46"/>
      <c r="IWZ13" s="46"/>
      <c r="IXA13" s="46"/>
      <c r="IXB13" s="46"/>
      <c r="IXC13" s="46"/>
      <c r="IXD13" s="46"/>
      <c r="IXE13" s="46"/>
      <c r="IXF13" s="46"/>
      <c r="IXG13" s="46"/>
      <c r="IXH13" s="46"/>
      <c r="IXI13" s="46"/>
      <c r="IXJ13" s="46"/>
      <c r="IXK13" s="46"/>
      <c r="IXL13" s="46"/>
      <c r="IXM13" s="46"/>
      <c r="IXN13" s="46"/>
      <c r="IXO13" s="46"/>
      <c r="IXP13" s="46"/>
      <c r="IXQ13" s="46"/>
      <c r="IXR13" s="46"/>
      <c r="IXS13" s="46"/>
      <c r="IXT13" s="46"/>
      <c r="IXU13" s="46"/>
      <c r="IXV13" s="46"/>
      <c r="IXW13" s="46"/>
      <c r="IXX13" s="46"/>
      <c r="IXY13" s="46"/>
      <c r="IXZ13" s="46"/>
      <c r="IYA13" s="46"/>
      <c r="IYB13" s="46"/>
      <c r="IYC13" s="46"/>
      <c r="IYD13" s="46"/>
      <c r="IYE13" s="46"/>
      <c r="IYF13" s="46"/>
      <c r="IYG13" s="46"/>
      <c r="IYH13" s="46"/>
      <c r="IYI13" s="46"/>
      <c r="IYJ13" s="46"/>
      <c r="IYK13" s="46"/>
      <c r="IYL13" s="46"/>
      <c r="IYM13" s="46"/>
      <c r="IYN13" s="46"/>
      <c r="IYO13" s="46"/>
      <c r="IYP13" s="46"/>
      <c r="IYQ13" s="46"/>
      <c r="IYR13" s="46"/>
      <c r="IYS13" s="46"/>
      <c r="IYT13" s="46"/>
      <c r="IYU13" s="46"/>
      <c r="IYV13" s="46"/>
      <c r="IYW13" s="46"/>
      <c r="IYX13" s="46"/>
      <c r="IYY13" s="46"/>
      <c r="IYZ13" s="46"/>
      <c r="IZA13" s="46"/>
      <c r="IZB13" s="46"/>
      <c r="IZC13" s="46"/>
      <c r="IZD13" s="46"/>
      <c r="IZE13" s="46"/>
      <c r="IZF13" s="46"/>
      <c r="IZG13" s="46"/>
      <c r="IZH13" s="46"/>
      <c r="IZI13" s="46"/>
      <c r="IZJ13" s="46"/>
      <c r="IZK13" s="46"/>
      <c r="IZL13" s="46"/>
      <c r="IZM13" s="46"/>
      <c r="IZN13" s="46"/>
      <c r="IZO13" s="46"/>
      <c r="IZP13" s="46"/>
      <c r="IZQ13" s="46"/>
      <c r="IZR13" s="46"/>
      <c r="IZS13" s="46"/>
      <c r="IZT13" s="46"/>
      <c r="IZU13" s="46"/>
      <c r="IZV13" s="46"/>
      <c r="IZW13" s="46"/>
      <c r="IZX13" s="46"/>
      <c r="IZY13" s="46"/>
      <c r="IZZ13" s="46"/>
      <c r="JAA13" s="46"/>
      <c r="JAB13" s="46"/>
      <c r="JAC13" s="46"/>
      <c r="JAD13" s="46"/>
      <c r="JAE13" s="46"/>
      <c r="JAF13" s="46"/>
      <c r="JAG13" s="46"/>
      <c r="JAH13" s="46"/>
      <c r="JAI13" s="46"/>
      <c r="JAJ13" s="46"/>
      <c r="JAK13" s="46"/>
      <c r="JAL13" s="46"/>
      <c r="JAM13" s="46"/>
      <c r="JAN13" s="46"/>
      <c r="JAO13" s="46"/>
      <c r="JAP13" s="46"/>
      <c r="JAQ13" s="46"/>
      <c r="JAR13" s="46"/>
      <c r="JAS13" s="46"/>
      <c r="JAT13" s="46"/>
      <c r="JAU13" s="46"/>
      <c r="JAV13" s="46"/>
      <c r="JAW13" s="46"/>
      <c r="JAX13" s="46"/>
      <c r="JAY13" s="46"/>
      <c r="JAZ13" s="46"/>
      <c r="JBA13" s="46"/>
      <c r="JBB13" s="46"/>
      <c r="JBC13" s="46"/>
      <c r="JBD13" s="46"/>
      <c r="JBE13" s="46"/>
      <c r="JBF13" s="46"/>
      <c r="JBG13" s="46"/>
      <c r="JBH13" s="46"/>
      <c r="JBI13" s="46"/>
      <c r="JBJ13" s="46"/>
      <c r="JBK13" s="46"/>
      <c r="JBL13" s="46"/>
      <c r="JBM13" s="46"/>
      <c r="JBN13" s="46"/>
      <c r="JBO13" s="46"/>
      <c r="JBP13" s="46"/>
      <c r="JBQ13" s="46"/>
      <c r="JBR13" s="46"/>
      <c r="JBS13" s="46"/>
      <c r="JBT13" s="46"/>
      <c r="JBU13" s="46"/>
      <c r="JBV13" s="46"/>
      <c r="JBW13" s="46"/>
      <c r="JBX13" s="46"/>
      <c r="JBY13" s="46"/>
      <c r="JBZ13" s="46"/>
      <c r="JCA13" s="46"/>
      <c r="JCB13" s="46"/>
      <c r="JCC13" s="46"/>
      <c r="JCD13" s="46"/>
      <c r="JCE13" s="46"/>
      <c r="JCF13" s="46"/>
      <c r="JCG13" s="46"/>
      <c r="JCH13" s="46"/>
      <c r="JCI13" s="46"/>
      <c r="JCJ13" s="46"/>
      <c r="JCK13" s="46"/>
      <c r="JCL13" s="46"/>
      <c r="JCM13" s="46"/>
      <c r="JCN13" s="46"/>
      <c r="JCO13" s="46"/>
      <c r="JCP13" s="46"/>
      <c r="JCQ13" s="46"/>
      <c r="JCR13" s="46"/>
      <c r="JCS13" s="46"/>
      <c r="JCT13" s="46"/>
      <c r="JCU13" s="46"/>
      <c r="JCV13" s="46"/>
      <c r="JCW13" s="46"/>
      <c r="JCX13" s="46"/>
      <c r="JCY13" s="46"/>
      <c r="JCZ13" s="46"/>
      <c r="JDA13" s="46"/>
      <c r="JDB13" s="46"/>
      <c r="JDC13" s="46"/>
      <c r="JDD13" s="46"/>
      <c r="JDE13" s="46"/>
      <c r="JDF13" s="46"/>
      <c r="JDG13" s="46"/>
      <c r="JDH13" s="46"/>
      <c r="JDI13" s="46"/>
      <c r="JDJ13" s="46"/>
      <c r="JDK13" s="46"/>
      <c r="JDL13" s="46"/>
      <c r="JDM13" s="46"/>
      <c r="JDN13" s="46"/>
      <c r="JDO13" s="46"/>
      <c r="JDP13" s="46"/>
      <c r="JDQ13" s="46"/>
      <c r="JDR13" s="46"/>
      <c r="JDS13" s="46"/>
      <c r="JDT13" s="46"/>
      <c r="JDU13" s="46"/>
      <c r="JDV13" s="46"/>
      <c r="JDW13" s="46"/>
      <c r="JDX13" s="46"/>
      <c r="JDY13" s="46"/>
      <c r="JDZ13" s="46"/>
      <c r="JEA13" s="46"/>
      <c r="JEB13" s="46"/>
      <c r="JEC13" s="46"/>
      <c r="JED13" s="46"/>
      <c r="JEE13" s="46"/>
      <c r="JEF13" s="46"/>
      <c r="JEG13" s="46"/>
      <c r="JEH13" s="46"/>
      <c r="JEI13" s="46"/>
      <c r="JEJ13" s="46"/>
      <c r="JEK13" s="46"/>
      <c r="JEL13" s="46"/>
      <c r="JEM13" s="46"/>
      <c r="JEN13" s="46"/>
      <c r="JEO13" s="46"/>
      <c r="JEP13" s="46"/>
      <c r="JEQ13" s="46"/>
      <c r="JER13" s="46"/>
      <c r="JES13" s="46"/>
      <c r="JET13" s="46"/>
      <c r="JEU13" s="46"/>
      <c r="JEV13" s="46"/>
      <c r="JEW13" s="46"/>
      <c r="JEX13" s="46"/>
      <c r="JEY13" s="46"/>
      <c r="JEZ13" s="46"/>
      <c r="JFA13" s="46"/>
      <c r="JFB13" s="46"/>
      <c r="JFC13" s="46"/>
      <c r="JFD13" s="46"/>
      <c r="JFE13" s="46"/>
      <c r="JFF13" s="46"/>
      <c r="JFG13" s="46"/>
      <c r="JFH13" s="46"/>
      <c r="JFI13" s="46"/>
      <c r="JFJ13" s="46"/>
      <c r="JFK13" s="46"/>
      <c r="JFL13" s="46"/>
      <c r="JFM13" s="46"/>
      <c r="JFN13" s="46"/>
      <c r="JFO13" s="46"/>
      <c r="JFP13" s="46"/>
      <c r="JFQ13" s="46"/>
      <c r="JFR13" s="46"/>
      <c r="JFS13" s="46"/>
      <c r="JFT13" s="46"/>
      <c r="JFU13" s="46"/>
      <c r="JFV13" s="46"/>
      <c r="JFW13" s="46"/>
      <c r="JFX13" s="46"/>
      <c r="JFY13" s="46"/>
      <c r="JFZ13" s="46"/>
      <c r="JGA13" s="46"/>
      <c r="JGB13" s="46"/>
      <c r="JGC13" s="46"/>
      <c r="JGD13" s="46"/>
      <c r="JGE13" s="46"/>
      <c r="JGF13" s="46"/>
      <c r="JGG13" s="46"/>
      <c r="JGH13" s="46"/>
      <c r="JGI13" s="46"/>
      <c r="JGJ13" s="46"/>
      <c r="JGK13" s="46"/>
      <c r="JGL13" s="46"/>
      <c r="JGM13" s="46"/>
      <c r="JGN13" s="46"/>
      <c r="JGO13" s="46"/>
      <c r="JGP13" s="46"/>
      <c r="JGQ13" s="46"/>
      <c r="JGR13" s="46"/>
      <c r="JGS13" s="46"/>
      <c r="JGT13" s="46"/>
      <c r="JGU13" s="46"/>
      <c r="JGV13" s="46"/>
      <c r="JGW13" s="46"/>
      <c r="JGX13" s="46"/>
      <c r="JGY13" s="46"/>
      <c r="JGZ13" s="46"/>
      <c r="JHA13" s="46"/>
      <c r="JHB13" s="46"/>
      <c r="JHC13" s="46"/>
      <c r="JHD13" s="46"/>
      <c r="JHE13" s="46"/>
      <c r="JHF13" s="46"/>
      <c r="JHG13" s="46"/>
      <c r="JHH13" s="46"/>
      <c r="JHI13" s="46"/>
      <c r="JHJ13" s="46"/>
      <c r="JHK13" s="46"/>
      <c r="JHL13" s="46"/>
      <c r="JHM13" s="46"/>
      <c r="JHN13" s="46"/>
      <c r="JHO13" s="46"/>
      <c r="JHP13" s="46"/>
      <c r="JHQ13" s="46"/>
      <c r="JHR13" s="46"/>
      <c r="JHS13" s="46"/>
      <c r="JHT13" s="46"/>
      <c r="JHU13" s="46"/>
      <c r="JHV13" s="46"/>
      <c r="JHW13" s="46"/>
      <c r="JHX13" s="46"/>
      <c r="JHY13" s="46"/>
      <c r="JHZ13" s="46"/>
      <c r="JIA13" s="46"/>
      <c r="JIB13" s="46"/>
      <c r="JIC13" s="46"/>
      <c r="JID13" s="46"/>
      <c r="JIE13" s="46"/>
      <c r="JIF13" s="46"/>
      <c r="JIG13" s="46"/>
      <c r="JIH13" s="46"/>
      <c r="JII13" s="46"/>
      <c r="JIJ13" s="46"/>
      <c r="JIK13" s="46"/>
      <c r="JIL13" s="46"/>
      <c r="JIM13" s="46"/>
      <c r="JIN13" s="46"/>
      <c r="JIO13" s="46"/>
      <c r="JIP13" s="46"/>
      <c r="JIQ13" s="46"/>
      <c r="JIR13" s="46"/>
      <c r="JIS13" s="46"/>
      <c r="JIT13" s="46"/>
      <c r="JIU13" s="46"/>
      <c r="JIV13" s="46"/>
      <c r="JIW13" s="46"/>
      <c r="JIX13" s="46"/>
      <c r="JIY13" s="46"/>
      <c r="JIZ13" s="46"/>
      <c r="JJA13" s="46"/>
      <c r="JJB13" s="46"/>
      <c r="JJC13" s="46"/>
      <c r="JJD13" s="46"/>
      <c r="JJE13" s="46"/>
      <c r="JJF13" s="46"/>
      <c r="JJG13" s="46"/>
      <c r="JJH13" s="46"/>
      <c r="JJI13" s="46"/>
      <c r="JJJ13" s="46"/>
      <c r="JJK13" s="46"/>
      <c r="JJL13" s="46"/>
      <c r="JJM13" s="46"/>
      <c r="JJN13" s="46"/>
      <c r="JJO13" s="46"/>
      <c r="JJP13" s="46"/>
      <c r="JJQ13" s="46"/>
      <c r="JJR13" s="46"/>
      <c r="JJS13" s="46"/>
      <c r="JJT13" s="46"/>
      <c r="JJU13" s="46"/>
      <c r="JJV13" s="46"/>
      <c r="JJW13" s="46"/>
      <c r="JJX13" s="46"/>
      <c r="JJY13" s="46"/>
      <c r="JJZ13" s="46"/>
      <c r="JKA13" s="46"/>
      <c r="JKB13" s="46"/>
      <c r="JKC13" s="46"/>
      <c r="JKD13" s="46"/>
      <c r="JKE13" s="46"/>
      <c r="JKF13" s="46"/>
      <c r="JKG13" s="46"/>
      <c r="JKH13" s="46"/>
      <c r="JKI13" s="46"/>
      <c r="JKJ13" s="46"/>
      <c r="JKK13" s="46"/>
      <c r="JKL13" s="46"/>
      <c r="JKM13" s="46"/>
      <c r="JKN13" s="46"/>
      <c r="JKO13" s="46"/>
      <c r="JKP13" s="46"/>
      <c r="JKQ13" s="46"/>
      <c r="JKR13" s="46"/>
      <c r="JKS13" s="46"/>
      <c r="JKT13" s="46"/>
      <c r="JKU13" s="46"/>
      <c r="JKV13" s="46"/>
      <c r="JKW13" s="46"/>
      <c r="JKX13" s="46"/>
      <c r="JKY13" s="46"/>
      <c r="JKZ13" s="46"/>
      <c r="JLA13" s="46"/>
      <c r="JLB13" s="46"/>
      <c r="JLC13" s="46"/>
      <c r="JLD13" s="46"/>
      <c r="JLE13" s="46"/>
      <c r="JLF13" s="46"/>
      <c r="JLG13" s="46"/>
      <c r="JLH13" s="46"/>
      <c r="JLI13" s="46"/>
      <c r="JLJ13" s="46"/>
      <c r="JLK13" s="46"/>
      <c r="JLL13" s="46"/>
      <c r="JLM13" s="46"/>
      <c r="JLN13" s="46"/>
      <c r="JLO13" s="46"/>
      <c r="JLP13" s="46"/>
      <c r="JLQ13" s="46"/>
      <c r="JLR13" s="46"/>
      <c r="JLS13" s="46"/>
      <c r="JLT13" s="46"/>
      <c r="JLU13" s="46"/>
      <c r="JLV13" s="46"/>
      <c r="JLW13" s="46"/>
      <c r="JLX13" s="46"/>
      <c r="JLY13" s="46"/>
      <c r="JLZ13" s="46"/>
      <c r="JMA13" s="46"/>
      <c r="JMB13" s="46"/>
      <c r="JMC13" s="46"/>
      <c r="JMD13" s="46"/>
      <c r="JME13" s="46"/>
      <c r="JMF13" s="46"/>
      <c r="JMG13" s="46"/>
      <c r="JMH13" s="46"/>
      <c r="JMI13" s="46"/>
      <c r="JMJ13" s="46"/>
      <c r="JMK13" s="46"/>
      <c r="JML13" s="46"/>
      <c r="JMM13" s="46"/>
      <c r="JMN13" s="46"/>
      <c r="JMO13" s="46"/>
      <c r="JMP13" s="46"/>
      <c r="JMQ13" s="46"/>
      <c r="JMR13" s="46"/>
      <c r="JMS13" s="46"/>
      <c r="JMT13" s="46"/>
      <c r="JMU13" s="46"/>
      <c r="JMV13" s="46"/>
      <c r="JMW13" s="46"/>
      <c r="JMX13" s="46"/>
      <c r="JMY13" s="46"/>
      <c r="JMZ13" s="46"/>
      <c r="JNA13" s="46"/>
      <c r="JNB13" s="46"/>
      <c r="JNC13" s="46"/>
      <c r="JND13" s="46"/>
      <c r="JNE13" s="46"/>
      <c r="JNF13" s="46"/>
      <c r="JNG13" s="46"/>
      <c r="JNH13" s="46"/>
      <c r="JNI13" s="46"/>
      <c r="JNJ13" s="46"/>
      <c r="JNK13" s="46"/>
      <c r="JNL13" s="46"/>
      <c r="JNM13" s="46"/>
      <c r="JNN13" s="46"/>
      <c r="JNO13" s="46"/>
      <c r="JNP13" s="46"/>
      <c r="JNQ13" s="46"/>
      <c r="JNR13" s="46"/>
      <c r="JNS13" s="46"/>
      <c r="JNT13" s="46"/>
      <c r="JNU13" s="46"/>
      <c r="JNV13" s="46"/>
      <c r="JNW13" s="46"/>
      <c r="JNX13" s="46"/>
      <c r="JNY13" s="46"/>
      <c r="JNZ13" s="46"/>
      <c r="JOA13" s="46"/>
      <c r="JOB13" s="46"/>
      <c r="JOC13" s="46"/>
      <c r="JOD13" s="46"/>
      <c r="JOE13" s="46"/>
      <c r="JOF13" s="46"/>
      <c r="JOG13" s="46"/>
      <c r="JOH13" s="46"/>
      <c r="JOI13" s="46"/>
      <c r="JOJ13" s="46"/>
      <c r="JOK13" s="46"/>
      <c r="JOL13" s="46"/>
      <c r="JOM13" s="46"/>
      <c r="JON13" s="46"/>
      <c r="JOO13" s="46"/>
      <c r="JOP13" s="46"/>
      <c r="JOQ13" s="46"/>
      <c r="JOR13" s="46"/>
      <c r="JOS13" s="46"/>
      <c r="JOT13" s="46"/>
      <c r="JOU13" s="46"/>
      <c r="JOV13" s="46"/>
      <c r="JOW13" s="46"/>
      <c r="JOX13" s="46"/>
      <c r="JOY13" s="46"/>
      <c r="JOZ13" s="46"/>
      <c r="JPA13" s="46"/>
      <c r="JPB13" s="46"/>
      <c r="JPC13" s="46"/>
      <c r="JPD13" s="46"/>
      <c r="JPE13" s="46"/>
      <c r="JPF13" s="46"/>
      <c r="JPG13" s="46"/>
      <c r="JPH13" s="46"/>
      <c r="JPI13" s="46"/>
      <c r="JPJ13" s="46"/>
      <c r="JPK13" s="46"/>
      <c r="JPL13" s="46"/>
      <c r="JPM13" s="46"/>
      <c r="JPN13" s="46"/>
      <c r="JPO13" s="46"/>
      <c r="JPP13" s="46"/>
      <c r="JPQ13" s="46"/>
      <c r="JPR13" s="46"/>
      <c r="JPS13" s="46"/>
      <c r="JPT13" s="46"/>
      <c r="JPU13" s="46"/>
      <c r="JPV13" s="46"/>
      <c r="JPW13" s="46"/>
      <c r="JPX13" s="46"/>
      <c r="JPY13" s="46"/>
      <c r="JPZ13" s="46"/>
      <c r="JQA13" s="46"/>
      <c r="JQB13" s="46"/>
      <c r="JQC13" s="46"/>
      <c r="JQD13" s="46"/>
      <c r="JQE13" s="46"/>
      <c r="JQF13" s="46"/>
      <c r="JQG13" s="46"/>
      <c r="JQH13" s="46"/>
      <c r="JQI13" s="46"/>
      <c r="JQJ13" s="46"/>
      <c r="JQK13" s="46"/>
      <c r="JQL13" s="46"/>
      <c r="JQM13" s="46"/>
      <c r="JQN13" s="46"/>
      <c r="JQO13" s="46"/>
      <c r="JQP13" s="46"/>
      <c r="JQQ13" s="46"/>
      <c r="JQR13" s="46"/>
      <c r="JQS13" s="46"/>
      <c r="JQT13" s="46"/>
      <c r="JQU13" s="46"/>
      <c r="JQV13" s="46"/>
      <c r="JQW13" s="46"/>
      <c r="JQX13" s="46"/>
      <c r="JQY13" s="46"/>
      <c r="JQZ13" s="46"/>
      <c r="JRA13" s="46"/>
      <c r="JRB13" s="46"/>
      <c r="JRC13" s="46"/>
      <c r="JRD13" s="46"/>
      <c r="JRE13" s="46"/>
      <c r="JRF13" s="46"/>
      <c r="JRG13" s="46"/>
      <c r="JRH13" s="46"/>
      <c r="JRI13" s="46"/>
      <c r="JRJ13" s="46"/>
      <c r="JRK13" s="46"/>
      <c r="JRL13" s="46"/>
      <c r="JRM13" s="46"/>
      <c r="JRN13" s="46"/>
      <c r="JRO13" s="46"/>
      <c r="JRP13" s="46"/>
      <c r="JRQ13" s="46"/>
      <c r="JRR13" s="46"/>
      <c r="JRS13" s="46"/>
      <c r="JRT13" s="46"/>
      <c r="JRU13" s="46"/>
      <c r="JRV13" s="46"/>
      <c r="JRW13" s="46"/>
      <c r="JRX13" s="46"/>
      <c r="JRY13" s="46"/>
      <c r="JRZ13" s="46"/>
      <c r="JSA13" s="46"/>
      <c r="JSB13" s="46"/>
      <c r="JSC13" s="46"/>
      <c r="JSD13" s="46"/>
      <c r="JSE13" s="46"/>
      <c r="JSF13" s="46"/>
      <c r="JSG13" s="46"/>
      <c r="JSH13" s="46"/>
      <c r="JSI13" s="46"/>
      <c r="JSJ13" s="46"/>
      <c r="JSK13" s="46"/>
      <c r="JSL13" s="46"/>
      <c r="JSM13" s="46"/>
      <c r="JSN13" s="46"/>
      <c r="JSO13" s="46"/>
      <c r="JSP13" s="46"/>
      <c r="JSQ13" s="46"/>
      <c r="JSR13" s="46"/>
      <c r="JSS13" s="46"/>
      <c r="JST13" s="46"/>
      <c r="JSU13" s="46"/>
      <c r="JSV13" s="46"/>
      <c r="JSW13" s="46"/>
      <c r="JSX13" s="46"/>
      <c r="JSY13" s="46"/>
      <c r="JSZ13" s="46"/>
      <c r="JTA13" s="46"/>
      <c r="JTB13" s="46"/>
      <c r="JTC13" s="46"/>
      <c r="JTD13" s="46"/>
      <c r="JTE13" s="46"/>
      <c r="JTF13" s="46"/>
      <c r="JTG13" s="46"/>
      <c r="JTH13" s="46"/>
      <c r="JTI13" s="46"/>
      <c r="JTJ13" s="46"/>
      <c r="JTK13" s="46"/>
      <c r="JTL13" s="46"/>
      <c r="JTM13" s="46"/>
      <c r="JTN13" s="46"/>
      <c r="JTO13" s="46"/>
      <c r="JTP13" s="46"/>
      <c r="JTQ13" s="46"/>
      <c r="JTR13" s="46"/>
      <c r="JTS13" s="46"/>
      <c r="JTT13" s="46"/>
      <c r="JTU13" s="46"/>
      <c r="JTV13" s="46"/>
      <c r="JTW13" s="46"/>
      <c r="JTX13" s="46"/>
      <c r="JTY13" s="46"/>
      <c r="JTZ13" s="46"/>
      <c r="JUA13" s="46"/>
      <c r="JUB13" s="46"/>
      <c r="JUC13" s="46"/>
      <c r="JUD13" s="46"/>
      <c r="JUE13" s="46"/>
      <c r="JUF13" s="46"/>
      <c r="JUG13" s="46"/>
      <c r="JUH13" s="46"/>
      <c r="JUI13" s="46"/>
      <c r="JUJ13" s="46"/>
      <c r="JUK13" s="46"/>
      <c r="JUL13" s="46"/>
      <c r="JUM13" s="46"/>
      <c r="JUN13" s="46"/>
      <c r="JUO13" s="46"/>
      <c r="JUP13" s="46"/>
      <c r="JUQ13" s="46"/>
      <c r="JUR13" s="46"/>
      <c r="JUS13" s="46"/>
      <c r="JUT13" s="46"/>
      <c r="JUU13" s="46"/>
      <c r="JUV13" s="46"/>
      <c r="JUW13" s="46"/>
      <c r="JUX13" s="46"/>
      <c r="JUY13" s="46"/>
      <c r="JUZ13" s="46"/>
      <c r="JVA13" s="46"/>
      <c r="JVB13" s="46"/>
      <c r="JVC13" s="46"/>
      <c r="JVD13" s="46"/>
      <c r="JVE13" s="46"/>
      <c r="JVF13" s="46"/>
      <c r="JVG13" s="46"/>
      <c r="JVH13" s="46"/>
      <c r="JVI13" s="46"/>
      <c r="JVJ13" s="46"/>
      <c r="JVK13" s="46"/>
      <c r="JVL13" s="46"/>
      <c r="JVM13" s="46"/>
      <c r="JVN13" s="46"/>
      <c r="JVO13" s="46"/>
      <c r="JVP13" s="46"/>
      <c r="JVQ13" s="46"/>
      <c r="JVR13" s="46"/>
      <c r="JVS13" s="46"/>
      <c r="JVT13" s="46"/>
      <c r="JVU13" s="46"/>
      <c r="JVV13" s="46"/>
      <c r="JVW13" s="46"/>
      <c r="JVX13" s="46"/>
      <c r="JVY13" s="46"/>
      <c r="JVZ13" s="46"/>
      <c r="JWA13" s="46"/>
      <c r="JWB13" s="46"/>
      <c r="JWC13" s="46"/>
      <c r="JWD13" s="46"/>
      <c r="JWE13" s="46"/>
      <c r="JWF13" s="46"/>
      <c r="JWG13" s="46"/>
      <c r="JWH13" s="46"/>
      <c r="JWI13" s="46"/>
      <c r="JWJ13" s="46"/>
      <c r="JWK13" s="46"/>
      <c r="JWL13" s="46"/>
      <c r="JWM13" s="46"/>
      <c r="JWN13" s="46"/>
      <c r="JWO13" s="46"/>
      <c r="JWP13" s="46"/>
      <c r="JWQ13" s="46"/>
      <c r="JWR13" s="46"/>
      <c r="JWS13" s="46"/>
      <c r="JWT13" s="46"/>
      <c r="JWU13" s="46"/>
      <c r="JWV13" s="46"/>
      <c r="JWW13" s="46"/>
      <c r="JWX13" s="46"/>
      <c r="JWY13" s="46"/>
      <c r="JWZ13" s="46"/>
      <c r="JXA13" s="46"/>
      <c r="JXB13" s="46"/>
      <c r="JXC13" s="46"/>
      <c r="JXD13" s="46"/>
      <c r="JXE13" s="46"/>
      <c r="JXF13" s="46"/>
      <c r="JXG13" s="46"/>
      <c r="JXH13" s="46"/>
      <c r="JXI13" s="46"/>
      <c r="JXJ13" s="46"/>
      <c r="JXK13" s="46"/>
      <c r="JXL13" s="46"/>
      <c r="JXM13" s="46"/>
      <c r="JXN13" s="46"/>
      <c r="JXO13" s="46"/>
      <c r="JXP13" s="46"/>
      <c r="JXQ13" s="46"/>
      <c r="JXR13" s="46"/>
      <c r="JXS13" s="46"/>
      <c r="JXT13" s="46"/>
      <c r="JXU13" s="46"/>
      <c r="JXV13" s="46"/>
      <c r="JXW13" s="46"/>
      <c r="JXX13" s="46"/>
      <c r="JXY13" s="46"/>
      <c r="JXZ13" s="46"/>
      <c r="JYA13" s="46"/>
      <c r="JYB13" s="46"/>
      <c r="JYC13" s="46"/>
      <c r="JYD13" s="46"/>
      <c r="JYE13" s="46"/>
      <c r="JYF13" s="46"/>
      <c r="JYG13" s="46"/>
      <c r="JYH13" s="46"/>
      <c r="JYI13" s="46"/>
      <c r="JYJ13" s="46"/>
      <c r="JYK13" s="46"/>
      <c r="JYL13" s="46"/>
      <c r="JYM13" s="46"/>
      <c r="JYN13" s="46"/>
      <c r="JYO13" s="46"/>
      <c r="JYP13" s="46"/>
      <c r="JYQ13" s="46"/>
      <c r="JYR13" s="46"/>
      <c r="JYS13" s="46"/>
      <c r="JYT13" s="46"/>
      <c r="JYU13" s="46"/>
      <c r="JYV13" s="46"/>
      <c r="JYW13" s="46"/>
      <c r="JYX13" s="46"/>
      <c r="JYY13" s="46"/>
      <c r="JYZ13" s="46"/>
      <c r="JZA13" s="46"/>
      <c r="JZB13" s="46"/>
      <c r="JZC13" s="46"/>
      <c r="JZD13" s="46"/>
      <c r="JZE13" s="46"/>
      <c r="JZF13" s="46"/>
      <c r="JZG13" s="46"/>
      <c r="JZH13" s="46"/>
      <c r="JZI13" s="46"/>
      <c r="JZJ13" s="46"/>
      <c r="JZK13" s="46"/>
      <c r="JZL13" s="46"/>
      <c r="JZM13" s="46"/>
      <c r="JZN13" s="46"/>
      <c r="JZO13" s="46"/>
      <c r="JZP13" s="46"/>
      <c r="JZQ13" s="46"/>
      <c r="JZR13" s="46"/>
      <c r="JZS13" s="46"/>
      <c r="JZT13" s="46"/>
      <c r="JZU13" s="46"/>
      <c r="JZV13" s="46"/>
      <c r="JZW13" s="46"/>
      <c r="JZX13" s="46"/>
      <c r="JZY13" s="46"/>
      <c r="JZZ13" s="46"/>
      <c r="KAA13" s="46"/>
      <c r="KAB13" s="46"/>
      <c r="KAC13" s="46"/>
      <c r="KAD13" s="46"/>
      <c r="KAE13" s="46"/>
      <c r="KAF13" s="46"/>
      <c r="KAG13" s="46"/>
      <c r="KAH13" s="46"/>
      <c r="KAI13" s="46"/>
      <c r="KAJ13" s="46"/>
      <c r="KAK13" s="46"/>
      <c r="KAL13" s="46"/>
      <c r="KAM13" s="46"/>
      <c r="KAN13" s="46"/>
      <c r="KAO13" s="46"/>
      <c r="KAP13" s="46"/>
      <c r="KAQ13" s="46"/>
      <c r="KAR13" s="46"/>
      <c r="KAS13" s="46"/>
      <c r="KAT13" s="46"/>
      <c r="KAU13" s="46"/>
      <c r="KAV13" s="46"/>
      <c r="KAW13" s="46"/>
      <c r="KAX13" s="46"/>
      <c r="KAY13" s="46"/>
      <c r="KAZ13" s="46"/>
      <c r="KBA13" s="46"/>
      <c r="KBB13" s="46"/>
      <c r="KBC13" s="46"/>
      <c r="KBD13" s="46"/>
      <c r="KBE13" s="46"/>
      <c r="KBF13" s="46"/>
      <c r="KBG13" s="46"/>
      <c r="KBH13" s="46"/>
      <c r="KBI13" s="46"/>
      <c r="KBJ13" s="46"/>
      <c r="KBK13" s="46"/>
      <c r="KBL13" s="46"/>
      <c r="KBM13" s="46"/>
      <c r="KBN13" s="46"/>
      <c r="KBO13" s="46"/>
      <c r="KBP13" s="46"/>
      <c r="KBQ13" s="46"/>
      <c r="KBR13" s="46"/>
      <c r="KBS13" s="46"/>
      <c r="KBT13" s="46"/>
      <c r="KBU13" s="46"/>
      <c r="KBV13" s="46"/>
      <c r="KBW13" s="46"/>
      <c r="KBX13" s="46"/>
      <c r="KBY13" s="46"/>
      <c r="KBZ13" s="46"/>
      <c r="KCA13" s="46"/>
      <c r="KCB13" s="46"/>
      <c r="KCC13" s="46"/>
      <c r="KCD13" s="46"/>
      <c r="KCE13" s="46"/>
      <c r="KCF13" s="46"/>
      <c r="KCG13" s="46"/>
      <c r="KCH13" s="46"/>
      <c r="KCI13" s="46"/>
      <c r="KCJ13" s="46"/>
      <c r="KCK13" s="46"/>
      <c r="KCL13" s="46"/>
      <c r="KCM13" s="46"/>
      <c r="KCN13" s="46"/>
      <c r="KCO13" s="46"/>
      <c r="KCP13" s="46"/>
      <c r="KCQ13" s="46"/>
      <c r="KCR13" s="46"/>
      <c r="KCS13" s="46"/>
      <c r="KCT13" s="46"/>
      <c r="KCU13" s="46"/>
      <c r="KCV13" s="46"/>
      <c r="KCW13" s="46"/>
      <c r="KCX13" s="46"/>
      <c r="KCY13" s="46"/>
      <c r="KCZ13" s="46"/>
      <c r="KDA13" s="46"/>
      <c r="KDB13" s="46"/>
      <c r="KDC13" s="46"/>
      <c r="KDD13" s="46"/>
      <c r="KDE13" s="46"/>
      <c r="KDF13" s="46"/>
      <c r="KDG13" s="46"/>
      <c r="KDH13" s="46"/>
      <c r="KDI13" s="46"/>
      <c r="KDJ13" s="46"/>
      <c r="KDK13" s="46"/>
      <c r="KDL13" s="46"/>
      <c r="KDM13" s="46"/>
      <c r="KDN13" s="46"/>
      <c r="KDO13" s="46"/>
      <c r="KDP13" s="46"/>
      <c r="KDQ13" s="46"/>
      <c r="KDR13" s="46"/>
      <c r="KDS13" s="46"/>
      <c r="KDT13" s="46"/>
      <c r="KDU13" s="46"/>
      <c r="KDV13" s="46"/>
      <c r="KDW13" s="46"/>
      <c r="KDX13" s="46"/>
      <c r="KDY13" s="46"/>
      <c r="KDZ13" s="46"/>
      <c r="KEA13" s="46"/>
      <c r="KEB13" s="46"/>
      <c r="KEC13" s="46"/>
      <c r="KED13" s="46"/>
      <c r="KEE13" s="46"/>
      <c r="KEF13" s="46"/>
      <c r="KEG13" s="46"/>
      <c r="KEH13" s="46"/>
      <c r="KEI13" s="46"/>
      <c r="KEJ13" s="46"/>
      <c r="KEK13" s="46"/>
      <c r="KEL13" s="46"/>
      <c r="KEM13" s="46"/>
      <c r="KEN13" s="46"/>
      <c r="KEO13" s="46"/>
      <c r="KEP13" s="46"/>
      <c r="KEQ13" s="46"/>
      <c r="KER13" s="46"/>
      <c r="KES13" s="46"/>
      <c r="KET13" s="46"/>
      <c r="KEU13" s="46"/>
      <c r="KEV13" s="46"/>
      <c r="KEW13" s="46"/>
      <c r="KEX13" s="46"/>
      <c r="KEY13" s="46"/>
      <c r="KEZ13" s="46"/>
      <c r="KFA13" s="46"/>
      <c r="KFB13" s="46"/>
      <c r="KFC13" s="46"/>
      <c r="KFD13" s="46"/>
      <c r="KFE13" s="46"/>
      <c r="KFF13" s="46"/>
      <c r="KFG13" s="46"/>
      <c r="KFH13" s="46"/>
      <c r="KFI13" s="46"/>
      <c r="KFJ13" s="46"/>
      <c r="KFK13" s="46"/>
      <c r="KFL13" s="46"/>
      <c r="KFM13" s="46"/>
      <c r="KFN13" s="46"/>
      <c r="KFO13" s="46"/>
      <c r="KFP13" s="46"/>
      <c r="KFQ13" s="46"/>
      <c r="KFR13" s="46"/>
      <c r="KFS13" s="46"/>
      <c r="KFT13" s="46"/>
      <c r="KFU13" s="46"/>
      <c r="KFV13" s="46"/>
      <c r="KFW13" s="46"/>
      <c r="KFX13" s="46"/>
      <c r="KFY13" s="46"/>
      <c r="KFZ13" s="46"/>
      <c r="KGA13" s="46"/>
      <c r="KGB13" s="46"/>
      <c r="KGC13" s="46"/>
      <c r="KGD13" s="46"/>
      <c r="KGE13" s="46"/>
      <c r="KGF13" s="46"/>
      <c r="KGG13" s="46"/>
      <c r="KGH13" s="46"/>
      <c r="KGI13" s="46"/>
      <c r="KGJ13" s="46"/>
      <c r="KGK13" s="46"/>
      <c r="KGL13" s="46"/>
      <c r="KGM13" s="46"/>
      <c r="KGN13" s="46"/>
      <c r="KGO13" s="46"/>
      <c r="KGP13" s="46"/>
      <c r="KGQ13" s="46"/>
      <c r="KGR13" s="46"/>
      <c r="KGS13" s="46"/>
      <c r="KGT13" s="46"/>
      <c r="KGU13" s="46"/>
      <c r="KGV13" s="46"/>
      <c r="KGW13" s="46"/>
      <c r="KGX13" s="46"/>
      <c r="KGY13" s="46"/>
      <c r="KGZ13" s="46"/>
      <c r="KHA13" s="46"/>
      <c r="KHB13" s="46"/>
      <c r="KHC13" s="46"/>
      <c r="KHD13" s="46"/>
      <c r="KHE13" s="46"/>
      <c r="KHF13" s="46"/>
      <c r="KHG13" s="46"/>
      <c r="KHH13" s="46"/>
      <c r="KHI13" s="46"/>
      <c r="KHJ13" s="46"/>
      <c r="KHK13" s="46"/>
      <c r="KHL13" s="46"/>
      <c r="KHM13" s="46"/>
      <c r="KHN13" s="46"/>
      <c r="KHO13" s="46"/>
      <c r="KHP13" s="46"/>
      <c r="KHQ13" s="46"/>
      <c r="KHR13" s="46"/>
      <c r="KHS13" s="46"/>
      <c r="KHT13" s="46"/>
      <c r="KHU13" s="46"/>
      <c r="KHV13" s="46"/>
      <c r="KHW13" s="46"/>
      <c r="KHX13" s="46"/>
      <c r="KHY13" s="46"/>
      <c r="KHZ13" s="46"/>
      <c r="KIA13" s="46"/>
      <c r="KIB13" s="46"/>
      <c r="KIC13" s="46"/>
      <c r="KID13" s="46"/>
      <c r="KIE13" s="46"/>
      <c r="KIF13" s="46"/>
      <c r="KIG13" s="46"/>
      <c r="KIH13" s="46"/>
      <c r="KII13" s="46"/>
      <c r="KIJ13" s="46"/>
      <c r="KIK13" s="46"/>
      <c r="KIL13" s="46"/>
      <c r="KIM13" s="46"/>
      <c r="KIN13" s="46"/>
      <c r="KIO13" s="46"/>
      <c r="KIP13" s="46"/>
      <c r="KIQ13" s="46"/>
      <c r="KIR13" s="46"/>
      <c r="KIS13" s="46"/>
      <c r="KIT13" s="46"/>
      <c r="KIU13" s="46"/>
      <c r="KIV13" s="46"/>
      <c r="KIW13" s="46"/>
      <c r="KIX13" s="46"/>
      <c r="KIY13" s="46"/>
      <c r="KIZ13" s="46"/>
      <c r="KJA13" s="46"/>
      <c r="KJB13" s="46"/>
      <c r="KJC13" s="46"/>
      <c r="KJD13" s="46"/>
      <c r="KJE13" s="46"/>
      <c r="KJF13" s="46"/>
      <c r="KJG13" s="46"/>
      <c r="KJH13" s="46"/>
      <c r="KJI13" s="46"/>
      <c r="KJJ13" s="46"/>
      <c r="KJK13" s="46"/>
      <c r="KJL13" s="46"/>
      <c r="KJM13" s="46"/>
      <c r="KJN13" s="46"/>
      <c r="KJO13" s="46"/>
      <c r="KJP13" s="46"/>
      <c r="KJQ13" s="46"/>
      <c r="KJR13" s="46"/>
      <c r="KJS13" s="46"/>
      <c r="KJT13" s="46"/>
      <c r="KJU13" s="46"/>
      <c r="KJV13" s="46"/>
      <c r="KJW13" s="46"/>
      <c r="KJX13" s="46"/>
      <c r="KJY13" s="46"/>
      <c r="KJZ13" s="46"/>
      <c r="KKA13" s="46"/>
      <c r="KKB13" s="46"/>
      <c r="KKC13" s="46"/>
      <c r="KKD13" s="46"/>
      <c r="KKE13" s="46"/>
      <c r="KKF13" s="46"/>
      <c r="KKG13" s="46"/>
      <c r="KKH13" s="46"/>
      <c r="KKI13" s="46"/>
      <c r="KKJ13" s="46"/>
      <c r="KKK13" s="46"/>
      <c r="KKL13" s="46"/>
      <c r="KKM13" s="46"/>
      <c r="KKN13" s="46"/>
      <c r="KKO13" s="46"/>
      <c r="KKP13" s="46"/>
      <c r="KKQ13" s="46"/>
      <c r="KKR13" s="46"/>
      <c r="KKS13" s="46"/>
      <c r="KKT13" s="46"/>
      <c r="KKU13" s="46"/>
      <c r="KKV13" s="46"/>
      <c r="KKW13" s="46"/>
      <c r="KKX13" s="46"/>
      <c r="KKY13" s="46"/>
      <c r="KKZ13" s="46"/>
      <c r="KLA13" s="46"/>
      <c r="KLB13" s="46"/>
      <c r="KLC13" s="46"/>
      <c r="KLD13" s="46"/>
      <c r="KLE13" s="46"/>
      <c r="KLF13" s="46"/>
      <c r="KLG13" s="46"/>
      <c r="KLH13" s="46"/>
      <c r="KLI13" s="46"/>
      <c r="KLJ13" s="46"/>
      <c r="KLK13" s="46"/>
      <c r="KLL13" s="46"/>
      <c r="KLM13" s="46"/>
      <c r="KLN13" s="46"/>
      <c r="KLO13" s="46"/>
      <c r="KLP13" s="46"/>
      <c r="KLQ13" s="46"/>
      <c r="KLR13" s="46"/>
      <c r="KLS13" s="46"/>
      <c r="KLT13" s="46"/>
      <c r="KLU13" s="46"/>
      <c r="KLV13" s="46"/>
      <c r="KLW13" s="46"/>
      <c r="KLX13" s="46"/>
      <c r="KLY13" s="46"/>
      <c r="KLZ13" s="46"/>
      <c r="KMA13" s="46"/>
      <c r="KMB13" s="46"/>
      <c r="KMC13" s="46"/>
      <c r="KMD13" s="46"/>
      <c r="KME13" s="46"/>
      <c r="KMF13" s="46"/>
      <c r="KMG13" s="46"/>
      <c r="KMH13" s="46"/>
      <c r="KMI13" s="46"/>
      <c r="KMJ13" s="46"/>
      <c r="KMK13" s="46"/>
      <c r="KML13" s="46"/>
      <c r="KMM13" s="46"/>
      <c r="KMN13" s="46"/>
      <c r="KMO13" s="46"/>
      <c r="KMP13" s="46"/>
      <c r="KMQ13" s="46"/>
      <c r="KMR13" s="46"/>
      <c r="KMS13" s="46"/>
      <c r="KMT13" s="46"/>
      <c r="KMU13" s="46"/>
      <c r="KMV13" s="46"/>
      <c r="KMW13" s="46"/>
      <c r="KMX13" s="46"/>
      <c r="KMY13" s="46"/>
      <c r="KMZ13" s="46"/>
      <c r="KNA13" s="46"/>
      <c r="KNB13" s="46"/>
      <c r="KNC13" s="46"/>
      <c r="KND13" s="46"/>
      <c r="KNE13" s="46"/>
      <c r="KNF13" s="46"/>
      <c r="KNG13" s="46"/>
      <c r="KNH13" s="46"/>
      <c r="KNI13" s="46"/>
      <c r="KNJ13" s="46"/>
      <c r="KNK13" s="46"/>
      <c r="KNL13" s="46"/>
      <c r="KNM13" s="46"/>
      <c r="KNN13" s="46"/>
      <c r="KNO13" s="46"/>
      <c r="KNP13" s="46"/>
      <c r="KNQ13" s="46"/>
      <c r="KNR13" s="46"/>
      <c r="KNS13" s="46"/>
      <c r="KNT13" s="46"/>
      <c r="KNU13" s="46"/>
      <c r="KNV13" s="46"/>
      <c r="KNW13" s="46"/>
      <c r="KNX13" s="46"/>
      <c r="KNY13" s="46"/>
      <c r="KNZ13" s="46"/>
      <c r="KOA13" s="46"/>
      <c r="KOB13" s="46"/>
      <c r="KOC13" s="46"/>
      <c r="KOD13" s="46"/>
      <c r="KOE13" s="46"/>
      <c r="KOF13" s="46"/>
      <c r="KOG13" s="46"/>
      <c r="KOH13" s="46"/>
      <c r="KOI13" s="46"/>
      <c r="KOJ13" s="46"/>
      <c r="KOK13" s="46"/>
      <c r="KOL13" s="46"/>
      <c r="KOM13" s="46"/>
      <c r="KON13" s="46"/>
      <c r="KOO13" s="46"/>
      <c r="KOP13" s="46"/>
      <c r="KOQ13" s="46"/>
      <c r="KOR13" s="46"/>
      <c r="KOS13" s="46"/>
      <c r="KOT13" s="46"/>
      <c r="KOU13" s="46"/>
      <c r="KOV13" s="46"/>
      <c r="KOW13" s="46"/>
      <c r="KOX13" s="46"/>
      <c r="KOY13" s="46"/>
      <c r="KOZ13" s="46"/>
      <c r="KPA13" s="46"/>
      <c r="KPB13" s="46"/>
      <c r="KPC13" s="46"/>
      <c r="KPD13" s="46"/>
      <c r="KPE13" s="46"/>
      <c r="KPF13" s="46"/>
      <c r="KPG13" s="46"/>
      <c r="KPH13" s="46"/>
      <c r="KPI13" s="46"/>
      <c r="KPJ13" s="46"/>
      <c r="KPK13" s="46"/>
      <c r="KPL13" s="46"/>
      <c r="KPM13" s="46"/>
      <c r="KPN13" s="46"/>
      <c r="KPO13" s="46"/>
      <c r="KPP13" s="46"/>
      <c r="KPQ13" s="46"/>
      <c r="KPR13" s="46"/>
      <c r="KPS13" s="46"/>
      <c r="KPT13" s="46"/>
      <c r="KPU13" s="46"/>
      <c r="KPV13" s="46"/>
      <c r="KPW13" s="46"/>
      <c r="KPX13" s="46"/>
      <c r="KPY13" s="46"/>
      <c r="KPZ13" s="46"/>
      <c r="KQA13" s="46"/>
      <c r="KQB13" s="46"/>
      <c r="KQC13" s="46"/>
      <c r="KQD13" s="46"/>
      <c r="KQE13" s="46"/>
      <c r="KQF13" s="46"/>
      <c r="KQG13" s="46"/>
      <c r="KQH13" s="46"/>
      <c r="KQI13" s="46"/>
      <c r="KQJ13" s="46"/>
      <c r="KQK13" s="46"/>
      <c r="KQL13" s="46"/>
      <c r="KQM13" s="46"/>
      <c r="KQN13" s="46"/>
      <c r="KQO13" s="46"/>
      <c r="KQP13" s="46"/>
      <c r="KQQ13" s="46"/>
      <c r="KQR13" s="46"/>
      <c r="KQS13" s="46"/>
      <c r="KQT13" s="46"/>
      <c r="KQU13" s="46"/>
      <c r="KQV13" s="46"/>
      <c r="KQW13" s="46"/>
      <c r="KQX13" s="46"/>
      <c r="KQY13" s="46"/>
      <c r="KQZ13" s="46"/>
      <c r="KRA13" s="46"/>
      <c r="KRB13" s="46"/>
      <c r="KRC13" s="46"/>
      <c r="KRD13" s="46"/>
      <c r="KRE13" s="46"/>
      <c r="KRF13" s="46"/>
      <c r="KRG13" s="46"/>
      <c r="KRH13" s="46"/>
      <c r="KRI13" s="46"/>
      <c r="KRJ13" s="46"/>
      <c r="KRK13" s="46"/>
      <c r="KRL13" s="46"/>
      <c r="KRM13" s="46"/>
      <c r="KRN13" s="46"/>
      <c r="KRO13" s="46"/>
      <c r="KRP13" s="46"/>
      <c r="KRQ13" s="46"/>
      <c r="KRR13" s="46"/>
      <c r="KRS13" s="46"/>
      <c r="KRT13" s="46"/>
      <c r="KRU13" s="46"/>
      <c r="KRV13" s="46"/>
      <c r="KRW13" s="46"/>
      <c r="KRX13" s="46"/>
      <c r="KRY13" s="46"/>
      <c r="KRZ13" s="46"/>
      <c r="KSA13" s="46"/>
      <c r="KSB13" s="46"/>
      <c r="KSC13" s="46"/>
      <c r="KSD13" s="46"/>
      <c r="KSE13" s="46"/>
      <c r="KSF13" s="46"/>
      <c r="KSG13" s="46"/>
      <c r="KSH13" s="46"/>
      <c r="KSI13" s="46"/>
      <c r="KSJ13" s="46"/>
      <c r="KSK13" s="46"/>
      <c r="KSL13" s="46"/>
      <c r="KSM13" s="46"/>
      <c r="KSN13" s="46"/>
      <c r="KSO13" s="46"/>
      <c r="KSP13" s="46"/>
      <c r="KSQ13" s="46"/>
      <c r="KSR13" s="46"/>
      <c r="KSS13" s="46"/>
      <c r="KST13" s="46"/>
      <c r="KSU13" s="46"/>
      <c r="KSV13" s="46"/>
      <c r="KSW13" s="46"/>
      <c r="KSX13" s="46"/>
      <c r="KSY13" s="46"/>
      <c r="KSZ13" s="46"/>
      <c r="KTA13" s="46"/>
      <c r="KTB13" s="46"/>
      <c r="KTC13" s="46"/>
      <c r="KTD13" s="46"/>
      <c r="KTE13" s="46"/>
      <c r="KTF13" s="46"/>
      <c r="KTG13" s="46"/>
      <c r="KTH13" s="46"/>
      <c r="KTI13" s="46"/>
      <c r="KTJ13" s="46"/>
      <c r="KTK13" s="46"/>
      <c r="KTL13" s="46"/>
      <c r="KTM13" s="46"/>
      <c r="KTN13" s="46"/>
      <c r="KTO13" s="46"/>
      <c r="KTP13" s="46"/>
      <c r="KTQ13" s="46"/>
      <c r="KTR13" s="46"/>
      <c r="KTS13" s="46"/>
      <c r="KTT13" s="46"/>
      <c r="KTU13" s="46"/>
      <c r="KTV13" s="46"/>
      <c r="KTW13" s="46"/>
      <c r="KTX13" s="46"/>
      <c r="KTY13" s="46"/>
      <c r="KTZ13" s="46"/>
      <c r="KUA13" s="46"/>
      <c r="KUB13" s="46"/>
      <c r="KUC13" s="46"/>
      <c r="KUD13" s="46"/>
      <c r="KUE13" s="46"/>
      <c r="KUF13" s="46"/>
      <c r="KUG13" s="46"/>
      <c r="KUH13" s="46"/>
      <c r="KUI13" s="46"/>
      <c r="KUJ13" s="46"/>
      <c r="KUK13" s="46"/>
      <c r="KUL13" s="46"/>
      <c r="KUM13" s="46"/>
      <c r="KUN13" s="46"/>
      <c r="KUO13" s="46"/>
      <c r="KUP13" s="46"/>
      <c r="KUQ13" s="46"/>
      <c r="KUR13" s="46"/>
      <c r="KUS13" s="46"/>
      <c r="KUT13" s="46"/>
      <c r="KUU13" s="46"/>
      <c r="KUV13" s="46"/>
      <c r="KUW13" s="46"/>
      <c r="KUX13" s="46"/>
      <c r="KUY13" s="46"/>
      <c r="KUZ13" s="46"/>
      <c r="KVA13" s="46"/>
      <c r="KVB13" s="46"/>
      <c r="KVC13" s="46"/>
      <c r="KVD13" s="46"/>
      <c r="KVE13" s="46"/>
      <c r="KVF13" s="46"/>
      <c r="KVG13" s="46"/>
      <c r="KVH13" s="46"/>
      <c r="KVI13" s="46"/>
      <c r="KVJ13" s="46"/>
      <c r="KVK13" s="46"/>
      <c r="KVL13" s="46"/>
      <c r="KVM13" s="46"/>
      <c r="KVN13" s="46"/>
      <c r="KVO13" s="46"/>
      <c r="KVP13" s="46"/>
      <c r="KVQ13" s="46"/>
      <c r="KVR13" s="46"/>
      <c r="KVS13" s="46"/>
      <c r="KVT13" s="46"/>
      <c r="KVU13" s="46"/>
      <c r="KVV13" s="46"/>
      <c r="KVW13" s="46"/>
      <c r="KVX13" s="46"/>
      <c r="KVY13" s="46"/>
      <c r="KVZ13" s="46"/>
      <c r="KWA13" s="46"/>
      <c r="KWB13" s="46"/>
      <c r="KWC13" s="46"/>
      <c r="KWD13" s="46"/>
      <c r="KWE13" s="46"/>
      <c r="KWF13" s="46"/>
      <c r="KWG13" s="46"/>
      <c r="KWH13" s="46"/>
      <c r="KWI13" s="46"/>
      <c r="KWJ13" s="46"/>
      <c r="KWK13" s="46"/>
      <c r="KWL13" s="46"/>
      <c r="KWM13" s="46"/>
      <c r="KWN13" s="46"/>
      <c r="KWO13" s="46"/>
      <c r="KWP13" s="46"/>
      <c r="KWQ13" s="46"/>
      <c r="KWR13" s="46"/>
      <c r="KWS13" s="46"/>
      <c r="KWT13" s="46"/>
      <c r="KWU13" s="46"/>
      <c r="KWV13" s="46"/>
      <c r="KWW13" s="46"/>
      <c r="KWX13" s="46"/>
      <c r="KWY13" s="46"/>
      <c r="KWZ13" s="46"/>
      <c r="KXA13" s="46"/>
      <c r="KXB13" s="46"/>
      <c r="KXC13" s="46"/>
      <c r="KXD13" s="46"/>
      <c r="KXE13" s="46"/>
      <c r="KXF13" s="46"/>
      <c r="KXG13" s="46"/>
      <c r="KXH13" s="46"/>
      <c r="KXI13" s="46"/>
      <c r="KXJ13" s="46"/>
      <c r="KXK13" s="46"/>
      <c r="KXL13" s="46"/>
      <c r="KXM13" s="46"/>
      <c r="KXN13" s="46"/>
      <c r="KXO13" s="46"/>
      <c r="KXP13" s="46"/>
      <c r="KXQ13" s="46"/>
      <c r="KXR13" s="46"/>
      <c r="KXS13" s="46"/>
      <c r="KXT13" s="46"/>
      <c r="KXU13" s="46"/>
      <c r="KXV13" s="46"/>
      <c r="KXW13" s="46"/>
      <c r="KXX13" s="46"/>
      <c r="KXY13" s="46"/>
      <c r="KXZ13" s="46"/>
      <c r="KYA13" s="46"/>
      <c r="KYB13" s="46"/>
      <c r="KYC13" s="46"/>
      <c r="KYD13" s="46"/>
      <c r="KYE13" s="46"/>
      <c r="KYF13" s="46"/>
      <c r="KYG13" s="46"/>
      <c r="KYH13" s="46"/>
      <c r="KYI13" s="46"/>
      <c r="KYJ13" s="46"/>
      <c r="KYK13" s="46"/>
      <c r="KYL13" s="46"/>
      <c r="KYM13" s="46"/>
      <c r="KYN13" s="46"/>
      <c r="KYO13" s="46"/>
      <c r="KYP13" s="46"/>
      <c r="KYQ13" s="46"/>
      <c r="KYR13" s="46"/>
      <c r="KYS13" s="46"/>
      <c r="KYT13" s="46"/>
      <c r="KYU13" s="46"/>
      <c r="KYV13" s="46"/>
      <c r="KYW13" s="46"/>
      <c r="KYX13" s="46"/>
      <c r="KYY13" s="46"/>
      <c r="KYZ13" s="46"/>
      <c r="KZA13" s="46"/>
      <c r="KZB13" s="46"/>
      <c r="KZC13" s="46"/>
      <c r="KZD13" s="46"/>
      <c r="KZE13" s="46"/>
      <c r="KZF13" s="46"/>
      <c r="KZG13" s="46"/>
      <c r="KZH13" s="46"/>
      <c r="KZI13" s="46"/>
      <c r="KZJ13" s="46"/>
      <c r="KZK13" s="46"/>
      <c r="KZL13" s="46"/>
      <c r="KZM13" s="46"/>
      <c r="KZN13" s="46"/>
      <c r="KZO13" s="46"/>
      <c r="KZP13" s="46"/>
      <c r="KZQ13" s="46"/>
      <c r="KZR13" s="46"/>
      <c r="KZS13" s="46"/>
      <c r="KZT13" s="46"/>
      <c r="KZU13" s="46"/>
      <c r="KZV13" s="46"/>
      <c r="KZW13" s="46"/>
      <c r="KZX13" s="46"/>
      <c r="KZY13" s="46"/>
      <c r="KZZ13" s="46"/>
      <c r="LAA13" s="46"/>
      <c r="LAB13" s="46"/>
      <c r="LAC13" s="46"/>
      <c r="LAD13" s="46"/>
      <c r="LAE13" s="46"/>
      <c r="LAF13" s="46"/>
      <c r="LAG13" s="46"/>
      <c r="LAH13" s="46"/>
      <c r="LAI13" s="46"/>
      <c r="LAJ13" s="46"/>
      <c r="LAK13" s="46"/>
      <c r="LAL13" s="46"/>
      <c r="LAM13" s="46"/>
      <c r="LAN13" s="46"/>
      <c r="LAO13" s="46"/>
      <c r="LAP13" s="46"/>
      <c r="LAQ13" s="46"/>
      <c r="LAR13" s="46"/>
      <c r="LAS13" s="46"/>
      <c r="LAT13" s="46"/>
      <c r="LAU13" s="46"/>
      <c r="LAV13" s="46"/>
      <c r="LAW13" s="46"/>
      <c r="LAX13" s="46"/>
      <c r="LAY13" s="46"/>
      <c r="LAZ13" s="46"/>
      <c r="LBA13" s="46"/>
      <c r="LBB13" s="46"/>
      <c r="LBC13" s="46"/>
      <c r="LBD13" s="46"/>
      <c r="LBE13" s="46"/>
      <c r="LBF13" s="46"/>
      <c r="LBG13" s="46"/>
      <c r="LBH13" s="46"/>
      <c r="LBI13" s="46"/>
      <c r="LBJ13" s="46"/>
      <c r="LBK13" s="46"/>
      <c r="LBL13" s="46"/>
      <c r="LBM13" s="46"/>
      <c r="LBN13" s="46"/>
      <c r="LBO13" s="46"/>
      <c r="LBP13" s="46"/>
      <c r="LBQ13" s="46"/>
      <c r="LBR13" s="46"/>
      <c r="LBS13" s="46"/>
      <c r="LBT13" s="46"/>
      <c r="LBU13" s="46"/>
      <c r="LBV13" s="46"/>
      <c r="LBW13" s="46"/>
      <c r="LBX13" s="46"/>
      <c r="LBY13" s="46"/>
      <c r="LBZ13" s="46"/>
      <c r="LCA13" s="46"/>
      <c r="LCB13" s="46"/>
      <c r="LCC13" s="46"/>
      <c r="LCD13" s="46"/>
      <c r="LCE13" s="46"/>
      <c r="LCF13" s="46"/>
      <c r="LCG13" s="46"/>
      <c r="LCH13" s="46"/>
      <c r="LCI13" s="46"/>
      <c r="LCJ13" s="46"/>
      <c r="LCK13" s="46"/>
      <c r="LCL13" s="46"/>
      <c r="LCM13" s="46"/>
      <c r="LCN13" s="46"/>
      <c r="LCO13" s="46"/>
      <c r="LCP13" s="46"/>
      <c r="LCQ13" s="46"/>
      <c r="LCR13" s="46"/>
      <c r="LCS13" s="46"/>
      <c r="LCT13" s="46"/>
      <c r="LCU13" s="46"/>
      <c r="LCV13" s="46"/>
      <c r="LCW13" s="46"/>
      <c r="LCX13" s="46"/>
      <c r="LCY13" s="46"/>
      <c r="LCZ13" s="46"/>
      <c r="LDA13" s="46"/>
      <c r="LDB13" s="46"/>
      <c r="LDC13" s="46"/>
      <c r="LDD13" s="46"/>
      <c r="LDE13" s="46"/>
      <c r="LDF13" s="46"/>
      <c r="LDG13" s="46"/>
      <c r="LDH13" s="46"/>
      <c r="LDI13" s="46"/>
      <c r="LDJ13" s="46"/>
      <c r="LDK13" s="46"/>
      <c r="LDL13" s="46"/>
      <c r="LDM13" s="46"/>
      <c r="LDN13" s="46"/>
      <c r="LDO13" s="46"/>
      <c r="LDP13" s="46"/>
      <c r="LDQ13" s="46"/>
      <c r="LDR13" s="46"/>
      <c r="LDS13" s="46"/>
      <c r="LDT13" s="46"/>
      <c r="LDU13" s="46"/>
      <c r="LDV13" s="46"/>
      <c r="LDW13" s="46"/>
      <c r="LDX13" s="46"/>
      <c r="LDY13" s="46"/>
      <c r="LDZ13" s="46"/>
      <c r="LEA13" s="46"/>
      <c r="LEB13" s="46"/>
      <c r="LEC13" s="46"/>
      <c r="LED13" s="46"/>
      <c r="LEE13" s="46"/>
      <c r="LEF13" s="46"/>
      <c r="LEG13" s="46"/>
      <c r="LEH13" s="46"/>
      <c r="LEI13" s="46"/>
      <c r="LEJ13" s="46"/>
      <c r="LEK13" s="46"/>
      <c r="LEL13" s="46"/>
      <c r="LEM13" s="46"/>
      <c r="LEN13" s="46"/>
      <c r="LEO13" s="46"/>
      <c r="LEP13" s="46"/>
      <c r="LEQ13" s="46"/>
      <c r="LER13" s="46"/>
      <c r="LES13" s="46"/>
      <c r="LET13" s="46"/>
      <c r="LEU13" s="46"/>
      <c r="LEV13" s="46"/>
      <c r="LEW13" s="46"/>
      <c r="LEX13" s="46"/>
      <c r="LEY13" s="46"/>
      <c r="LEZ13" s="46"/>
      <c r="LFA13" s="46"/>
      <c r="LFB13" s="46"/>
      <c r="LFC13" s="46"/>
      <c r="LFD13" s="46"/>
      <c r="LFE13" s="46"/>
      <c r="LFF13" s="46"/>
      <c r="LFG13" s="46"/>
      <c r="LFH13" s="46"/>
      <c r="LFI13" s="46"/>
      <c r="LFJ13" s="46"/>
      <c r="LFK13" s="46"/>
      <c r="LFL13" s="46"/>
      <c r="LFM13" s="46"/>
      <c r="LFN13" s="46"/>
      <c r="LFO13" s="46"/>
      <c r="LFP13" s="46"/>
      <c r="LFQ13" s="46"/>
      <c r="LFR13" s="46"/>
      <c r="LFS13" s="46"/>
      <c r="LFT13" s="46"/>
      <c r="LFU13" s="46"/>
      <c r="LFV13" s="46"/>
      <c r="LFW13" s="46"/>
      <c r="LFX13" s="46"/>
      <c r="LFY13" s="46"/>
      <c r="LFZ13" s="46"/>
      <c r="LGA13" s="46"/>
      <c r="LGB13" s="46"/>
      <c r="LGC13" s="46"/>
      <c r="LGD13" s="46"/>
      <c r="LGE13" s="46"/>
      <c r="LGF13" s="46"/>
      <c r="LGG13" s="46"/>
      <c r="LGH13" s="46"/>
      <c r="LGI13" s="46"/>
      <c r="LGJ13" s="46"/>
      <c r="LGK13" s="46"/>
      <c r="LGL13" s="46"/>
      <c r="LGM13" s="46"/>
      <c r="LGN13" s="46"/>
      <c r="LGO13" s="46"/>
      <c r="LGP13" s="46"/>
      <c r="LGQ13" s="46"/>
      <c r="LGR13" s="46"/>
      <c r="LGS13" s="46"/>
      <c r="LGT13" s="46"/>
      <c r="LGU13" s="46"/>
      <c r="LGV13" s="46"/>
      <c r="LGW13" s="46"/>
      <c r="LGX13" s="46"/>
      <c r="LGY13" s="46"/>
      <c r="LGZ13" s="46"/>
      <c r="LHA13" s="46"/>
      <c r="LHB13" s="46"/>
      <c r="LHC13" s="46"/>
      <c r="LHD13" s="46"/>
      <c r="LHE13" s="46"/>
      <c r="LHF13" s="46"/>
      <c r="LHG13" s="46"/>
      <c r="LHH13" s="46"/>
      <c r="LHI13" s="46"/>
      <c r="LHJ13" s="46"/>
      <c r="LHK13" s="46"/>
      <c r="LHL13" s="46"/>
      <c r="LHM13" s="46"/>
      <c r="LHN13" s="46"/>
      <c r="LHO13" s="46"/>
      <c r="LHP13" s="46"/>
      <c r="LHQ13" s="46"/>
      <c r="LHR13" s="46"/>
      <c r="LHS13" s="46"/>
      <c r="LHT13" s="46"/>
      <c r="LHU13" s="46"/>
      <c r="LHV13" s="46"/>
      <c r="LHW13" s="46"/>
      <c r="LHX13" s="46"/>
      <c r="LHY13" s="46"/>
      <c r="LHZ13" s="46"/>
      <c r="LIA13" s="46"/>
      <c r="LIB13" s="46"/>
      <c r="LIC13" s="46"/>
      <c r="LID13" s="46"/>
      <c r="LIE13" s="46"/>
      <c r="LIF13" s="46"/>
      <c r="LIG13" s="46"/>
      <c r="LIH13" s="46"/>
      <c r="LII13" s="46"/>
      <c r="LIJ13" s="46"/>
      <c r="LIK13" s="46"/>
      <c r="LIL13" s="46"/>
      <c r="LIM13" s="46"/>
      <c r="LIN13" s="46"/>
      <c r="LIO13" s="46"/>
      <c r="LIP13" s="46"/>
      <c r="LIQ13" s="46"/>
      <c r="LIR13" s="46"/>
      <c r="LIS13" s="46"/>
      <c r="LIT13" s="46"/>
      <c r="LIU13" s="46"/>
      <c r="LIV13" s="46"/>
      <c r="LIW13" s="46"/>
      <c r="LIX13" s="46"/>
      <c r="LIY13" s="46"/>
      <c r="LIZ13" s="46"/>
      <c r="LJA13" s="46"/>
      <c r="LJB13" s="46"/>
      <c r="LJC13" s="46"/>
      <c r="LJD13" s="46"/>
      <c r="LJE13" s="46"/>
      <c r="LJF13" s="46"/>
      <c r="LJG13" s="46"/>
      <c r="LJH13" s="46"/>
      <c r="LJI13" s="46"/>
      <c r="LJJ13" s="46"/>
      <c r="LJK13" s="46"/>
      <c r="LJL13" s="46"/>
      <c r="LJM13" s="46"/>
      <c r="LJN13" s="46"/>
      <c r="LJO13" s="46"/>
      <c r="LJP13" s="46"/>
      <c r="LJQ13" s="46"/>
      <c r="LJR13" s="46"/>
      <c r="LJS13" s="46"/>
      <c r="LJT13" s="46"/>
      <c r="LJU13" s="46"/>
      <c r="LJV13" s="46"/>
      <c r="LJW13" s="46"/>
      <c r="LJX13" s="46"/>
      <c r="LJY13" s="46"/>
      <c r="LJZ13" s="46"/>
      <c r="LKA13" s="46"/>
      <c r="LKB13" s="46"/>
      <c r="LKC13" s="46"/>
      <c r="LKD13" s="46"/>
      <c r="LKE13" s="46"/>
      <c r="LKF13" s="46"/>
      <c r="LKG13" s="46"/>
      <c r="LKH13" s="46"/>
      <c r="LKI13" s="46"/>
      <c r="LKJ13" s="46"/>
      <c r="LKK13" s="46"/>
      <c r="LKL13" s="46"/>
      <c r="LKM13" s="46"/>
      <c r="LKN13" s="46"/>
      <c r="LKO13" s="46"/>
      <c r="LKP13" s="46"/>
      <c r="LKQ13" s="46"/>
      <c r="LKR13" s="46"/>
      <c r="LKS13" s="46"/>
      <c r="LKT13" s="46"/>
      <c r="LKU13" s="46"/>
      <c r="LKV13" s="46"/>
      <c r="LKW13" s="46"/>
      <c r="LKX13" s="46"/>
      <c r="LKY13" s="46"/>
      <c r="LKZ13" s="46"/>
      <c r="LLA13" s="46"/>
      <c r="LLB13" s="46"/>
      <c r="LLC13" s="46"/>
      <c r="LLD13" s="46"/>
      <c r="LLE13" s="46"/>
      <c r="LLF13" s="46"/>
      <c r="LLG13" s="46"/>
      <c r="LLH13" s="46"/>
      <c r="LLI13" s="46"/>
      <c r="LLJ13" s="46"/>
      <c r="LLK13" s="46"/>
      <c r="LLL13" s="46"/>
      <c r="LLM13" s="46"/>
      <c r="LLN13" s="46"/>
      <c r="LLO13" s="46"/>
      <c r="LLP13" s="46"/>
      <c r="LLQ13" s="46"/>
      <c r="LLR13" s="46"/>
      <c r="LLS13" s="46"/>
      <c r="LLT13" s="46"/>
      <c r="LLU13" s="46"/>
      <c r="LLV13" s="46"/>
      <c r="LLW13" s="46"/>
      <c r="LLX13" s="46"/>
      <c r="LLY13" s="46"/>
      <c r="LLZ13" s="46"/>
      <c r="LMA13" s="46"/>
      <c r="LMB13" s="46"/>
      <c r="LMC13" s="46"/>
      <c r="LMD13" s="46"/>
      <c r="LME13" s="46"/>
      <c r="LMF13" s="46"/>
      <c r="LMG13" s="46"/>
      <c r="LMH13" s="46"/>
      <c r="LMI13" s="46"/>
      <c r="LMJ13" s="46"/>
      <c r="LMK13" s="46"/>
      <c r="LML13" s="46"/>
      <c r="LMM13" s="46"/>
      <c r="LMN13" s="46"/>
      <c r="LMO13" s="46"/>
      <c r="LMP13" s="46"/>
      <c r="LMQ13" s="46"/>
      <c r="LMR13" s="46"/>
      <c r="LMS13" s="46"/>
      <c r="LMT13" s="46"/>
      <c r="LMU13" s="46"/>
      <c r="LMV13" s="46"/>
      <c r="LMW13" s="46"/>
      <c r="LMX13" s="46"/>
      <c r="LMY13" s="46"/>
      <c r="LMZ13" s="46"/>
      <c r="LNA13" s="46"/>
      <c r="LNB13" s="46"/>
      <c r="LNC13" s="46"/>
      <c r="LND13" s="46"/>
      <c r="LNE13" s="46"/>
      <c r="LNF13" s="46"/>
      <c r="LNG13" s="46"/>
      <c r="LNH13" s="46"/>
      <c r="LNI13" s="46"/>
      <c r="LNJ13" s="46"/>
      <c r="LNK13" s="46"/>
      <c r="LNL13" s="46"/>
      <c r="LNM13" s="46"/>
      <c r="LNN13" s="46"/>
      <c r="LNO13" s="46"/>
      <c r="LNP13" s="46"/>
      <c r="LNQ13" s="46"/>
      <c r="LNR13" s="46"/>
      <c r="LNS13" s="46"/>
      <c r="LNT13" s="46"/>
      <c r="LNU13" s="46"/>
      <c r="LNV13" s="46"/>
      <c r="LNW13" s="46"/>
      <c r="LNX13" s="46"/>
      <c r="LNY13" s="46"/>
      <c r="LNZ13" s="46"/>
      <c r="LOA13" s="46"/>
      <c r="LOB13" s="46"/>
      <c r="LOC13" s="46"/>
      <c r="LOD13" s="46"/>
      <c r="LOE13" s="46"/>
      <c r="LOF13" s="46"/>
      <c r="LOG13" s="46"/>
      <c r="LOH13" s="46"/>
      <c r="LOI13" s="46"/>
      <c r="LOJ13" s="46"/>
      <c r="LOK13" s="46"/>
      <c r="LOL13" s="46"/>
      <c r="LOM13" s="46"/>
      <c r="LON13" s="46"/>
      <c r="LOO13" s="46"/>
      <c r="LOP13" s="46"/>
      <c r="LOQ13" s="46"/>
      <c r="LOR13" s="46"/>
      <c r="LOS13" s="46"/>
      <c r="LOT13" s="46"/>
      <c r="LOU13" s="46"/>
      <c r="LOV13" s="46"/>
      <c r="LOW13" s="46"/>
      <c r="LOX13" s="46"/>
      <c r="LOY13" s="46"/>
      <c r="LOZ13" s="46"/>
      <c r="LPA13" s="46"/>
      <c r="LPB13" s="46"/>
      <c r="LPC13" s="46"/>
      <c r="LPD13" s="46"/>
      <c r="LPE13" s="46"/>
      <c r="LPF13" s="46"/>
      <c r="LPG13" s="46"/>
      <c r="LPH13" s="46"/>
      <c r="LPI13" s="46"/>
      <c r="LPJ13" s="46"/>
      <c r="LPK13" s="46"/>
      <c r="LPL13" s="46"/>
      <c r="LPM13" s="46"/>
      <c r="LPN13" s="46"/>
      <c r="LPO13" s="46"/>
      <c r="LPP13" s="46"/>
      <c r="LPQ13" s="46"/>
      <c r="LPR13" s="46"/>
      <c r="LPS13" s="46"/>
      <c r="LPT13" s="46"/>
      <c r="LPU13" s="46"/>
      <c r="LPV13" s="46"/>
      <c r="LPW13" s="46"/>
      <c r="LPX13" s="46"/>
      <c r="LPY13" s="46"/>
      <c r="LPZ13" s="46"/>
      <c r="LQA13" s="46"/>
      <c r="LQB13" s="46"/>
      <c r="LQC13" s="46"/>
      <c r="LQD13" s="46"/>
      <c r="LQE13" s="46"/>
      <c r="LQF13" s="46"/>
      <c r="LQG13" s="46"/>
      <c r="LQH13" s="46"/>
      <c r="LQI13" s="46"/>
      <c r="LQJ13" s="46"/>
      <c r="LQK13" s="46"/>
      <c r="LQL13" s="46"/>
      <c r="LQM13" s="46"/>
      <c r="LQN13" s="46"/>
      <c r="LQO13" s="46"/>
      <c r="LQP13" s="46"/>
      <c r="LQQ13" s="46"/>
      <c r="LQR13" s="46"/>
      <c r="LQS13" s="46"/>
      <c r="LQT13" s="46"/>
      <c r="LQU13" s="46"/>
      <c r="LQV13" s="46"/>
      <c r="LQW13" s="46"/>
      <c r="LQX13" s="46"/>
      <c r="LQY13" s="46"/>
      <c r="LQZ13" s="46"/>
      <c r="LRA13" s="46"/>
      <c r="LRB13" s="46"/>
      <c r="LRC13" s="46"/>
      <c r="LRD13" s="46"/>
      <c r="LRE13" s="46"/>
      <c r="LRF13" s="46"/>
      <c r="LRG13" s="46"/>
      <c r="LRH13" s="46"/>
      <c r="LRI13" s="46"/>
      <c r="LRJ13" s="46"/>
      <c r="LRK13" s="46"/>
      <c r="LRL13" s="46"/>
      <c r="LRM13" s="46"/>
      <c r="LRN13" s="46"/>
      <c r="LRO13" s="46"/>
      <c r="LRP13" s="46"/>
      <c r="LRQ13" s="46"/>
      <c r="LRR13" s="46"/>
      <c r="LRS13" s="46"/>
      <c r="LRT13" s="46"/>
      <c r="LRU13" s="46"/>
      <c r="LRV13" s="46"/>
      <c r="LRW13" s="46"/>
      <c r="LRX13" s="46"/>
      <c r="LRY13" s="46"/>
      <c r="LRZ13" s="46"/>
      <c r="LSA13" s="46"/>
      <c r="LSB13" s="46"/>
      <c r="LSC13" s="46"/>
      <c r="LSD13" s="46"/>
      <c r="LSE13" s="46"/>
      <c r="LSF13" s="46"/>
      <c r="LSG13" s="46"/>
      <c r="LSH13" s="46"/>
      <c r="LSI13" s="46"/>
      <c r="LSJ13" s="46"/>
      <c r="LSK13" s="46"/>
      <c r="LSL13" s="46"/>
      <c r="LSM13" s="46"/>
      <c r="LSN13" s="46"/>
      <c r="LSO13" s="46"/>
      <c r="LSP13" s="46"/>
      <c r="LSQ13" s="46"/>
      <c r="LSR13" s="46"/>
      <c r="LSS13" s="46"/>
      <c r="LST13" s="46"/>
      <c r="LSU13" s="46"/>
      <c r="LSV13" s="46"/>
      <c r="LSW13" s="46"/>
      <c r="LSX13" s="46"/>
      <c r="LSY13" s="46"/>
      <c r="LSZ13" s="46"/>
      <c r="LTA13" s="46"/>
      <c r="LTB13" s="46"/>
      <c r="LTC13" s="46"/>
      <c r="LTD13" s="46"/>
      <c r="LTE13" s="46"/>
      <c r="LTF13" s="46"/>
      <c r="LTG13" s="46"/>
      <c r="LTH13" s="46"/>
      <c r="LTI13" s="46"/>
      <c r="LTJ13" s="46"/>
      <c r="LTK13" s="46"/>
      <c r="LTL13" s="46"/>
      <c r="LTM13" s="46"/>
      <c r="LTN13" s="46"/>
      <c r="LTO13" s="46"/>
      <c r="LTP13" s="46"/>
      <c r="LTQ13" s="46"/>
      <c r="LTR13" s="46"/>
      <c r="LTS13" s="46"/>
      <c r="LTT13" s="46"/>
      <c r="LTU13" s="46"/>
      <c r="LTV13" s="46"/>
      <c r="LTW13" s="46"/>
      <c r="LTX13" s="46"/>
      <c r="LTY13" s="46"/>
      <c r="LTZ13" s="46"/>
      <c r="LUA13" s="46"/>
      <c r="LUB13" s="46"/>
      <c r="LUC13" s="46"/>
      <c r="LUD13" s="46"/>
      <c r="LUE13" s="46"/>
      <c r="LUF13" s="46"/>
      <c r="LUG13" s="46"/>
      <c r="LUH13" s="46"/>
      <c r="LUI13" s="46"/>
      <c r="LUJ13" s="46"/>
      <c r="LUK13" s="46"/>
      <c r="LUL13" s="46"/>
      <c r="LUM13" s="46"/>
      <c r="LUN13" s="46"/>
      <c r="LUO13" s="46"/>
      <c r="LUP13" s="46"/>
      <c r="LUQ13" s="46"/>
      <c r="LUR13" s="46"/>
      <c r="LUS13" s="46"/>
      <c r="LUT13" s="46"/>
      <c r="LUU13" s="46"/>
      <c r="LUV13" s="46"/>
      <c r="LUW13" s="46"/>
      <c r="LUX13" s="46"/>
      <c r="LUY13" s="46"/>
      <c r="LUZ13" s="46"/>
      <c r="LVA13" s="46"/>
      <c r="LVB13" s="46"/>
      <c r="LVC13" s="46"/>
      <c r="LVD13" s="46"/>
      <c r="LVE13" s="46"/>
      <c r="LVF13" s="46"/>
      <c r="LVG13" s="46"/>
      <c r="LVH13" s="46"/>
      <c r="LVI13" s="46"/>
      <c r="LVJ13" s="46"/>
      <c r="LVK13" s="46"/>
      <c r="LVL13" s="46"/>
      <c r="LVM13" s="46"/>
      <c r="LVN13" s="46"/>
      <c r="LVO13" s="46"/>
      <c r="LVP13" s="46"/>
      <c r="LVQ13" s="46"/>
      <c r="LVR13" s="46"/>
      <c r="LVS13" s="46"/>
      <c r="LVT13" s="46"/>
      <c r="LVU13" s="46"/>
      <c r="LVV13" s="46"/>
      <c r="LVW13" s="46"/>
      <c r="LVX13" s="46"/>
      <c r="LVY13" s="46"/>
      <c r="LVZ13" s="46"/>
      <c r="LWA13" s="46"/>
      <c r="LWB13" s="46"/>
      <c r="LWC13" s="46"/>
      <c r="LWD13" s="46"/>
      <c r="LWE13" s="46"/>
      <c r="LWF13" s="46"/>
      <c r="LWG13" s="46"/>
      <c r="LWH13" s="46"/>
      <c r="LWI13" s="46"/>
      <c r="LWJ13" s="46"/>
      <c r="LWK13" s="46"/>
      <c r="LWL13" s="46"/>
      <c r="LWM13" s="46"/>
      <c r="LWN13" s="46"/>
      <c r="LWO13" s="46"/>
      <c r="LWP13" s="46"/>
      <c r="LWQ13" s="46"/>
      <c r="LWR13" s="46"/>
      <c r="LWS13" s="46"/>
      <c r="LWT13" s="46"/>
      <c r="LWU13" s="46"/>
      <c r="LWV13" s="46"/>
      <c r="LWW13" s="46"/>
      <c r="LWX13" s="46"/>
      <c r="LWY13" s="46"/>
      <c r="LWZ13" s="46"/>
      <c r="LXA13" s="46"/>
      <c r="LXB13" s="46"/>
      <c r="LXC13" s="46"/>
      <c r="LXD13" s="46"/>
      <c r="LXE13" s="46"/>
      <c r="LXF13" s="46"/>
      <c r="LXG13" s="46"/>
      <c r="LXH13" s="46"/>
      <c r="LXI13" s="46"/>
      <c r="LXJ13" s="46"/>
      <c r="LXK13" s="46"/>
      <c r="LXL13" s="46"/>
      <c r="LXM13" s="46"/>
      <c r="LXN13" s="46"/>
      <c r="LXO13" s="46"/>
      <c r="LXP13" s="46"/>
      <c r="LXQ13" s="46"/>
      <c r="LXR13" s="46"/>
      <c r="LXS13" s="46"/>
      <c r="LXT13" s="46"/>
      <c r="LXU13" s="46"/>
      <c r="LXV13" s="46"/>
      <c r="LXW13" s="46"/>
      <c r="LXX13" s="46"/>
      <c r="LXY13" s="46"/>
      <c r="LXZ13" s="46"/>
      <c r="LYA13" s="46"/>
      <c r="LYB13" s="46"/>
      <c r="LYC13" s="46"/>
      <c r="LYD13" s="46"/>
      <c r="LYE13" s="46"/>
      <c r="LYF13" s="46"/>
      <c r="LYG13" s="46"/>
      <c r="LYH13" s="46"/>
      <c r="LYI13" s="46"/>
      <c r="LYJ13" s="46"/>
      <c r="LYK13" s="46"/>
      <c r="LYL13" s="46"/>
      <c r="LYM13" s="46"/>
      <c r="LYN13" s="46"/>
      <c r="LYO13" s="46"/>
      <c r="LYP13" s="46"/>
      <c r="LYQ13" s="46"/>
      <c r="LYR13" s="46"/>
      <c r="LYS13" s="46"/>
      <c r="LYT13" s="46"/>
      <c r="LYU13" s="46"/>
      <c r="LYV13" s="46"/>
      <c r="LYW13" s="46"/>
      <c r="LYX13" s="46"/>
      <c r="LYY13" s="46"/>
      <c r="LYZ13" s="46"/>
      <c r="LZA13" s="46"/>
      <c r="LZB13" s="46"/>
      <c r="LZC13" s="46"/>
      <c r="LZD13" s="46"/>
      <c r="LZE13" s="46"/>
      <c r="LZF13" s="46"/>
      <c r="LZG13" s="46"/>
      <c r="LZH13" s="46"/>
      <c r="LZI13" s="46"/>
      <c r="LZJ13" s="46"/>
      <c r="LZK13" s="46"/>
      <c r="LZL13" s="46"/>
      <c r="LZM13" s="46"/>
      <c r="LZN13" s="46"/>
      <c r="LZO13" s="46"/>
      <c r="LZP13" s="46"/>
      <c r="LZQ13" s="46"/>
      <c r="LZR13" s="46"/>
      <c r="LZS13" s="46"/>
      <c r="LZT13" s="46"/>
      <c r="LZU13" s="46"/>
      <c r="LZV13" s="46"/>
      <c r="LZW13" s="46"/>
      <c r="LZX13" s="46"/>
      <c r="LZY13" s="46"/>
      <c r="LZZ13" s="46"/>
      <c r="MAA13" s="46"/>
      <c r="MAB13" s="46"/>
      <c r="MAC13" s="46"/>
      <c r="MAD13" s="46"/>
      <c r="MAE13" s="46"/>
      <c r="MAF13" s="46"/>
      <c r="MAG13" s="46"/>
      <c r="MAH13" s="46"/>
      <c r="MAI13" s="46"/>
      <c r="MAJ13" s="46"/>
      <c r="MAK13" s="46"/>
      <c r="MAL13" s="46"/>
      <c r="MAM13" s="46"/>
      <c r="MAN13" s="46"/>
      <c r="MAO13" s="46"/>
      <c r="MAP13" s="46"/>
      <c r="MAQ13" s="46"/>
      <c r="MAR13" s="46"/>
      <c r="MAS13" s="46"/>
      <c r="MAT13" s="46"/>
      <c r="MAU13" s="46"/>
      <c r="MAV13" s="46"/>
      <c r="MAW13" s="46"/>
      <c r="MAX13" s="46"/>
      <c r="MAY13" s="46"/>
      <c r="MAZ13" s="46"/>
      <c r="MBA13" s="46"/>
      <c r="MBB13" s="46"/>
      <c r="MBC13" s="46"/>
      <c r="MBD13" s="46"/>
      <c r="MBE13" s="46"/>
      <c r="MBF13" s="46"/>
      <c r="MBG13" s="46"/>
      <c r="MBH13" s="46"/>
      <c r="MBI13" s="46"/>
      <c r="MBJ13" s="46"/>
      <c r="MBK13" s="46"/>
      <c r="MBL13" s="46"/>
      <c r="MBM13" s="46"/>
      <c r="MBN13" s="46"/>
      <c r="MBO13" s="46"/>
      <c r="MBP13" s="46"/>
      <c r="MBQ13" s="46"/>
      <c r="MBR13" s="46"/>
      <c r="MBS13" s="46"/>
      <c r="MBT13" s="46"/>
      <c r="MBU13" s="46"/>
      <c r="MBV13" s="46"/>
      <c r="MBW13" s="46"/>
      <c r="MBX13" s="46"/>
      <c r="MBY13" s="46"/>
      <c r="MBZ13" s="46"/>
      <c r="MCA13" s="46"/>
      <c r="MCB13" s="46"/>
      <c r="MCC13" s="46"/>
      <c r="MCD13" s="46"/>
      <c r="MCE13" s="46"/>
      <c r="MCF13" s="46"/>
      <c r="MCG13" s="46"/>
      <c r="MCH13" s="46"/>
      <c r="MCI13" s="46"/>
      <c r="MCJ13" s="46"/>
      <c r="MCK13" s="46"/>
      <c r="MCL13" s="46"/>
      <c r="MCM13" s="46"/>
      <c r="MCN13" s="46"/>
      <c r="MCO13" s="46"/>
      <c r="MCP13" s="46"/>
      <c r="MCQ13" s="46"/>
      <c r="MCR13" s="46"/>
      <c r="MCS13" s="46"/>
      <c r="MCT13" s="46"/>
      <c r="MCU13" s="46"/>
      <c r="MCV13" s="46"/>
      <c r="MCW13" s="46"/>
      <c r="MCX13" s="46"/>
      <c r="MCY13" s="46"/>
      <c r="MCZ13" s="46"/>
      <c r="MDA13" s="46"/>
      <c r="MDB13" s="46"/>
      <c r="MDC13" s="46"/>
      <c r="MDD13" s="46"/>
      <c r="MDE13" s="46"/>
      <c r="MDF13" s="46"/>
      <c r="MDG13" s="46"/>
      <c r="MDH13" s="46"/>
      <c r="MDI13" s="46"/>
      <c r="MDJ13" s="46"/>
      <c r="MDK13" s="46"/>
      <c r="MDL13" s="46"/>
      <c r="MDM13" s="46"/>
      <c r="MDN13" s="46"/>
      <c r="MDO13" s="46"/>
      <c r="MDP13" s="46"/>
      <c r="MDQ13" s="46"/>
      <c r="MDR13" s="46"/>
      <c r="MDS13" s="46"/>
      <c r="MDT13" s="46"/>
      <c r="MDU13" s="46"/>
      <c r="MDV13" s="46"/>
      <c r="MDW13" s="46"/>
      <c r="MDX13" s="46"/>
      <c r="MDY13" s="46"/>
      <c r="MDZ13" s="46"/>
      <c r="MEA13" s="46"/>
      <c r="MEB13" s="46"/>
      <c r="MEC13" s="46"/>
      <c r="MED13" s="46"/>
      <c r="MEE13" s="46"/>
      <c r="MEF13" s="46"/>
      <c r="MEG13" s="46"/>
      <c r="MEH13" s="46"/>
      <c r="MEI13" s="46"/>
      <c r="MEJ13" s="46"/>
      <c r="MEK13" s="46"/>
      <c r="MEL13" s="46"/>
      <c r="MEM13" s="46"/>
      <c r="MEN13" s="46"/>
      <c r="MEO13" s="46"/>
      <c r="MEP13" s="46"/>
      <c r="MEQ13" s="46"/>
      <c r="MER13" s="46"/>
      <c r="MES13" s="46"/>
      <c r="MET13" s="46"/>
      <c r="MEU13" s="46"/>
      <c r="MEV13" s="46"/>
      <c r="MEW13" s="46"/>
      <c r="MEX13" s="46"/>
      <c r="MEY13" s="46"/>
      <c r="MEZ13" s="46"/>
      <c r="MFA13" s="46"/>
      <c r="MFB13" s="46"/>
      <c r="MFC13" s="46"/>
      <c r="MFD13" s="46"/>
      <c r="MFE13" s="46"/>
      <c r="MFF13" s="46"/>
      <c r="MFG13" s="46"/>
      <c r="MFH13" s="46"/>
      <c r="MFI13" s="46"/>
      <c r="MFJ13" s="46"/>
      <c r="MFK13" s="46"/>
      <c r="MFL13" s="46"/>
      <c r="MFM13" s="46"/>
      <c r="MFN13" s="46"/>
      <c r="MFO13" s="46"/>
      <c r="MFP13" s="46"/>
      <c r="MFQ13" s="46"/>
      <c r="MFR13" s="46"/>
      <c r="MFS13" s="46"/>
      <c r="MFT13" s="46"/>
      <c r="MFU13" s="46"/>
      <c r="MFV13" s="46"/>
      <c r="MFW13" s="46"/>
      <c r="MFX13" s="46"/>
      <c r="MFY13" s="46"/>
      <c r="MFZ13" s="46"/>
      <c r="MGA13" s="46"/>
      <c r="MGB13" s="46"/>
      <c r="MGC13" s="46"/>
      <c r="MGD13" s="46"/>
      <c r="MGE13" s="46"/>
      <c r="MGF13" s="46"/>
      <c r="MGG13" s="46"/>
      <c r="MGH13" s="46"/>
      <c r="MGI13" s="46"/>
      <c r="MGJ13" s="46"/>
      <c r="MGK13" s="46"/>
      <c r="MGL13" s="46"/>
      <c r="MGM13" s="46"/>
      <c r="MGN13" s="46"/>
      <c r="MGO13" s="46"/>
      <c r="MGP13" s="46"/>
      <c r="MGQ13" s="46"/>
      <c r="MGR13" s="46"/>
      <c r="MGS13" s="46"/>
      <c r="MGT13" s="46"/>
      <c r="MGU13" s="46"/>
      <c r="MGV13" s="46"/>
      <c r="MGW13" s="46"/>
      <c r="MGX13" s="46"/>
      <c r="MGY13" s="46"/>
      <c r="MGZ13" s="46"/>
      <c r="MHA13" s="46"/>
      <c r="MHB13" s="46"/>
      <c r="MHC13" s="46"/>
      <c r="MHD13" s="46"/>
      <c r="MHE13" s="46"/>
      <c r="MHF13" s="46"/>
      <c r="MHG13" s="46"/>
      <c r="MHH13" s="46"/>
      <c r="MHI13" s="46"/>
      <c r="MHJ13" s="46"/>
      <c r="MHK13" s="46"/>
      <c r="MHL13" s="46"/>
      <c r="MHM13" s="46"/>
      <c r="MHN13" s="46"/>
      <c r="MHO13" s="46"/>
      <c r="MHP13" s="46"/>
      <c r="MHQ13" s="46"/>
      <c r="MHR13" s="46"/>
      <c r="MHS13" s="46"/>
      <c r="MHT13" s="46"/>
      <c r="MHU13" s="46"/>
      <c r="MHV13" s="46"/>
      <c r="MHW13" s="46"/>
      <c r="MHX13" s="46"/>
      <c r="MHY13" s="46"/>
      <c r="MHZ13" s="46"/>
      <c r="MIA13" s="46"/>
      <c r="MIB13" s="46"/>
      <c r="MIC13" s="46"/>
      <c r="MID13" s="46"/>
      <c r="MIE13" s="46"/>
      <c r="MIF13" s="46"/>
      <c r="MIG13" s="46"/>
      <c r="MIH13" s="46"/>
      <c r="MII13" s="46"/>
      <c r="MIJ13" s="46"/>
      <c r="MIK13" s="46"/>
      <c r="MIL13" s="46"/>
      <c r="MIM13" s="46"/>
      <c r="MIN13" s="46"/>
      <c r="MIO13" s="46"/>
      <c r="MIP13" s="46"/>
      <c r="MIQ13" s="46"/>
      <c r="MIR13" s="46"/>
      <c r="MIS13" s="46"/>
      <c r="MIT13" s="46"/>
      <c r="MIU13" s="46"/>
      <c r="MIV13" s="46"/>
      <c r="MIW13" s="46"/>
      <c r="MIX13" s="46"/>
      <c r="MIY13" s="46"/>
      <c r="MIZ13" s="46"/>
      <c r="MJA13" s="46"/>
      <c r="MJB13" s="46"/>
      <c r="MJC13" s="46"/>
      <c r="MJD13" s="46"/>
      <c r="MJE13" s="46"/>
      <c r="MJF13" s="46"/>
      <c r="MJG13" s="46"/>
      <c r="MJH13" s="46"/>
      <c r="MJI13" s="46"/>
      <c r="MJJ13" s="46"/>
      <c r="MJK13" s="46"/>
      <c r="MJL13" s="46"/>
      <c r="MJM13" s="46"/>
      <c r="MJN13" s="46"/>
      <c r="MJO13" s="46"/>
      <c r="MJP13" s="46"/>
      <c r="MJQ13" s="46"/>
      <c r="MJR13" s="46"/>
      <c r="MJS13" s="46"/>
      <c r="MJT13" s="46"/>
      <c r="MJU13" s="46"/>
      <c r="MJV13" s="46"/>
      <c r="MJW13" s="46"/>
      <c r="MJX13" s="46"/>
      <c r="MJY13" s="46"/>
      <c r="MJZ13" s="46"/>
      <c r="MKA13" s="46"/>
      <c r="MKB13" s="46"/>
      <c r="MKC13" s="46"/>
      <c r="MKD13" s="46"/>
      <c r="MKE13" s="46"/>
      <c r="MKF13" s="46"/>
      <c r="MKG13" s="46"/>
      <c r="MKH13" s="46"/>
      <c r="MKI13" s="46"/>
      <c r="MKJ13" s="46"/>
      <c r="MKK13" s="46"/>
      <c r="MKL13" s="46"/>
      <c r="MKM13" s="46"/>
      <c r="MKN13" s="46"/>
      <c r="MKO13" s="46"/>
      <c r="MKP13" s="46"/>
      <c r="MKQ13" s="46"/>
      <c r="MKR13" s="46"/>
      <c r="MKS13" s="46"/>
      <c r="MKT13" s="46"/>
      <c r="MKU13" s="46"/>
      <c r="MKV13" s="46"/>
      <c r="MKW13" s="46"/>
      <c r="MKX13" s="46"/>
      <c r="MKY13" s="46"/>
      <c r="MKZ13" s="46"/>
      <c r="MLA13" s="46"/>
      <c r="MLB13" s="46"/>
      <c r="MLC13" s="46"/>
      <c r="MLD13" s="46"/>
      <c r="MLE13" s="46"/>
      <c r="MLF13" s="46"/>
      <c r="MLG13" s="46"/>
      <c r="MLH13" s="46"/>
      <c r="MLI13" s="46"/>
      <c r="MLJ13" s="46"/>
      <c r="MLK13" s="46"/>
      <c r="MLL13" s="46"/>
      <c r="MLM13" s="46"/>
      <c r="MLN13" s="46"/>
      <c r="MLO13" s="46"/>
      <c r="MLP13" s="46"/>
      <c r="MLQ13" s="46"/>
      <c r="MLR13" s="46"/>
      <c r="MLS13" s="46"/>
      <c r="MLT13" s="46"/>
      <c r="MLU13" s="46"/>
      <c r="MLV13" s="46"/>
      <c r="MLW13" s="46"/>
      <c r="MLX13" s="46"/>
      <c r="MLY13" s="46"/>
      <c r="MLZ13" s="46"/>
      <c r="MMA13" s="46"/>
      <c r="MMB13" s="46"/>
      <c r="MMC13" s="46"/>
      <c r="MMD13" s="46"/>
      <c r="MME13" s="46"/>
      <c r="MMF13" s="46"/>
      <c r="MMG13" s="46"/>
      <c r="MMH13" s="46"/>
      <c r="MMI13" s="46"/>
      <c r="MMJ13" s="46"/>
      <c r="MMK13" s="46"/>
      <c r="MML13" s="46"/>
      <c r="MMM13" s="46"/>
      <c r="MMN13" s="46"/>
      <c r="MMO13" s="46"/>
      <c r="MMP13" s="46"/>
      <c r="MMQ13" s="46"/>
      <c r="MMR13" s="46"/>
      <c r="MMS13" s="46"/>
      <c r="MMT13" s="46"/>
      <c r="MMU13" s="46"/>
      <c r="MMV13" s="46"/>
      <c r="MMW13" s="46"/>
      <c r="MMX13" s="46"/>
      <c r="MMY13" s="46"/>
      <c r="MMZ13" s="46"/>
      <c r="MNA13" s="46"/>
      <c r="MNB13" s="46"/>
      <c r="MNC13" s="46"/>
      <c r="MND13" s="46"/>
      <c r="MNE13" s="46"/>
      <c r="MNF13" s="46"/>
      <c r="MNG13" s="46"/>
      <c r="MNH13" s="46"/>
      <c r="MNI13" s="46"/>
      <c r="MNJ13" s="46"/>
      <c r="MNK13" s="46"/>
      <c r="MNL13" s="46"/>
      <c r="MNM13" s="46"/>
      <c r="MNN13" s="46"/>
      <c r="MNO13" s="46"/>
      <c r="MNP13" s="46"/>
      <c r="MNQ13" s="46"/>
      <c r="MNR13" s="46"/>
      <c r="MNS13" s="46"/>
      <c r="MNT13" s="46"/>
      <c r="MNU13" s="46"/>
      <c r="MNV13" s="46"/>
      <c r="MNW13" s="46"/>
      <c r="MNX13" s="46"/>
      <c r="MNY13" s="46"/>
      <c r="MNZ13" s="46"/>
      <c r="MOA13" s="46"/>
      <c r="MOB13" s="46"/>
      <c r="MOC13" s="46"/>
      <c r="MOD13" s="46"/>
      <c r="MOE13" s="46"/>
      <c r="MOF13" s="46"/>
      <c r="MOG13" s="46"/>
      <c r="MOH13" s="46"/>
      <c r="MOI13" s="46"/>
      <c r="MOJ13" s="46"/>
      <c r="MOK13" s="46"/>
      <c r="MOL13" s="46"/>
      <c r="MOM13" s="46"/>
      <c r="MON13" s="46"/>
      <c r="MOO13" s="46"/>
      <c r="MOP13" s="46"/>
      <c r="MOQ13" s="46"/>
      <c r="MOR13" s="46"/>
      <c r="MOS13" s="46"/>
      <c r="MOT13" s="46"/>
      <c r="MOU13" s="46"/>
      <c r="MOV13" s="46"/>
      <c r="MOW13" s="46"/>
      <c r="MOX13" s="46"/>
      <c r="MOY13" s="46"/>
      <c r="MOZ13" s="46"/>
      <c r="MPA13" s="46"/>
      <c r="MPB13" s="46"/>
      <c r="MPC13" s="46"/>
      <c r="MPD13" s="46"/>
      <c r="MPE13" s="46"/>
      <c r="MPF13" s="46"/>
      <c r="MPG13" s="46"/>
      <c r="MPH13" s="46"/>
      <c r="MPI13" s="46"/>
      <c r="MPJ13" s="46"/>
      <c r="MPK13" s="46"/>
      <c r="MPL13" s="46"/>
      <c r="MPM13" s="46"/>
      <c r="MPN13" s="46"/>
      <c r="MPO13" s="46"/>
      <c r="MPP13" s="46"/>
      <c r="MPQ13" s="46"/>
      <c r="MPR13" s="46"/>
      <c r="MPS13" s="46"/>
      <c r="MPT13" s="46"/>
      <c r="MPU13" s="46"/>
      <c r="MPV13" s="46"/>
      <c r="MPW13" s="46"/>
      <c r="MPX13" s="46"/>
      <c r="MPY13" s="46"/>
      <c r="MPZ13" s="46"/>
      <c r="MQA13" s="46"/>
      <c r="MQB13" s="46"/>
      <c r="MQC13" s="46"/>
      <c r="MQD13" s="46"/>
      <c r="MQE13" s="46"/>
      <c r="MQF13" s="46"/>
      <c r="MQG13" s="46"/>
      <c r="MQH13" s="46"/>
      <c r="MQI13" s="46"/>
      <c r="MQJ13" s="46"/>
      <c r="MQK13" s="46"/>
      <c r="MQL13" s="46"/>
      <c r="MQM13" s="46"/>
      <c r="MQN13" s="46"/>
      <c r="MQO13" s="46"/>
      <c r="MQP13" s="46"/>
      <c r="MQQ13" s="46"/>
      <c r="MQR13" s="46"/>
      <c r="MQS13" s="46"/>
      <c r="MQT13" s="46"/>
      <c r="MQU13" s="46"/>
      <c r="MQV13" s="46"/>
      <c r="MQW13" s="46"/>
      <c r="MQX13" s="46"/>
      <c r="MQY13" s="46"/>
      <c r="MQZ13" s="46"/>
      <c r="MRA13" s="46"/>
      <c r="MRB13" s="46"/>
      <c r="MRC13" s="46"/>
      <c r="MRD13" s="46"/>
      <c r="MRE13" s="46"/>
      <c r="MRF13" s="46"/>
      <c r="MRG13" s="46"/>
      <c r="MRH13" s="46"/>
      <c r="MRI13" s="46"/>
      <c r="MRJ13" s="46"/>
      <c r="MRK13" s="46"/>
      <c r="MRL13" s="46"/>
      <c r="MRM13" s="46"/>
      <c r="MRN13" s="46"/>
      <c r="MRO13" s="46"/>
      <c r="MRP13" s="46"/>
      <c r="MRQ13" s="46"/>
      <c r="MRR13" s="46"/>
      <c r="MRS13" s="46"/>
      <c r="MRT13" s="46"/>
      <c r="MRU13" s="46"/>
      <c r="MRV13" s="46"/>
      <c r="MRW13" s="46"/>
      <c r="MRX13" s="46"/>
      <c r="MRY13" s="46"/>
      <c r="MRZ13" s="46"/>
      <c r="MSA13" s="46"/>
      <c r="MSB13" s="46"/>
      <c r="MSC13" s="46"/>
      <c r="MSD13" s="46"/>
      <c r="MSE13" s="46"/>
      <c r="MSF13" s="46"/>
      <c r="MSG13" s="46"/>
      <c r="MSH13" s="46"/>
      <c r="MSI13" s="46"/>
      <c r="MSJ13" s="46"/>
      <c r="MSK13" s="46"/>
      <c r="MSL13" s="46"/>
      <c r="MSM13" s="46"/>
      <c r="MSN13" s="46"/>
      <c r="MSO13" s="46"/>
      <c r="MSP13" s="46"/>
      <c r="MSQ13" s="46"/>
      <c r="MSR13" s="46"/>
      <c r="MSS13" s="46"/>
      <c r="MST13" s="46"/>
      <c r="MSU13" s="46"/>
      <c r="MSV13" s="46"/>
      <c r="MSW13" s="46"/>
      <c r="MSX13" s="46"/>
      <c r="MSY13" s="46"/>
      <c r="MSZ13" s="46"/>
      <c r="MTA13" s="46"/>
      <c r="MTB13" s="46"/>
      <c r="MTC13" s="46"/>
      <c r="MTD13" s="46"/>
      <c r="MTE13" s="46"/>
      <c r="MTF13" s="46"/>
      <c r="MTG13" s="46"/>
      <c r="MTH13" s="46"/>
      <c r="MTI13" s="46"/>
      <c r="MTJ13" s="46"/>
      <c r="MTK13" s="46"/>
      <c r="MTL13" s="46"/>
      <c r="MTM13" s="46"/>
      <c r="MTN13" s="46"/>
      <c r="MTO13" s="46"/>
      <c r="MTP13" s="46"/>
      <c r="MTQ13" s="46"/>
      <c r="MTR13" s="46"/>
      <c r="MTS13" s="46"/>
      <c r="MTT13" s="46"/>
      <c r="MTU13" s="46"/>
      <c r="MTV13" s="46"/>
      <c r="MTW13" s="46"/>
      <c r="MTX13" s="46"/>
      <c r="MTY13" s="46"/>
      <c r="MTZ13" s="46"/>
      <c r="MUA13" s="46"/>
      <c r="MUB13" s="46"/>
      <c r="MUC13" s="46"/>
      <c r="MUD13" s="46"/>
      <c r="MUE13" s="46"/>
      <c r="MUF13" s="46"/>
      <c r="MUG13" s="46"/>
      <c r="MUH13" s="46"/>
      <c r="MUI13" s="46"/>
      <c r="MUJ13" s="46"/>
      <c r="MUK13" s="46"/>
      <c r="MUL13" s="46"/>
      <c r="MUM13" s="46"/>
      <c r="MUN13" s="46"/>
      <c r="MUO13" s="46"/>
      <c r="MUP13" s="46"/>
      <c r="MUQ13" s="46"/>
      <c r="MUR13" s="46"/>
      <c r="MUS13" s="46"/>
      <c r="MUT13" s="46"/>
      <c r="MUU13" s="46"/>
      <c r="MUV13" s="46"/>
      <c r="MUW13" s="46"/>
      <c r="MUX13" s="46"/>
      <c r="MUY13" s="46"/>
      <c r="MUZ13" s="46"/>
      <c r="MVA13" s="46"/>
      <c r="MVB13" s="46"/>
      <c r="MVC13" s="46"/>
      <c r="MVD13" s="46"/>
      <c r="MVE13" s="46"/>
      <c r="MVF13" s="46"/>
      <c r="MVG13" s="46"/>
      <c r="MVH13" s="46"/>
      <c r="MVI13" s="46"/>
      <c r="MVJ13" s="46"/>
      <c r="MVK13" s="46"/>
      <c r="MVL13" s="46"/>
      <c r="MVM13" s="46"/>
      <c r="MVN13" s="46"/>
      <c r="MVO13" s="46"/>
      <c r="MVP13" s="46"/>
      <c r="MVQ13" s="46"/>
      <c r="MVR13" s="46"/>
      <c r="MVS13" s="46"/>
      <c r="MVT13" s="46"/>
      <c r="MVU13" s="46"/>
      <c r="MVV13" s="46"/>
      <c r="MVW13" s="46"/>
      <c r="MVX13" s="46"/>
      <c r="MVY13" s="46"/>
      <c r="MVZ13" s="46"/>
      <c r="MWA13" s="46"/>
      <c r="MWB13" s="46"/>
      <c r="MWC13" s="46"/>
      <c r="MWD13" s="46"/>
      <c r="MWE13" s="46"/>
      <c r="MWF13" s="46"/>
      <c r="MWG13" s="46"/>
      <c r="MWH13" s="46"/>
      <c r="MWI13" s="46"/>
      <c r="MWJ13" s="46"/>
      <c r="MWK13" s="46"/>
      <c r="MWL13" s="46"/>
      <c r="MWM13" s="46"/>
      <c r="MWN13" s="46"/>
      <c r="MWO13" s="46"/>
      <c r="MWP13" s="46"/>
      <c r="MWQ13" s="46"/>
      <c r="MWR13" s="46"/>
      <c r="MWS13" s="46"/>
      <c r="MWT13" s="46"/>
      <c r="MWU13" s="46"/>
      <c r="MWV13" s="46"/>
      <c r="MWW13" s="46"/>
      <c r="MWX13" s="46"/>
      <c r="MWY13" s="46"/>
      <c r="MWZ13" s="46"/>
      <c r="MXA13" s="46"/>
      <c r="MXB13" s="46"/>
      <c r="MXC13" s="46"/>
      <c r="MXD13" s="46"/>
      <c r="MXE13" s="46"/>
      <c r="MXF13" s="46"/>
      <c r="MXG13" s="46"/>
      <c r="MXH13" s="46"/>
      <c r="MXI13" s="46"/>
      <c r="MXJ13" s="46"/>
      <c r="MXK13" s="46"/>
      <c r="MXL13" s="46"/>
      <c r="MXM13" s="46"/>
      <c r="MXN13" s="46"/>
      <c r="MXO13" s="46"/>
      <c r="MXP13" s="46"/>
      <c r="MXQ13" s="46"/>
      <c r="MXR13" s="46"/>
      <c r="MXS13" s="46"/>
      <c r="MXT13" s="46"/>
      <c r="MXU13" s="46"/>
      <c r="MXV13" s="46"/>
      <c r="MXW13" s="46"/>
      <c r="MXX13" s="46"/>
      <c r="MXY13" s="46"/>
      <c r="MXZ13" s="46"/>
      <c r="MYA13" s="46"/>
      <c r="MYB13" s="46"/>
      <c r="MYC13" s="46"/>
      <c r="MYD13" s="46"/>
      <c r="MYE13" s="46"/>
      <c r="MYF13" s="46"/>
      <c r="MYG13" s="46"/>
      <c r="MYH13" s="46"/>
      <c r="MYI13" s="46"/>
      <c r="MYJ13" s="46"/>
      <c r="MYK13" s="46"/>
      <c r="MYL13" s="46"/>
      <c r="MYM13" s="46"/>
      <c r="MYN13" s="46"/>
      <c r="MYO13" s="46"/>
      <c r="MYP13" s="46"/>
      <c r="MYQ13" s="46"/>
      <c r="MYR13" s="46"/>
      <c r="MYS13" s="46"/>
      <c r="MYT13" s="46"/>
      <c r="MYU13" s="46"/>
      <c r="MYV13" s="46"/>
      <c r="MYW13" s="46"/>
      <c r="MYX13" s="46"/>
      <c r="MYY13" s="46"/>
      <c r="MYZ13" s="46"/>
      <c r="MZA13" s="46"/>
      <c r="MZB13" s="46"/>
      <c r="MZC13" s="46"/>
      <c r="MZD13" s="46"/>
      <c r="MZE13" s="46"/>
      <c r="MZF13" s="46"/>
      <c r="MZG13" s="46"/>
      <c r="MZH13" s="46"/>
      <c r="MZI13" s="46"/>
      <c r="MZJ13" s="46"/>
      <c r="MZK13" s="46"/>
      <c r="MZL13" s="46"/>
      <c r="MZM13" s="46"/>
      <c r="MZN13" s="46"/>
      <c r="MZO13" s="46"/>
      <c r="MZP13" s="46"/>
      <c r="MZQ13" s="46"/>
      <c r="MZR13" s="46"/>
      <c r="MZS13" s="46"/>
      <c r="MZT13" s="46"/>
      <c r="MZU13" s="46"/>
      <c r="MZV13" s="46"/>
      <c r="MZW13" s="46"/>
      <c r="MZX13" s="46"/>
      <c r="MZY13" s="46"/>
      <c r="MZZ13" s="46"/>
      <c r="NAA13" s="46"/>
      <c r="NAB13" s="46"/>
      <c r="NAC13" s="46"/>
      <c r="NAD13" s="46"/>
      <c r="NAE13" s="46"/>
      <c r="NAF13" s="46"/>
      <c r="NAG13" s="46"/>
      <c r="NAH13" s="46"/>
      <c r="NAI13" s="46"/>
      <c r="NAJ13" s="46"/>
      <c r="NAK13" s="46"/>
      <c r="NAL13" s="46"/>
      <c r="NAM13" s="46"/>
      <c r="NAN13" s="46"/>
      <c r="NAO13" s="46"/>
      <c r="NAP13" s="46"/>
      <c r="NAQ13" s="46"/>
      <c r="NAR13" s="46"/>
      <c r="NAS13" s="46"/>
      <c r="NAT13" s="46"/>
      <c r="NAU13" s="46"/>
      <c r="NAV13" s="46"/>
      <c r="NAW13" s="46"/>
      <c r="NAX13" s="46"/>
      <c r="NAY13" s="46"/>
      <c r="NAZ13" s="46"/>
      <c r="NBA13" s="46"/>
      <c r="NBB13" s="46"/>
      <c r="NBC13" s="46"/>
      <c r="NBD13" s="46"/>
      <c r="NBE13" s="46"/>
      <c r="NBF13" s="46"/>
      <c r="NBG13" s="46"/>
      <c r="NBH13" s="46"/>
      <c r="NBI13" s="46"/>
      <c r="NBJ13" s="46"/>
      <c r="NBK13" s="46"/>
      <c r="NBL13" s="46"/>
      <c r="NBM13" s="46"/>
      <c r="NBN13" s="46"/>
      <c r="NBO13" s="46"/>
      <c r="NBP13" s="46"/>
      <c r="NBQ13" s="46"/>
      <c r="NBR13" s="46"/>
      <c r="NBS13" s="46"/>
      <c r="NBT13" s="46"/>
      <c r="NBU13" s="46"/>
      <c r="NBV13" s="46"/>
      <c r="NBW13" s="46"/>
      <c r="NBX13" s="46"/>
      <c r="NBY13" s="46"/>
      <c r="NBZ13" s="46"/>
      <c r="NCA13" s="46"/>
      <c r="NCB13" s="46"/>
      <c r="NCC13" s="46"/>
      <c r="NCD13" s="46"/>
      <c r="NCE13" s="46"/>
      <c r="NCF13" s="46"/>
      <c r="NCG13" s="46"/>
      <c r="NCH13" s="46"/>
      <c r="NCI13" s="46"/>
      <c r="NCJ13" s="46"/>
      <c r="NCK13" s="46"/>
      <c r="NCL13" s="46"/>
      <c r="NCM13" s="46"/>
      <c r="NCN13" s="46"/>
      <c r="NCO13" s="46"/>
      <c r="NCP13" s="46"/>
      <c r="NCQ13" s="46"/>
      <c r="NCR13" s="46"/>
      <c r="NCS13" s="46"/>
      <c r="NCT13" s="46"/>
      <c r="NCU13" s="46"/>
      <c r="NCV13" s="46"/>
      <c r="NCW13" s="46"/>
      <c r="NCX13" s="46"/>
      <c r="NCY13" s="46"/>
      <c r="NCZ13" s="46"/>
      <c r="NDA13" s="46"/>
      <c r="NDB13" s="46"/>
      <c r="NDC13" s="46"/>
      <c r="NDD13" s="46"/>
      <c r="NDE13" s="46"/>
      <c r="NDF13" s="46"/>
      <c r="NDG13" s="46"/>
      <c r="NDH13" s="46"/>
      <c r="NDI13" s="46"/>
      <c r="NDJ13" s="46"/>
      <c r="NDK13" s="46"/>
      <c r="NDL13" s="46"/>
      <c r="NDM13" s="46"/>
      <c r="NDN13" s="46"/>
      <c r="NDO13" s="46"/>
      <c r="NDP13" s="46"/>
      <c r="NDQ13" s="46"/>
      <c r="NDR13" s="46"/>
      <c r="NDS13" s="46"/>
      <c r="NDT13" s="46"/>
      <c r="NDU13" s="46"/>
      <c r="NDV13" s="46"/>
      <c r="NDW13" s="46"/>
      <c r="NDX13" s="46"/>
      <c r="NDY13" s="46"/>
      <c r="NDZ13" s="46"/>
      <c r="NEA13" s="46"/>
      <c r="NEB13" s="46"/>
      <c r="NEC13" s="46"/>
      <c r="NED13" s="46"/>
      <c r="NEE13" s="46"/>
      <c r="NEF13" s="46"/>
      <c r="NEG13" s="46"/>
      <c r="NEH13" s="46"/>
      <c r="NEI13" s="46"/>
      <c r="NEJ13" s="46"/>
      <c r="NEK13" s="46"/>
      <c r="NEL13" s="46"/>
      <c r="NEM13" s="46"/>
      <c r="NEN13" s="46"/>
      <c r="NEO13" s="46"/>
      <c r="NEP13" s="46"/>
      <c r="NEQ13" s="46"/>
      <c r="NER13" s="46"/>
      <c r="NES13" s="46"/>
      <c r="NET13" s="46"/>
      <c r="NEU13" s="46"/>
      <c r="NEV13" s="46"/>
      <c r="NEW13" s="46"/>
      <c r="NEX13" s="46"/>
      <c r="NEY13" s="46"/>
      <c r="NEZ13" s="46"/>
      <c r="NFA13" s="46"/>
      <c r="NFB13" s="46"/>
      <c r="NFC13" s="46"/>
      <c r="NFD13" s="46"/>
      <c r="NFE13" s="46"/>
      <c r="NFF13" s="46"/>
      <c r="NFG13" s="46"/>
      <c r="NFH13" s="46"/>
      <c r="NFI13" s="46"/>
      <c r="NFJ13" s="46"/>
      <c r="NFK13" s="46"/>
      <c r="NFL13" s="46"/>
      <c r="NFM13" s="46"/>
      <c r="NFN13" s="46"/>
      <c r="NFO13" s="46"/>
      <c r="NFP13" s="46"/>
      <c r="NFQ13" s="46"/>
      <c r="NFR13" s="46"/>
      <c r="NFS13" s="46"/>
      <c r="NFT13" s="46"/>
      <c r="NFU13" s="46"/>
      <c r="NFV13" s="46"/>
      <c r="NFW13" s="46"/>
      <c r="NFX13" s="46"/>
      <c r="NFY13" s="46"/>
      <c r="NFZ13" s="46"/>
      <c r="NGA13" s="46"/>
      <c r="NGB13" s="46"/>
      <c r="NGC13" s="46"/>
      <c r="NGD13" s="46"/>
      <c r="NGE13" s="46"/>
      <c r="NGF13" s="46"/>
      <c r="NGG13" s="46"/>
      <c r="NGH13" s="46"/>
      <c r="NGI13" s="46"/>
      <c r="NGJ13" s="46"/>
      <c r="NGK13" s="46"/>
      <c r="NGL13" s="46"/>
      <c r="NGM13" s="46"/>
      <c r="NGN13" s="46"/>
      <c r="NGO13" s="46"/>
      <c r="NGP13" s="46"/>
      <c r="NGQ13" s="46"/>
      <c r="NGR13" s="46"/>
      <c r="NGS13" s="46"/>
      <c r="NGT13" s="46"/>
      <c r="NGU13" s="46"/>
      <c r="NGV13" s="46"/>
      <c r="NGW13" s="46"/>
      <c r="NGX13" s="46"/>
      <c r="NGY13" s="46"/>
      <c r="NGZ13" s="46"/>
      <c r="NHA13" s="46"/>
      <c r="NHB13" s="46"/>
      <c r="NHC13" s="46"/>
      <c r="NHD13" s="46"/>
      <c r="NHE13" s="46"/>
      <c r="NHF13" s="46"/>
      <c r="NHG13" s="46"/>
      <c r="NHH13" s="46"/>
      <c r="NHI13" s="46"/>
      <c r="NHJ13" s="46"/>
      <c r="NHK13" s="46"/>
      <c r="NHL13" s="46"/>
      <c r="NHM13" s="46"/>
      <c r="NHN13" s="46"/>
      <c r="NHO13" s="46"/>
      <c r="NHP13" s="46"/>
      <c r="NHQ13" s="46"/>
      <c r="NHR13" s="46"/>
      <c r="NHS13" s="46"/>
      <c r="NHT13" s="46"/>
      <c r="NHU13" s="46"/>
      <c r="NHV13" s="46"/>
      <c r="NHW13" s="46"/>
      <c r="NHX13" s="46"/>
      <c r="NHY13" s="46"/>
      <c r="NHZ13" s="46"/>
      <c r="NIA13" s="46"/>
      <c r="NIB13" s="46"/>
      <c r="NIC13" s="46"/>
      <c r="NID13" s="46"/>
      <c r="NIE13" s="46"/>
      <c r="NIF13" s="46"/>
      <c r="NIG13" s="46"/>
      <c r="NIH13" s="46"/>
      <c r="NII13" s="46"/>
      <c r="NIJ13" s="46"/>
      <c r="NIK13" s="46"/>
      <c r="NIL13" s="46"/>
      <c r="NIM13" s="46"/>
      <c r="NIN13" s="46"/>
      <c r="NIO13" s="46"/>
      <c r="NIP13" s="46"/>
      <c r="NIQ13" s="46"/>
      <c r="NIR13" s="46"/>
      <c r="NIS13" s="46"/>
      <c r="NIT13" s="46"/>
      <c r="NIU13" s="46"/>
      <c r="NIV13" s="46"/>
      <c r="NIW13" s="46"/>
      <c r="NIX13" s="46"/>
      <c r="NIY13" s="46"/>
      <c r="NIZ13" s="46"/>
      <c r="NJA13" s="46"/>
      <c r="NJB13" s="46"/>
      <c r="NJC13" s="46"/>
      <c r="NJD13" s="46"/>
      <c r="NJE13" s="46"/>
      <c r="NJF13" s="46"/>
      <c r="NJG13" s="46"/>
      <c r="NJH13" s="46"/>
      <c r="NJI13" s="46"/>
      <c r="NJJ13" s="46"/>
      <c r="NJK13" s="46"/>
      <c r="NJL13" s="46"/>
      <c r="NJM13" s="46"/>
      <c r="NJN13" s="46"/>
      <c r="NJO13" s="46"/>
      <c r="NJP13" s="46"/>
      <c r="NJQ13" s="46"/>
      <c r="NJR13" s="46"/>
      <c r="NJS13" s="46"/>
      <c r="NJT13" s="46"/>
      <c r="NJU13" s="46"/>
      <c r="NJV13" s="46"/>
      <c r="NJW13" s="46"/>
      <c r="NJX13" s="46"/>
      <c r="NJY13" s="46"/>
      <c r="NJZ13" s="46"/>
      <c r="NKA13" s="46"/>
      <c r="NKB13" s="46"/>
      <c r="NKC13" s="46"/>
      <c r="NKD13" s="46"/>
      <c r="NKE13" s="46"/>
      <c r="NKF13" s="46"/>
      <c r="NKG13" s="46"/>
      <c r="NKH13" s="46"/>
      <c r="NKI13" s="46"/>
      <c r="NKJ13" s="46"/>
      <c r="NKK13" s="46"/>
      <c r="NKL13" s="46"/>
      <c r="NKM13" s="46"/>
      <c r="NKN13" s="46"/>
      <c r="NKO13" s="46"/>
      <c r="NKP13" s="46"/>
      <c r="NKQ13" s="46"/>
      <c r="NKR13" s="46"/>
      <c r="NKS13" s="46"/>
      <c r="NKT13" s="46"/>
      <c r="NKU13" s="46"/>
      <c r="NKV13" s="46"/>
      <c r="NKW13" s="46"/>
      <c r="NKX13" s="46"/>
      <c r="NKY13" s="46"/>
      <c r="NKZ13" s="46"/>
      <c r="NLA13" s="46"/>
      <c r="NLB13" s="46"/>
      <c r="NLC13" s="46"/>
      <c r="NLD13" s="46"/>
      <c r="NLE13" s="46"/>
      <c r="NLF13" s="46"/>
      <c r="NLG13" s="46"/>
      <c r="NLH13" s="46"/>
      <c r="NLI13" s="46"/>
      <c r="NLJ13" s="46"/>
      <c r="NLK13" s="46"/>
      <c r="NLL13" s="46"/>
      <c r="NLM13" s="46"/>
      <c r="NLN13" s="46"/>
      <c r="NLO13" s="46"/>
      <c r="NLP13" s="46"/>
      <c r="NLQ13" s="46"/>
      <c r="NLR13" s="46"/>
      <c r="NLS13" s="46"/>
      <c r="NLT13" s="46"/>
      <c r="NLU13" s="46"/>
      <c r="NLV13" s="46"/>
      <c r="NLW13" s="46"/>
      <c r="NLX13" s="46"/>
      <c r="NLY13" s="46"/>
      <c r="NLZ13" s="46"/>
      <c r="NMA13" s="46"/>
      <c r="NMB13" s="46"/>
      <c r="NMC13" s="46"/>
      <c r="NMD13" s="46"/>
      <c r="NME13" s="46"/>
      <c r="NMF13" s="46"/>
      <c r="NMG13" s="46"/>
      <c r="NMH13" s="46"/>
      <c r="NMI13" s="46"/>
      <c r="NMJ13" s="46"/>
      <c r="NMK13" s="46"/>
      <c r="NML13" s="46"/>
      <c r="NMM13" s="46"/>
      <c r="NMN13" s="46"/>
      <c r="NMO13" s="46"/>
      <c r="NMP13" s="46"/>
      <c r="NMQ13" s="46"/>
      <c r="NMR13" s="46"/>
      <c r="NMS13" s="46"/>
      <c r="NMT13" s="46"/>
      <c r="NMU13" s="46"/>
      <c r="NMV13" s="46"/>
      <c r="NMW13" s="46"/>
      <c r="NMX13" s="46"/>
      <c r="NMY13" s="46"/>
      <c r="NMZ13" s="46"/>
      <c r="NNA13" s="46"/>
      <c r="NNB13" s="46"/>
      <c r="NNC13" s="46"/>
      <c r="NND13" s="46"/>
      <c r="NNE13" s="46"/>
      <c r="NNF13" s="46"/>
      <c r="NNG13" s="46"/>
      <c r="NNH13" s="46"/>
      <c r="NNI13" s="46"/>
      <c r="NNJ13" s="46"/>
      <c r="NNK13" s="46"/>
      <c r="NNL13" s="46"/>
      <c r="NNM13" s="46"/>
      <c r="NNN13" s="46"/>
      <c r="NNO13" s="46"/>
      <c r="NNP13" s="46"/>
      <c r="NNQ13" s="46"/>
      <c r="NNR13" s="46"/>
      <c r="NNS13" s="46"/>
      <c r="NNT13" s="46"/>
      <c r="NNU13" s="46"/>
      <c r="NNV13" s="46"/>
      <c r="NNW13" s="46"/>
      <c r="NNX13" s="46"/>
      <c r="NNY13" s="46"/>
      <c r="NNZ13" s="46"/>
      <c r="NOA13" s="46"/>
      <c r="NOB13" s="46"/>
      <c r="NOC13" s="46"/>
      <c r="NOD13" s="46"/>
      <c r="NOE13" s="46"/>
      <c r="NOF13" s="46"/>
      <c r="NOG13" s="46"/>
      <c r="NOH13" s="46"/>
      <c r="NOI13" s="46"/>
      <c r="NOJ13" s="46"/>
      <c r="NOK13" s="46"/>
      <c r="NOL13" s="46"/>
      <c r="NOM13" s="46"/>
      <c r="NON13" s="46"/>
      <c r="NOO13" s="46"/>
      <c r="NOP13" s="46"/>
      <c r="NOQ13" s="46"/>
      <c r="NOR13" s="46"/>
      <c r="NOS13" s="46"/>
      <c r="NOT13" s="46"/>
      <c r="NOU13" s="46"/>
      <c r="NOV13" s="46"/>
      <c r="NOW13" s="46"/>
      <c r="NOX13" s="46"/>
      <c r="NOY13" s="46"/>
      <c r="NOZ13" s="46"/>
      <c r="NPA13" s="46"/>
      <c r="NPB13" s="46"/>
      <c r="NPC13" s="46"/>
      <c r="NPD13" s="46"/>
      <c r="NPE13" s="46"/>
      <c r="NPF13" s="46"/>
      <c r="NPG13" s="46"/>
      <c r="NPH13" s="46"/>
      <c r="NPI13" s="46"/>
      <c r="NPJ13" s="46"/>
      <c r="NPK13" s="46"/>
      <c r="NPL13" s="46"/>
      <c r="NPM13" s="46"/>
      <c r="NPN13" s="46"/>
      <c r="NPO13" s="46"/>
      <c r="NPP13" s="46"/>
      <c r="NPQ13" s="46"/>
      <c r="NPR13" s="46"/>
      <c r="NPS13" s="46"/>
      <c r="NPT13" s="46"/>
      <c r="NPU13" s="46"/>
      <c r="NPV13" s="46"/>
      <c r="NPW13" s="46"/>
      <c r="NPX13" s="46"/>
      <c r="NPY13" s="46"/>
      <c r="NPZ13" s="46"/>
      <c r="NQA13" s="46"/>
      <c r="NQB13" s="46"/>
      <c r="NQC13" s="46"/>
      <c r="NQD13" s="46"/>
      <c r="NQE13" s="46"/>
      <c r="NQF13" s="46"/>
      <c r="NQG13" s="46"/>
      <c r="NQH13" s="46"/>
      <c r="NQI13" s="46"/>
      <c r="NQJ13" s="46"/>
      <c r="NQK13" s="46"/>
      <c r="NQL13" s="46"/>
      <c r="NQM13" s="46"/>
      <c r="NQN13" s="46"/>
      <c r="NQO13" s="46"/>
      <c r="NQP13" s="46"/>
      <c r="NQQ13" s="46"/>
      <c r="NQR13" s="46"/>
      <c r="NQS13" s="46"/>
      <c r="NQT13" s="46"/>
      <c r="NQU13" s="46"/>
      <c r="NQV13" s="46"/>
      <c r="NQW13" s="46"/>
      <c r="NQX13" s="46"/>
      <c r="NQY13" s="46"/>
      <c r="NQZ13" s="46"/>
      <c r="NRA13" s="46"/>
      <c r="NRB13" s="46"/>
      <c r="NRC13" s="46"/>
      <c r="NRD13" s="46"/>
      <c r="NRE13" s="46"/>
      <c r="NRF13" s="46"/>
      <c r="NRG13" s="46"/>
      <c r="NRH13" s="46"/>
      <c r="NRI13" s="46"/>
      <c r="NRJ13" s="46"/>
      <c r="NRK13" s="46"/>
      <c r="NRL13" s="46"/>
      <c r="NRM13" s="46"/>
      <c r="NRN13" s="46"/>
      <c r="NRO13" s="46"/>
      <c r="NRP13" s="46"/>
      <c r="NRQ13" s="46"/>
      <c r="NRR13" s="46"/>
      <c r="NRS13" s="46"/>
      <c r="NRT13" s="46"/>
      <c r="NRU13" s="46"/>
      <c r="NRV13" s="46"/>
      <c r="NRW13" s="46"/>
      <c r="NRX13" s="46"/>
      <c r="NRY13" s="46"/>
      <c r="NRZ13" s="46"/>
      <c r="NSA13" s="46"/>
      <c r="NSB13" s="46"/>
      <c r="NSC13" s="46"/>
      <c r="NSD13" s="46"/>
      <c r="NSE13" s="46"/>
      <c r="NSF13" s="46"/>
      <c r="NSG13" s="46"/>
      <c r="NSH13" s="46"/>
      <c r="NSI13" s="46"/>
      <c r="NSJ13" s="46"/>
      <c r="NSK13" s="46"/>
      <c r="NSL13" s="46"/>
      <c r="NSM13" s="46"/>
      <c r="NSN13" s="46"/>
      <c r="NSO13" s="46"/>
      <c r="NSP13" s="46"/>
      <c r="NSQ13" s="46"/>
      <c r="NSR13" s="46"/>
      <c r="NSS13" s="46"/>
      <c r="NST13" s="46"/>
      <c r="NSU13" s="46"/>
      <c r="NSV13" s="46"/>
      <c r="NSW13" s="46"/>
      <c r="NSX13" s="46"/>
      <c r="NSY13" s="46"/>
      <c r="NSZ13" s="46"/>
      <c r="NTA13" s="46"/>
      <c r="NTB13" s="46"/>
      <c r="NTC13" s="46"/>
      <c r="NTD13" s="46"/>
      <c r="NTE13" s="46"/>
      <c r="NTF13" s="46"/>
      <c r="NTG13" s="46"/>
      <c r="NTH13" s="46"/>
      <c r="NTI13" s="46"/>
      <c r="NTJ13" s="46"/>
      <c r="NTK13" s="46"/>
      <c r="NTL13" s="46"/>
      <c r="NTM13" s="46"/>
      <c r="NTN13" s="46"/>
      <c r="NTO13" s="46"/>
      <c r="NTP13" s="46"/>
      <c r="NTQ13" s="46"/>
      <c r="NTR13" s="46"/>
      <c r="NTS13" s="46"/>
      <c r="NTT13" s="46"/>
      <c r="NTU13" s="46"/>
      <c r="NTV13" s="46"/>
      <c r="NTW13" s="46"/>
      <c r="NTX13" s="46"/>
      <c r="NTY13" s="46"/>
      <c r="NTZ13" s="46"/>
      <c r="NUA13" s="46"/>
      <c r="NUB13" s="46"/>
      <c r="NUC13" s="46"/>
      <c r="NUD13" s="46"/>
      <c r="NUE13" s="46"/>
      <c r="NUF13" s="46"/>
      <c r="NUG13" s="46"/>
      <c r="NUH13" s="46"/>
      <c r="NUI13" s="46"/>
      <c r="NUJ13" s="46"/>
      <c r="NUK13" s="46"/>
      <c r="NUL13" s="46"/>
      <c r="NUM13" s="46"/>
      <c r="NUN13" s="46"/>
      <c r="NUO13" s="46"/>
      <c r="NUP13" s="46"/>
      <c r="NUQ13" s="46"/>
      <c r="NUR13" s="46"/>
      <c r="NUS13" s="46"/>
      <c r="NUT13" s="46"/>
      <c r="NUU13" s="46"/>
      <c r="NUV13" s="46"/>
      <c r="NUW13" s="46"/>
      <c r="NUX13" s="46"/>
      <c r="NUY13" s="46"/>
      <c r="NUZ13" s="46"/>
      <c r="NVA13" s="46"/>
      <c r="NVB13" s="46"/>
      <c r="NVC13" s="46"/>
      <c r="NVD13" s="46"/>
      <c r="NVE13" s="46"/>
      <c r="NVF13" s="46"/>
      <c r="NVG13" s="46"/>
      <c r="NVH13" s="46"/>
      <c r="NVI13" s="46"/>
      <c r="NVJ13" s="46"/>
      <c r="NVK13" s="46"/>
      <c r="NVL13" s="46"/>
      <c r="NVM13" s="46"/>
      <c r="NVN13" s="46"/>
      <c r="NVO13" s="46"/>
      <c r="NVP13" s="46"/>
      <c r="NVQ13" s="46"/>
      <c r="NVR13" s="46"/>
      <c r="NVS13" s="46"/>
      <c r="NVT13" s="46"/>
      <c r="NVU13" s="46"/>
      <c r="NVV13" s="46"/>
      <c r="NVW13" s="46"/>
      <c r="NVX13" s="46"/>
      <c r="NVY13" s="46"/>
      <c r="NVZ13" s="46"/>
      <c r="NWA13" s="46"/>
      <c r="NWB13" s="46"/>
      <c r="NWC13" s="46"/>
      <c r="NWD13" s="46"/>
      <c r="NWE13" s="46"/>
      <c r="NWF13" s="46"/>
      <c r="NWG13" s="46"/>
      <c r="NWH13" s="46"/>
      <c r="NWI13" s="46"/>
      <c r="NWJ13" s="46"/>
      <c r="NWK13" s="46"/>
      <c r="NWL13" s="46"/>
      <c r="NWM13" s="46"/>
      <c r="NWN13" s="46"/>
      <c r="NWO13" s="46"/>
      <c r="NWP13" s="46"/>
      <c r="NWQ13" s="46"/>
      <c r="NWR13" s="46"/>
      <c r="NWS13" s="46"/>
      <c r="NWT13" s="46"/>
      <c r="NWU13" s="46"/>
      <c r="NWV13" s="46"/>
      <c r="NWW13" s="46"/>
      <c r="NWX13" s="46"/>
      <c r="NWY13" s="46"/>
      <c r="NWZ13" s="46"/>
      <c r="NXA13" s="46"/>
      <c r="NXB13" s="46"/>
      <c r="NXC13" s="46"/>
      <c r="NXD13" s="46"/>
      <c r="NXE13" s="46"/>
      <c r="NXF13" s="46"/>
      <c r="NXG13" s="46"/>
      <c r="NXH13" s="46"/>
      <c r="NXI13" s="46"/>
      <c r="NXJ13" s="46"/>
      <c r="NXK13" s="46"/>
      <c r="NXL13" s="46"/>
      <c r="NXM13" s="46"/>
      <c r="NXN13" s="46"/>
      <c r="NXO13" s="46"/>
      <c r="NXP13" s="46"/>
      <c r="NXQ13" s="46"/>
      <c r="NXR13" s="46"/>
      <c r="NXS13" s="46"/>
      <c r="NXT13" s="46"/>
      <c r="NXU13" s="46"/>
      <c r="NXV13" s="46"/>
      <c r="NXW13" s="46"/>
      <c r="NXX13" s="46"/>
      <c r="NXY13" s="46"/>
      <c r="NXZ13" s="46"/>
      <c r="NYA13" s="46"/>
      <c r="NYB13" s="46"/>
      <c r="NYC13" s="46"/>
      <c r="NYD13" s="46"/>
      <c r="NYE13" s="46"/>
      <c r="NYF13" s="46"/>
      <c r="NYG13" s="46"/>
      <c r="NYH13" s="46"/>
      <c r="NYI13" s="46"/>
      <c r="NYJ13" s="46"/>
      <c r="NYK13" s="46"/>
      <c r="NYL13" s="46"/>
      <c r="NYM13" s="46"/>
      <c r="NYN13" s="46"/>
      <c r="NYO13" s="46"/>
      <c r="NYP13" s="46"/>
      <c r="NYQ13" s="46"/>
      <c r="NYR13" s="46"/>
      <c r="NYS13" s="46"/>
      <c r="NYT13" s="46"/>
      <c r="NYU13" s="46"/>
      <c r="NYV13" s="46"/>
      <c r="NYW13" s="46"/>
      <c r="NYX13" s="46"/>
      <c r="NYY13" s="46"/>
      <c r="NYZ13" s="46"/>
      <c r="NZA13" s="46"/>
      <c r="NZB13" s="46"/>
      <c r="NZC13" s="46"/>
      <c r="NZD13" s="46"/>
      <c r="NZE13" s="46"/>
      <c r="NZF13" s="46"/>
      <c r="NZG13" s="46"/>
      <c r="NZH13" s="46"/>
      <c r="NZI13" s="46"/>
      <c r="NZJ13" s="46"/>
      <c r="NZK13" s="46"/>
      <c r="NZL13" s="46"/>
      <c r="NZM13" s="46"/>
      <c r="NZN13" s="46"/>
      <c r="NZO13" s="46"/>
      <c r="NZP13" s="46"/>
      <c r="NZQ13" s="46"/>
      <c r="NZR13" s="46"/>
      <c r="NZS13" s="46"/>
      <c r="NZT13" s="46"/>
      <c r="NZU13" s="46"/>
      <c r="NZV13" s="46"/>
      <c r="NZW13" s="46"/>
      <c r="NZX13" s="46"/>
      <c r="NZY13" s="46"/>
      <c r="NZZ13" s="46"/>
      <c r="OAA13" s="46"/>
      <c r="OAB13" s="46"/>
      <c r="OAC13" s="46"/>
      <c r="OAD13" s="46"/>
      <c r="OAE13" s="46"/>
      <c r="OAF13" s="46"/>
      <c r="OAG13" s="46"/>
      <c r="OAH13" s="46"/>
      <c r="OAI13" s="46"/>
      <c r="OAJ13" s="46"/>
      <c r="OAK13" s="46"/>
      <c r="OAL13" s="46"/>
      <c r="OAM13" s="46"/>
      <c r="OAN13" s="46"/>
      <c r="OAO13" s="46"/>
      <c r="OAP13" s="46"/>
      <c r="OAQ13" s="46"/>
      <c r="OAR13" s="46"/>
      <c r="OAS13" s="46"/>
      <c r="OAT13" s="46"/>
      <c r="OAU13" s="46"/>
      <c r="OAV13" s="46"/>
      <c r="OAW13" s="46"/>
      <c r="OAX13" s="46"/>
      <c r="OAY13" s="46"/>
      <c r="OAZ13" s="46"/>
      <c r="OBA13" s="46"/>
      <c r="OBB13" s="46"/>
      <c r="OBC13" s="46"/>
      <c r="OBD13" s="46"/>
      <c r="OBE13" s="46"/>
      <c r="OBF13" s="46"/>
      <c r="OBG13" s="46"/>
      <c r="OBH13" s="46"/>
      <c r="OBI13" s="46"/>
      <c r="OBJ13" s="46"/>
      <c r="OBK13" s="46"/>
      <c r="OBL13" s="46"/>
      <c r="OBM13" s="46"/>
      <c r="OBN13" s="46"/>
      <c r="OBO13" s="46"/>
      <c r="OBP13" s="46"/>
      <c r="OBQ13" s="46"/>
      <c r="OBR13" s="46"/>
      <c r="OBS13" s="46"/>
      <c r="OBT13" s="46"/>
      <c r="OBU13" s="46"/>
      <c r="OBV13" s="46"/>
      <c r="OBW13" s="46"/>
      <c r="OBX13" s="46"/>
      <c r="OBY13" s="46"/>
      <c r="OBZ13" s="46"/>
      <c r="OCA13" s="46"/>
      <c r="OCB13" s="46"/>
      <c r="OCC13" s="46"/>
      <c r="OCD13" s="46"/>
      <c r="OCE13" s="46"/>
      <c r="OCF13" s="46"/>
      <c r="OCG13" s="46"/>
      <c r="OCH13" s="46"/>
      <c r="OCI13" s="46"/>
      <c r="OCJ13" s="46"/>
      <c r="OCK13" s="46"/>
      <c r="OCL13" s="46"/>
      <c r="OCM13" s="46"/>
      <c r="OCN13" s="46"/>
      <c r="OCO13" s="46"/>
      <c r="OCP13" s="46"/>
      <c r="OCQ13" s="46"/>
      <c r="OCR13" s="46"/>
      <c r="OCS13" s="46"/>
      <c r="OCT13" s="46"/>
      <c r="OCU13" s="46"/>
      <c r="OCV13" s="46"/>
      <c r="OCW13" s="46"/>
      <c r="OCX13" s="46"/>
      <c r="OCY13" s="46"/>
      <c r="OCZ13" s="46"/>
      <c r="ODA13" s="46"/>
      <c r="ODB13" s="46"/>
      <c r="ODC13" s="46"/>
      <c r="ODD13" s="46"/>
      <c r="ODE13" s="46"/>
      <c r="ODF13" s="46"/>
      <c r="ODG13" s="46"/>
      <c r="ODH13" s="46"/>
      <c r="ODI13" s="46"/>
      <c r="ODJ13" s="46"/>
      <c r="ODK13" s="46"/>
      <c r="ODL13" s="46"/>
      <c r="ODM13" s="46"/>
      <c r="ODN13" s="46"/>
      <c r="ODO13" s="46"/>
      <c r="ODP13" s="46"/>
      <c r="ODQ13" s="46"/>
      <c r="ODR13" s="46"/>
      <c r="ODS13" s="46"/>
      <c r="ODT13" s="46"/>
      <c r="ODU13" s="46"/>
      <c r="ODV13" s="46"/>
      <c r="ODW13" s="46"/>
      <c r="ODX13" s="46"/>
      <c r="ODY13" s="46"/>
      <c r="ODZ13" s="46"/>
      <c r="OEA13" s="46"/>
      <c r="OEB13" s="46"/>
      <c r="OEC13" s="46"/>
      <c r="OED13" s="46"/>
      <c r="OEE13" s="46"/>
      <c r="OEF13" s="46"/>
      <c r="OEG13" s="46"/>
      <c r="OEH13" s="46"/>
      <c r="OEI13" s="46"/>
      <c r="OEJ13" s="46"/>
      <c r="OEK13" s="46"/>
      <c r="OEL13" s="46"/>
      <c r="OEM13" s="46"/>
      <c r="OEN13" s="46"/>
      <c r="OEO13" s="46"/>
      <c r="OEP13" s="46"/>
      <c r="OEQ13" s="46"/>
      <c r="OER13" s="46"/>
      <c r="OES13" s="46"/>
      <c r="OET13" s="46"/>
      <c r="OEU13" s="46"/>
      <c r="OEV13" s="46"/>
      <c r="OEW13" s="46"/>
      <c r="OEX13" s="46"/>
      <c r="OEY13" s="46"/>
      <c r="OEZ13" s="46"/>
      <c r="OFA13" s="46"/>
      <c r="OFB13" s="46"/>
      <c r="OFC13" s="46"/>
      <c r="OFD13" s="46"/>
      <c r="OFE13" s="46"/>
      <c r="OFF13" s="46"/>
      <c r="OFG13" s="46"/>
      <c r="OFH13" s="46"/>
      <c r="OFI13" s="46"/>
      <c r="OFJ13" s="46"/>
      <c r="OFK13" s="46"/>
      <c r="OFL13" s="46"/>
      <c r="OFM13" s="46"/>
      <c r="OFN13" s="46"/>
      <c r="OFO13" s="46"/>
      <c r="OFP13" s="46"/>
      <c r="OFQ13" s="46"/>
      <c r="OFR13" s="46"/>
      <c r="OFS13" s="46"/>
      <c r="OFT13" s="46"/>
      <c r="OFU13" s="46"/>
      <c r="OFV13" s="46"/>
      <c r="OFW13" s="46"/>
      <c r="OFX13" s="46"/>
      <c r="OFY13" s="46"/>
      <c r="OFZ13" s="46"/>
      <c r="OGA13" s="46"/>
      <c r="OGB13" s="46"/>
      <c r="OGC13" s="46"/>
      <c r="OGD13" s="46"/>
      <c r="OGE13" s="46"/>
      <c r="OGF13" s="46"/>
      <c r="OGG13" s="46"/>
      <c r="OGH13" s="46"/>
      <c r="OGI13" s="46"/>
      <c r="OGJ13" s="46"/>
      <c r="OGK13" s="46"/>
      <c r="OGL13" s="46"/>
      <c r="OGM13" s="46"/>
      <c r="OGN13" s="46"/>
      <c r="OGO13" s="46"/>
      <c r="OGP13" s="46"/>
      <c r="OGQ13" s="46"/>
      <c r="OGR13" s="46"/>
      <c r="OGS13" s="46"/>
      <c r="OGT13" s="46"/>
      <c r="OGU13" s="46"/>
      <c r="OGV13" s="46"/>
      <c r="OGW13" s="46"/>
      <c r="OGX13" s="46"/>
      <c r="OGY13" s="46"/>
      <c r="OGZ13" s="46"/>
      <c r="OHA13" s="46"/>
      <c r="OHB13" s="46"/>
      <c r="OHC13" s="46"/>
      <c r="OHD13" s="46"/>
      <c r="OHE13" s="46"/>
      <c r="OHF13" s="46"/>
      <c r="OHG13" s="46"/>
      <c r="OHH13" s="46"/>
      <c r="OHI13" s="46"/>
      <c r="OHJ13" s="46"/>
      <c r="OHK13" s="46"/>
      <c r="OHL13" s="46"/>
      <c r="OHM13" s="46"/>
      <c r="OHN13" s="46"/>
      <c r="OHO13" s="46"/>
      <c r="OHP13" s="46"/>
      <c r="OHQ13" s="46"/>
      <c r="OHR13" s="46"/>
      <c r="OHS13" s="46"/>
      <c r="OHT13" s="46"/>
      <c r="OHU13" s="46"/>
      <c r="OHV13" s="46"/>
      <c r="OHW13" s="46"/>
      <c r="OHX13" s="46"/>
      <c r="OHY13" s="46"/>
      <c r="OHZ13" s="46"/>
      <c r="OIA13" s="46"/>
      <c r="OIB13" s="46"/>
      <c r="OIC13" s="46"/>
      <c r="OID13" s="46"/>
      <c r="OIE13" s="46"/>
      <c r="OIF13" s="46"/>
      <c r="OIG13" s="46"/>
      <c r="OIH13" s="46"/>
      <c r="OII13" s="46"/>
      <c r="OIJ13" s="46"/>
      <c r="OIK13" s="46"/>
      <c r="OIL13" s="46"/>
      <c r="OIM13" s="46"/>
      <c r="OIN13" s="46"/>
      <c r="OIO13" s="46"/>
      <c r="OIP13" s="46"/>
      <c r="OIQ13" s="46"/>
      <c r="OIR13" s="46"/>
      <c r="OIS13" s="46"/>
      <c r="OIT13" s="46"/>
      <c r="OIU13" s="46"/>
      <c r="OIV13" s="46"/>
      <c r="OIW13" s="46"/>
      <c r="OIX13" s="46"/>
      <c r="OIY13" s="46"/>
      <c r="OIZ13" s="46"/>
      <c r="OJA13" s="46"/>
      <c r="OJB13" s="46"/>
      <c r="OJC13" s="46"/>
      <c r="OJD13" s="46"/>
      <c r="OJE13" s="46"/>
      <c r="OJF13" s="46"/>
      <c r="OJG13" s="46"/>
      <c r="OJH13" s="46"/>
      <c r="OJI13" s="46"/>
      <c r="OJJ13" s="46"/>
      <c r="OJK13" s="46"/>
      <c r="OJL13" s="46"/>
      <c r="OJM13" s="46"/>
      <c r="OJN13" s="46"/>
      <c r="OJO13" s="46"/>
      <c r="OJP13" s="46"/>
      <c r="OJQ13" s="46"/>
      <c r="OJR13" s="46"/>
      <c r="OJS13" s="46"/>
      <c r="OJT13" s="46"/>
      <c r="OJU13" s="46"/>
      <c r="OJV13" s="46"/>
      <c r="OJW13" s="46"/>
      <c r="OJX13" s="46"/>
      <c r="OJY13" s="46"/>
      <c r="OJZ13" s="46"/>
      <c r="OKA13" s="46"/>
      <c r="OKB13" s="46"/>
      <c r="OKC13" s="46"/>
      <c r="OKD13" s="46"/>
      <c r="OKE13" s="46"/>
      <c r="OKF13" s="46"/>
      <c r="OKG13" s="46"/>
      <c r="OKH13" s="46"/>
      <c r="OKI13" s="46"/>
      <c r="OKJ13" s="46"/>
      <c r="OKK13" s="46"/>
      <c r="OKL13" s="46"/>
      <c r="OKM13" s="46"/>
      <c r="OKN13" s="46"/>
      <c r="OKO13" s="46"/>
      <c r="OKP13" s="46"/>
      <c r="OKQ13" s="46"/>
      <c r="OKR13" s="46"/>
      <c r="OKS13" s="46"/>
      <c r="OKT13" s="46"/>
      <c r="OKU13" s="46"/>
      <c r="OKV13" s="46"/>
      <c r="OKW13" s="46"/>
      <c r="OKX13" s="46"/>
      <c r="OKY13" s="46"/>
      <c r="OKZ13" s="46"/>
      <c r="OLA13" s="46"/>
      <c r="OLB13" s="46"/>
      <c r="OLC13" s="46"/>
      <c r="OLD13" s="46"/>
      <c r="OLE13" s="46"/>
      <c r="OLF13" s="46"/>
      <c r="OLG13" s="46"/>
      <c r="OLH13" s="46"/>
      <c r="OLI13" s="46"/>
      <c r="OLJ13" s="46"/>
      <c r="OLK13" s="46"/>
      <c r="OLL13" s="46"/>
      <c r="OLM13" s="46"/>
      <c r="OLN13" s="46"/>
      <c r="OLO13" s="46"/>
      <c r="OLP13" s="46"/>
      <c r="OLQ13" s="46"/>
      <c r="OLR13" s="46"/>
      <c r="OLS13" s="46"/>
      <c r="OLT13" s="46"/>
      <c r="OLU13" s="46"/>
      <c r="OLV13" s="46"/>
      <c r="OLW13" s="46"/>
      <c r="OLX13" s="46"/>
      <c r="OLY13" s="46"/>
      <c r="OLZ13" s="46"/>
      <c r="OMA13" s="46"/>
      <c r="OMB13" s="46"/>
      <c r="OMC13" s="46"/>
      <c r="OMD13" s="46"/>
      <c r="OME13" s="46"/>
      <c r="OMF13" s="46"/>
      <c r="OMG13" s="46"/>
      <c r="OMH13" s="46"/>
      <c r="OMI13" s="46"/>
      <c r="OMJ13" s="46"/>
      <c r="OMK13" s="46"/>
      <c r="OML13" s="46"/>
      <c r="OMM13" s="46"/>
      <c r="OMN13" s="46"/>
      <c r="OMO13" s="46"/>
      <c r="OMP13" s="46"/>
      <c r="OMQ13" s="46"/>
      <c r="OMR13" s="46"/>
      <c r="OMS13" s="46"/>
      <c r="OMT13" s="46"/>
      <c r="OMU13" s="46"/>
      <c r="OMV13" s="46"/>
      <c r="OMW13" s="46"/>
      <c r="OMX13" s="46"/>
      <c r="OMY13" s="46"/>
      <c r="OMZ13" s="46"/>
      <c r="ONA13" s="46"/>
      <c r="ONB13" s="46"/>
      <c r="ONC13" s="46"/>
      <c r="OND13" s="46"/>
      <c r="ONE13" s="46"/>
      <c r="ONF13" s="46"/>
      <c r="ONG13" s="46"/>
      <c r="ONH13" s="46"/>
      <c r="ONI13" s="46"/>
      <c r="ONJ13" s="46"/>
      <c r="ONK13" s="46"/>
      <c r="ONL13" s="46"/>
      <c r="ONM13" s="46"/>
      <c r="ONN13" s="46"/>
      <c r="ONO13" s="46"/>
      <c r="ONP13" s="46"/>
      <c r="ONQ13" s="46"/>
      <c r="ONR13" s="46"/>
      <c r="ONS13" s="46"/>
      <c r="ONT13" s="46"/>
      <c r="ONU13" s="46"/>
      <c r="ONV13" s="46"/>
      <c r="ONW13" s="46"/>
      <c r="ONX13" s="46"/>
      <c r="ONY13" s="46"/>
      <c r="ONZ13" s="46"/>
      <c r="OOA13" s="46"/>
      <c r="OOB13" s="46"/>
      <c r="OOC13" s="46"/>
      <c r="OOD13" s="46"/>
      <c r="OOE13" s="46"/>
      <c r="OOF13" s="46"/>
      <c r="OOG13" s="46"/>
      <c r="OOH13" s="46"/>
      <c r="OOI13" s="46"/>
      <c r="OOJ13" s="46"/>
      <c r="OOK13" s="46"/>
      <c r="OOL13" s="46"/>
      <c r="OOM13" s="46"/>
      <c r="OON13" s="46"/>
      <c r="OOO13" s="46"/>
      <c r="OOP13" s="46"/>
      <c r="OOQ13" s="46"/>
      <c r="OOR13" s="46"/>
      <c r="OOS13" s="46"/>
      <c r="OOT13" s="46"/>
      <c r="OOU13" s="46"/>
      <c r="OOV13" s="46"/>
      <c r="OOW13" s="46"/>
      <c r="OOX13" s="46"/>
      <c r="OOY13" s="46"/>
      <c r="OOZ13" s="46"/>
      <c r="OPA13" s="46"/>
      <c r="OPB13" s="46"/>
      <c r="OPC13" s="46"/>
      <c r="OPD13" s="46"/>
      <c r="OPE13" s="46"/>
      <c r="OPF13" s="46"/>
      <c r="OPG13" s="46"/>
      <c r="OPH13" s="46"/>
      <c r="OPI13" s="46"/>
      <c r="OPJ13" s="46"/>
      <c r="OPK13" s="46"/>
      <c r="OPL13" s="46"/>
      <c r="OPM13" s="46"/>
      <c r="OPN13" s="46"/>
      <c r="OPO13" s="46"/>
      <c r="OPP13" s="46"/>
      <c r="OPQ13" s="46"/>
      <c r="OPR13" s="46"/>
      <c r="OPS13" s="46"/>
      <c r="OPT13" s="46"/>
      <c r="OPU13" s="46"/>
      <c r="OPV13" s="46"/>
      <c r="OPW13" s="46"/>
      <c r="OPX13" s="46"/>
      <c r="OPY13" s="46"/>
      <c r="OPZ13" s="46"/>
      <c r="OQA13" s="46"/>
      <c r="OQB13" s="46"/>
      <c r="OQC13" s="46"/>
      <c r="OQD13" s="46"/>
      <c r="OQE13" s="46"/>
      <c r="OQF13" s="46"/>
      <c r="OQG13" s="46"/>
      <c r="OQH13" s="46"/>
      <c r="OQI13" s="46"/>
      <c r="OQJ13" s="46"/>
      <c r="OQK13" s="46"/>
      <c r="OQL13" s="46"/>
      <c r="OQM13" s="46"/>
      <c r="OQN13" s="46"/>
      <c r="OQO13" s="46"/>
      <c r="OQP13" s="46"/>
      <c r="OQQ13" s="46"/>
      <c r="OQR13" s="46"/>
      <c r="OQS13" s="46"/>
      <c r="OQT13" s="46"/>
      <c r="OQU13" s="46"/>
      <c r="OQV13" s="46"/>
      <c r="OQW13" s="46"/>
      <c r="OQX13" s="46"/>
      <c r="OQY13" s="46"/>
      <c r="OQZ13" s="46"/>
      <c r="ORA13" s="46"/>
      <c r="ORB13" s="46"/>
      <c r="ORC13" s="46"/>
      <c r="ORD13" s="46"/>
      <c r="ORE13" s="46"/>
      <c r="ORF13" s="46"/>
      <c r="ORG13" s="46"/>
      <c r="ORH13" s="46"/>
      <c r="ORI13" s="46"/>
      <c r="ORJ13" s="46"/>
      <c r="ORK13" s="46"/>
      <c r="ORL13" s="46"/>
      <c r="ORM13" s="46"/>
      <c r="ORN13" s="46"/>
      <c r="ORO13" s="46"/>
      <c r="ORP13" s="46"/>
      <c r="ORQ13" s="46"/>
      <c r="ORR13" s="46"/>
      <c r="ORS13" s="46"/>
      <c r="ORT13" s="46"/>
      <c r="ORU13" s="46"/>
      <c r="ORV13" s="46"/>
      <c r="ORW13" s="46"/>
      <c r="ORX13" s="46"/>
      <c r="ORY13" s="46"/>
      <c r="ORZ13" s="46"/>
      <c r="OSA13" s="46"/>
      <c r="OSB13" s="46"/>
      <c r="OSC13" s="46"/>
      <c r="OSD13" s="46"/>
      <c r="OSE13" s="46"/>
      <c r="OSF13" s="46"/>
      <c r="OSG13" s="46"/>
      <c r="OSH13" s="46"/>
      <c r="OSI13" s="46"/>
      <c r="OSJ13" s="46"/>
      <c r="OSK13" s="46"/>
      <c r="OSL13" s="46"/>
      <c r="OSM13" s="46"/>
      <c r="OSN13" s="46"/>
      <c r="OSO13" s="46"/>
      <c r="OSP13" s="46"/>
      <c r="OSQ13" s="46"/>
      <c r="OSR13" s="46"/>
      <c r="OSS13" s="46"/>
      <c r="OST13" s="46"/>
      <c r="OSU13" s="46"/>
      <c r="OSV13" s="46"/>
      <c r="OSW13" s="46"/>
      <c r="OSX13" s="46"/>
      <c r="OSY13" s="46"/>
      <c r="OSZ13" s="46"/>
      <c r="OTA13" s="46"/>
      <c r="OTB13" s="46"/>
      <c r="OTC13" s="46"/>
      <c r="OTD13" s="46"/>
      <c r="OTE13" s="46"/>
      <c r="OTF13" s="46"/>
      <c r="OTG13" s="46"/>
      <c r="OTH13" s="46"/>
      <c r="OTI13" s="46"/>
      <c r="OTJ13" s="46"/>
      <c r="OTK13" s="46"/>
      <c r="OTL13" s="46"/>
      <c r="OTM13" s="46"/>
      <c r="OTN13" s="46"/>
      <c r="OTO13" s="46"/>
      <c r="OTP13" s="46"/>
      <c r="OTQ13" s="46"/>
      <c r="OTR13" s="46"/>
      <c r="OTS13" s="46"/>
      <c r="OTT13" s="46"/>
      <c r="OTU13" s="46"/>
      <c r="OTV13" s="46"/>
      <c r="OTW13" s="46"/>
      <c r="OTX13" s="46"/>
      <c r="OTY13" s="46"/>
      <c r="OTZ13" s="46"/>
      <c r="OUA13" s="46"/>
      <c r="OUB13" s="46"/>
      <c r="OUC13" s="46"/>
      <c r="OUD13" s="46"/>
      <c r="OUE13" s="46"/>
      <c r="OUF13" s="46"/>
      <c r="OUG13" s="46"/>
      <c r="OUH13" s="46"/>
      <c r="OUI13" s="46"/>
      <c r="OUJ13" s="46"/>
      <c r="OUK13" s="46"/>
      <c r="OUL13" s="46"/>
      <c r="OUM13" s="46"/>
      <c r="OUN13" s="46"/>
      <c r="OUO13" s="46"/>
      <c r="OUP13" s="46"/>
      <c r="OUQ13" s="46"/>
      <c r="OUR13" s="46"/>
      <c r="OUS13" s="46"/>
      <c r="OUT13" s="46"/>
      <c r="OUU13" s="46"/>
      <c r="OUV13" s="46"/>
      <c r="OUW13" s="46"/>
      <c r="OUX13" s="46"/>
      <c r="OUY13" s="46"/>
      <c r="OUZ13" s="46"/>
      <c r="OVA13" s="46"/>
      <c r="OVB13" s="46"/>
      <c r="OVC13" s="46"/>
      <c r="OVD13" s="46"/>
      <c r="OVE13" s="46"/>
      <c r="OVF13" s="46"/>
      <c r="OVG13" s="46"/>
      <c r="OVH13" s="46"/>
      <c r="OVI13" s="46"/>
      <c r="OVJ13" s="46"/>
      <c r="OVK13" s="46"/>
      <c r="OVL13" s="46"/>
      <c r="OVM13" s="46"/>
      <c r="OVN13" s="46"/>
      <c r="OVO13" s="46"/>
      <c r="OVP13" s="46"/>
      <c r="OVQ13" s="46"/>
      <c r="OVR13" s="46"/>
      <c r="OVS13" s="46"/>
      <c r="OVT13" s="46"/>
      <c r="OVU13" s="46"/>
      <c r="OVV13" s="46"/>
      <c r="OVW13" s="46"/>
      <c r="OVX13" s="46"/>
      <c r="OVY13" s="46"/>
      <c r="OVZ13" s="46"/>
      <c r="OWA13" s="46"/>
      <c r="OWB13" s="46"/>
      <c r="OWC13" s="46"/>
      <c r="OWD13" s="46"/>
      <c r="OWE13" s="46"/>
      <c r="OWF13" s="46"/>
      <c r="OWG13" s="46"/>
      <c r="OWH13" s="46"/>
      <c r="OWI13" s="46"/>
      <c r="OWJ13" s="46"/>
      <c r="OWK13" s="46"/>
      <c r="OWL13" s="46"/>
      <c r="OWM13" s="46"/>
      <c r="OWN13" s="46"/>
      <c r="OWO13" s="46"/>
      <c r="OWP13" s="46"/>
      <c r="OWQ13" s="46"/>
      <c r="OWR13" s="46"/>
      <c r="OWS13" s="46"/>
      <c r="OWT13" s="46"/>
      <c r="OWU13" s="46"/>
      <c r="OWV13" s="46"/>
      <c r="OWW13" s="46"/>
      <c r="OWX13" s="46"/>
      <c r="OWY13" s="46"/>
      <c r="OWZ13" s="46"/>
      <c r="OXA13" s="46"/>
      <c r="OXB13" s="46"/>
      <c r="OXC13" s="46"/>
      <c r="OXD13" s="46"/>
      <c r="OXE13" s="46"/>
      <c r="OXF13" s="46"/>
      <c r="OXG13" s="46"/>
      <c r="OXH13" s="46"/>
      <c r="OXI13" s="46"/>
      <c r="OXJ13" s="46"/>
      <c r="OXK13" s="46"/>
      <c r="OXL13" s="46"/>
      <c r="OXM13" s="46"/>
      <c r="OXN13" s="46"/>
      <c r="OXO13" s="46"/>
      <c r="OXP13" s="46"/>
      <c r="OXQ13" s="46"/>
      <c r="OXR13" s="46"/>
      <c r="OXS13" s="46"/>
      <c r="OXT13" s="46"/>
      <c r="OXU13" s="46"/>
      <c r="OXV13" s="46"/>
      <c r="OXW13" s="46"/>
      <c r="OXX13" s="46"/>
      <c r="OXY13" s="46"/>
      <c r="OXZ13" s="46"/>
      <c r="OYA13" s="46"/>
      <c r="OYB13" s="46"/>
      <c r="OYC13" s="46"/>
      <c r="OYD13" s="46"/>
      <c r="OYE13" s="46"/>
      <c r="OYF13" s="46"/>
      <c r="OYG13" s="46"/>
      <c r="OYH13" s="46"/>
      <c r="OYI13" s="46"/>
      <c r="OYJ13" s="46"/>
      <c r="OYK13" s="46"/>
      <c r="OYL13" s="46"/>
      <c r="OYM13" s="46"/>
      <c r="OYN13" s="46"/>
      <c r="OYO13" s="46"/>
      <c r="OYP13" s="46"/>
      <c r="OYQ13" s="46"/>
      <c r="OYR13" s="46"/>
      <c r="OYS13" s="46"/>
      <c r="OYT13" s="46"/>
      <c r="OYU13" s="46"/>
      <c r="OYV13" s="46"/>
      <c r="OYW13" s="46"/>
      <c r="OYX13" s="46"/>
      <c r="OYY13" s="46"/>
      <c r="OYZ13" s="46"/>
      <c r="OZA13" s="46"/>
      <c r="OZB13" s="46"/>
      <c r="OZC13" s="46"/>
      <c r="OZD13" s="46"/>
      <c r="OZE13" s="46"/>
      <c r="OZF13" s="46"/>
      <c r="OZG13" s="46"/>
      <c r="OZH13" s="46"/>
      <c r="OZI13" s="46"/>
      <c r="OZJ13" s="46"/>
      <c r="OZK13" s="46"/>
      <c r="OZL13" s="46"/>
      <c r="OZM13" s="46"/>
      <c r="OZN13" s="46"/>
      <c r="OZO13" s="46"/>
      <c r="OZP13" s="46"/>
      <c r="OZQ13" s="46"/>
      <c r="OZR13" s="46"/>
      <c r="OZS13" s="46"/>
      <c r="OZT13" s="46"/>
      <c r="OZU13" s="46"/>
      <c r="OZV13" s="46"/>
      <c r="OZW13" s="46"/>
      <c r="OZX13" s="46"/>
      <c r="OZY13" s="46"/>
      <c r="OZZ13" s="46"/>
      <c r="PAA13" s="46"/>
      <c r="PAB13" s="46"/>
      <c r="PAC13" s="46"/>
      <c r="PAD13" s="46"/>
      <c r="PAE13" s="46"/>
      <c r="PAF13" s="46"/>
      <c r="PAG13" s="46"/>
      <c r="PAH13" s="46"/>
      <c r="PAI13" s="46"/>
      <c r="PAJ13" s="46"/>
      <c r="PAK13" s="46"/>
      <c r="PAL13" s="46"/>
      <c r="PAM13" s="46"/>
      <c r="PAN13" s="46"/>
      <c r="PAO13" s="46"/>
      <c r="PAP13" s="46"/>
      <c r="PAQ13" s="46"/>
      <c r="PAR13" s="46"/>
      <c r="PAS13" s="46"/>
      <c r="PAT13" s="46"/>
      <c r="PAU13" s="46"/>
      <c r="PAV13" s="46"/>
      <c r="PAW13" s="46"/>
      <c r="PAX13" s="46"/>
      <c r="PAY13" s="46"/>
      <c r="PAZ13" s="46"/>
      <c r="PBA13" s="46"/>
      <c r="PBB13" s="46"/>
      <c r="PBC13" s="46"/>
      <c r="PBD13" s="46"/>
      <c r="PBE13" s="46"/>
      <c r="PBF13" s="46"/>
      <c r="PBG13" s="46"/>
      <c r="PBH13" s="46"/>
      <c r="PBI13" s="46"/>
      <c r="PBJ13" s="46"/>
      <c r="PBK13" s="46"/>
      <c r="PBL13" s="46"/>
      <c r="PBM13" s="46"/>
      <c r="PBN13" s="46"/>
      <c r="PBO13" s="46"/>
      <c r="PBP13" s="46"/>
      <c r="PBQ13" s="46"/>
      <c r="PBR13" s="46"/>
      <c r="PBS13" s="46"/>
      <c r="PBT13" s="46"/>
      <c r="PBU13" s="46"/>
      <c r="PBV13" s="46"/>
      <c r="PBW13" s="46"/>
      <c r="PBX13" s="46"/>
      <c r="PBY13" s="46"/>
      <c r="PBZ13" s="46"/>
      <c r="PCA13" s="46"/>
      <c r="PCB13" s="46"/>
      <c r="PCC13" s="46"/>
      <c r="PCD13" s="46"/>
      <c r="PCE13" s="46"/>
      <c r="PCF13" s="46"/>
      <c r="PCG13" s="46"/>
      <c r="PCH13" s="46"/>
      <c r="PCI13" s="46"/>
      <c r="PCJ13" s="46"/>
      <c r="PCK13" s="46"/>
      <c r="PCL13" s="46"/>
      <c r="PCM13" s="46"/>
      <c r="PCN13" s="46"/>
      <c r="PCO13" s="46"/>
      <c r="PCP13" s="46"/>
      <c r="PCQ13" s="46"/>
      <c r="PCR13" s="46"/>
      <c r="PCS13" s="46"/>
      <c r="PCT13" s="46"/>
      <c r="PCU13" s="46"/>
      <c r="PCV13" s="46"/>
      <c r="PCW13" s="46"/>
      <c r="PCX13" s="46"/>
      <c r="PCY13" s="46"/>
      <c r="PCZ13" s="46"/>
      <c r="PDA13" s="46"/>
      <c r="PDB13" s="46"/>
      <c r="PDC13" s="46"/>
      <c r="PDD13" s="46"/>
      <c r="PDE13" s="46"/>
      <c r="PDF13" s="46"/>
      <c r="PDG13" s="46"/>
      <c r="PDH13" s="46"/>
      <c r="PDI13" s="46"/>
      <c r="PDJ13" s="46"/>
      <c r="PDK13" s="46"/>
      <c r="PDL13" s="46"/>
      <c r="PDM13" s="46"/>
      <c r="PDN13" s="46"/>
      <c r="PDO13" s="46"/>
      <c r="PDP13" s="46"/>
      <c r="PDQ13" s="46"/>
      <c r="PDR13" s="46"/>
      <c r="PDS13" s="46"/>
      <c r="PDT13" s="46"/>
      <c r="PDU13" s="46"/>
      <c r="PDV13" s="46"/>
      <c r="PDW13" s="46"/>
      <c r="PDX13" s="46"/>
      <c r="PDY13" s="46"/>
      <c r="PDZ13" s="46"/>
      <c r="PEA13" s="46"/>
      <c r="PEB13" s="46"/>
      <c r="PEC13" s="46"/>
      <c r="PED13" s="46"/>
      <c r="PEE13" s="46"/>
      <c r="PEF13" s="46"/>
      <c r="PEG13" s="46"/>
      <c r="PEH13" s="46"/>
      <c r="PEI13" s="46"/>
      <c r="PEJ13" s="46"/>
      <c r="PEK13" s="46"/>
      <c r="PEL13" s="46"/>
      <c r="PEM13" s="46"/>
      <c r="PEN13" s="46"/>
      <c r="PEO13" s="46"/>
      <c r="PEP13" s="46"/>
      <c r="PEQ13" s="46"/>
      <c r="PER13" s="46"/>
      <c r="PES13" s="46"/>
      <c r="PET13" s="46"/>
      <c r="PEU13" s="46"/>
      <c r="PEV13" s="46"/>
      <c r="PEW13" s="46"/>
      <c r="PEX13" s="46"/>
      <c r="PEY13" s="46"/>
      <c r="PEZ13" s="46"/>
      <c r="PFA13" s="46"/>
      <c r="PFB13" s="46"/>
      <c r="PFC13" s="46"/>
      <c r="PFD13" s="46"/>
      <c r="PFE13" s="46"/>
      <c r="PFF13" s="46"/>
      <c r="PFG13" s="46"/>
      <c r="PFH13" s="46"/>
      <c r="PFI13" s="46"/>
      <c r="PFJ13" s="46"/>
      <c r="PFK13" s="46"/>
      <c r="PFL13" s="46"/>
      <c r="PFM13" s="46"/>
      <c r="PFN13" s="46"/>
      <c r="PFO13" s="46"/>
      <c r="PFP13" s="46"/>
      <c r="PFQ13" s="46"/>
      <c r="PFR13" s="46"/>
      <c r="PFS13" s="46"/>
      <c r="PFT13" s="46"/>
      <c r="PFU13" s="46"/>
      <c r="PFV13" s="46"/>
      <c r="PFW13" s="46"/>
      <c r="PFX13" s="46"/>
      <c r="PFY13" s="46"/>
      <c r="PFZ13" s="46"/>
      <c r="PGA13" s="46"/>
      <c r="PGB13" s="46"/>
      <c r="PGC13" s="46"/>
      <c r="PGD13" s="46"/>
      <c r="PGE13" s="46"/>
      <c r="PGF13" s="46"/>
      <c r="PGG13" s="46"/>
      <c r="PGH13" s="46"/>
      <c r="PGI13" s="46"/>
      <c r="PGJ13" s="46"/>
      <c r="PGK13" s="46"/>
      <c r="PGL13" s="46"/>
      <c r="PGM13" s="46"/>
      <c r="PGN13" s="46"/>
      <c r="PGO13" s="46"/>
      <c r="PGP13" s="46"/>
      <c r="PGQ13" s="46"/>
      <c r="PGR13" s="46"/>
      <c r="PGS13" s="46"/>
      <c r="PGT13" s="46"/>
      <c r="PGU13" s="46"/>
      <c r="PGV13" s="46"/>
      <c r="PGW13" s="46"/>
      <c r="PGX13" s="46"/>
      <c r="PGY13" s="46"/>
      <c r="PGZ13" s="46"/>
      <c r="PHA13" s="46"/>
      <c r="PHB13" s="46"/>
      <c r="PHC13" s="46"/>
      <c r="PHD13" s="46"/>
      <c r="PHE13" s="46"/>
      <c r="PHF13" s="46"/>
      <c r="PHG13" s="46"/>
      <c r="PHH13" s="46"/>
      <c r="PHI13" s="46"/>
      <c r="PHJ13" s="46"/>
      <c r="PHK13" s="46"/>
      <c r="PHL13" s="46"/>
      <c r="PHM13" s="46"/>
      <c r="PHN13" s="46"/>
      <c r="PHO13" s="46"/>
      <c r="PHP13" s="46"/>
      <c r="PHQ13" s="46"/>
      <c r="PHR13" s="46"/>
      <c r="PHS13" s="46"/>
      <c r="PHT13" s="46"/>
      <c r="PHU13" s="46"/>
      <c r="PHV13" s="46"/>
      <c r="PHW13" s="46"/>
      <c r="PHX13" s="46"/>
      <c r="PHY13" s="46"/>
      <c r="PHZ13" s="46"/>
      <c r="PIA13" s="46"/>
      <c r="PIB13" s="46"/>
      <c r="PIC13" s="46"/>
      <c r="PID13" s="46"/>
      <c r="PIE13" s="46"/>
      <c r="PIF13" s="46"/>
      <c r="PIG13" s="46"/>
      <c r="PIH13" s="46"/>
      <c r="PII13" s="46"/>
      <c r="PIJ13" s="46"/>
      <c r="PIK13" s="46"/>
      <c r="PIL13" s="46"/>
      <c r="PIM13" s="46"/>
      <c r="PIN13" s="46"/>
      <c r="PIO13" s="46"/>
      <c r="PIP13" s="46"/>
      <c r="PIQ13" s="46"/>
      <c r="PIR13" s="46"/>
      <c r="PIS13" s="46"/>
      <c r="PIT13" s="46"/>
      <c r="PIU13" s="46"/>
      <c r="PIV13" s="46"/>
      <c r="PIW13" s="46"/>
      <c r="PIX13" s="46"/>
      <c r="PIY13" s="46"/>
      <c r="PIZ13" s="46"/>
      <c r="PJA13" s="46"/>
      <c r="PJB13" s="46"/>
      <c r="PJC13" s="46"/>
      <c r="PJD13" s="46"/>
      <c r="PJE13" s="46"/>
      <c r="PJF13" s="46"/>
      <c r="PJG13" s="46"/>
      <c r="PJH13" s="46"/>
      <c r="PJI13" s="46"/>
      <c r="PJJ13" s="46"/>
      <c r="PJK13" s="46"/>
      <c r="PJL13" s="46"/>
      <c r="PJM13" s="46"/>
      <c r="PJN13" s="46"/>
      <c r="PJO13" s="46"/>
      <c r="PJP13" s="46"/>
      <c r="PJQ13" s="46"/>
      <c r="PJR13" s="46"/>
      <c r="PJS13" s="46"/>
      <c r="PJT13" s="46"/>
      <c r="PJU13" s="46"/>
      <c r="PJV13" s="46"/>
      <c r="PJW13" s="46"/>
      <c r="PJX13" s="46"/>
      <c r="PJY13" s="46"/>
      <c r="PJZ13" s="46"/>
      <c r="PKA13" s="46"/>
      <c r="PKB13" s="46"/>
      <c r="PKC13" s="46"/>
      <c r="PKD13" s="46"/>
      <c r="PKE13" s="46"/>
      <c r="PKF13" s="46"/>
      <c r="PKG13" s="46"/>
      <c r="PKH13" s="46"/>
      <c r="PKI13" s="46"/>
      <c r="PKJ13" s="46"/>
      <c r="PKK13" s="46"/>
      <c r="PKL13" s="46"/>
      <c r="PKM13" s="46"/>
      <c r="PKN13" s="46"/>
      <c r="PKO13" s="46"/>
      <c r="PKP13" s="46"/>
      <c r="PKQ13" s="46"/>
      <c r="PKR13" s="46"/>
      <c r="PKS13" s="46"/>
      <c r="PKT13" s="46"/>
      <c r="PKU13" s="46"/>
      <c r="PKV13" s="46"/>
      <c r="PKW13" s="46"/>
      <c r="PKX13" s="46"/>
      <c r="PKY13" s="46"/>
      <c r="PKZ13" s="46"/>
      <c r="PLA13" s="46"/>
      <c r="PLB13" s="46"/>
      <c r="PLC13" s="46"/>
      <c r="PLD13" s="46"/>
      <c r="PLE13" s="46"/>
      <c r="PLF13" s="46"/>
      <c r="PLG13" s="46"/>
      <c r="PLH13" s="46"/>
      <c r="PLI13" s="46"/>
      <c r="PLJ13" s="46"/>
      <c r="PLK13" s="46"/>
      <c r="PLL13" s="46"/>
      <c r="PLM13" s="46"/>
      <c r="PLN13" s="46"/>
      <c r="PLO13" s="46"/>
      <c r="PLP13" s="46"/>
      <c r="PLQ13" s="46"/>
      <c r="PLR13" s="46"/>
      <c r="PLS13" s="46"/>
      <c r="PLT13" s="46"/>
      <c r="PLU13" s="46"/>
      <c r="PLV13" s="46"/>
      <c r="PLW13" s="46"/>
      <c r="PLX13" s="46"/>
      <c r="PLY13" s="46"/>
      <c r="PLZ13" s="46"/>
      <c r="PMA13" s="46"/>
      <c r="PMB13" s="46"/>
      <c r="PMC13" s="46"/>
      <c r="PMD13" s="46"/>
      <c r="PME13" s="46"/>
      <c r="PMF13" s="46"/>
      <c r="PMG13" s="46"/>
      <c r="PMH13" s="46"/>
      <c r="PMI13" s="46"/>
      <c r="PMJ13" s="46"/>
      <c r="PMK13" s="46"/>
      <c r="PML13" s="46"/>
      <c r="PMM13" s="46"/>
      <c r="PMN13" s="46"/>
      <c r="PMO13" s="46"/>
      <c r="PMP13" s="46"/>
      <c r="PMQ13" s="46"/>
      <c r="PMR13" s="46"/>
      <c r="PMS13" s="46"/>
      <c r="PMT13" s="46"/>
      <c r="PMU13" s="46"/>
      <c r="PMV13" s="46"/>
      <c r="PMW13" s="46"/>
      <c r="PMX13" s="46"/>
      <c r="PMY13" s="46"/>
      <c r="PMZ13" s="46"/>
      <c r="PNA13" s="46"/>
      <c r="PNB13" s="46"/>
      <c r="PNC13" s="46"/>
      <c r="PND13" s="46"/>
      <c r="PNE13" s="46"/>
      <c r="PNF13" s="46"/>
      <c r="PNG13" s="46"/>
      <c r="PNH13" s="46"/>
      <c r="PNI13" s="46"/>
      <c r="PNJ13" s="46"/>
      <c r="PNK13" s="46"/>
      <c r="PNL13" s="46"/>
      <c r="PNM13" s="46"/>
      <c r="PNN13" s="46"/>
      <c r="PNO13" s="46"/>
      <c r="PNP13" s="46"/>
      <c r="PNQ13" s="46"/>
      <c r="PNR13" s="46"/>
      <c r="PNS13" s="46"/>
      <c r="PNT13" s="46"/>
      <c r="PNU13" s="46"/>
      <c r="PNV13" s="46"/>
      <c r="PNW13" s="46"/>
      <c r="PNX13" s="46"/>
      <c r="PNY13" s="46"/>
      <c r="PNZ13" s="46"/>
      <c r="POA13" s="46"/>
      <c r="POB13" s="46"/>
      <c r="POC13" s="46"/>
      <c r="POD13" s="46"/>
      <c r="POE13" s="46"/>
      <c r="POF13" s="46"/>
      <c r="POG13" s="46"/>
      <c r="POH13" s="46"/>
      <c r="POI13" s="46"/>
      <c r="POJ13" s="46"/>
      <c r="POK13" s="46"/>
      <c r="POL13" s="46"/>
      <c r="POM13" s="46"/>
      <c r="PON13" s="46"/>
      <c r="POO13" s="46"/>
      <c r="POP13" s="46"/>
      <c r="POQ13" s="46"/>
      <c r="POR13" s="46"/>
      <c r="POS13" s="46"/>
      <c r="POT13" s="46"/>
      <c r="POU13" s="46"/>
      <c r="POV13" s="46"/>
      <c r="POW13" s="46"/>
      <c r="POX13" s="46"/>
      <c r="POY13" s="46"/>
      <c r="POZ13" s="46"/>
      <c r="PPA13" s="46"/>
      <c r="PPB13" s="46"/>
      <c r="PPC13" s="46"/>
      <c r="PPD13" s="46"/>
      <c r="PPE13" s="46"/>
      <c r="PPF13" s="46"/>
      <c r="PPG13" s="46"/>
      <c r="PPH13" s="46"/>
      <c r="PPI13" s="46"/>
      <c r="PPJ13" s="46"/>
      <c r="PPK13" s="46"/>
      <c r="PPL13" s="46"/>
      <c r="PPM13" s="46"/>
      <c r="PPN13" s="46"/>
      <c r="PPO13" s="46"/>
      <c r="PPP13" s="46"/>
      <c r="PPQ13" s="46"/>
      <c r="PPR13" s="46"/>
      <c r="PPS13" s="46"/>
      <c r="PPT13" s="46"/>
      <c r="PPU13" s="46"/>
      <c r="PPV13" s="46"/>
      <c r="PPW13" s="46"/>
      <c r="PPX13" s="46"/>
      <c r="PPY13" s="46"/>
      <c r="PPZ13" s="46"/>
      <c r="PQA13" s="46"/>
      <c r="PQB13" s="46"/>
      <c r="PQC13" s="46"/>
      <c r="PQD13" s="46"/>
      <c r="PQE13" s="46"/>
      <c r="PQF13" s="46"/>
      <c r="PQG13" s="46"/>
      <c r="PQH13" s="46"/>
      <c r="PQI13" s="46"/>
      <c r="PQJ13" s="46"/>
      <c r="PQK13" s="46"/>
      <c r="PQL13" s="46"/>
      <c r="PQM13" s="46"/>
      <c r="PQN13" s="46"/>
      <c r="PQO13" s="46"/>
      <c r="PQP13" s="46"/>
      <c r="PQQ13" s="46"/>
      <c r="PQR13" s="46"/>
      <c r="PQS13" s="46"/>
      <c r="PQT13" s="46"/>
      <c r="PQU13" s="46"/>
      <c r="PQV13" s="46"/>
      <c r="PQW13" s="46"/>
      <c r="PQX13" s="46"/>
      <c r="PQY13" s="46"/>
      <c r="PQZ13" s="46"/>
      <c r="PRA13" s="46"/>
      <c r="PRB13" s="46"/>
      <c r="PRC13" s="46"/>
      <c r="PRD13" s="46"/>
      <c r="PRE13" s="46"/>
      <c r="PRF13" s="46"/>
      <c r="PRG13" s="46"/>
      <c r="PRH13" s="46"/>
      <c r="PRI13" s="46"/>
      <c r="PRJ13" s="46"/>
      <c r="PRK13" s="46"/>
      <c r="PRL13" s="46"/>
      <c r="PRM13" s="46"/>
      <c r="PRN13" s="46"/>
      <c r="PRO13" s="46"/>
      <c r="PRP13" s="46"/>
      <c r="PRQ13" s="46"/>
      <c r="PRR13" s="46"/>
      <c r="PRS13" s="46"/>
      <c r="PRT13" s="46"/>
      <c r="PRU13" s="46"/>
      <c r="PRV13" s="46"/>
      <c r="PRW13" s="46"/>
      <c r="PRX13" s="46"/>
      <c r="PRY13" s="46"/>
      <c r="PRZ13" s="46"/>
      <c r="PSA13" s="46"/>
      <c r="PSB13" s="46"/>
      <c r="PSC13" s="46"/>
      <c r="PSD13" s="46"/>
      <c r="PSE13" s="46"/>
      <c r="PSF13" s="46"/>
      <c r="PSG13" s="46"/>
      <c r="PSH13" s="46"/>
      <c r="PSI13" s="46"/>
      <c r="PSJ13" s="46"/>
      <c r="PSK13" s="46"/>
      <c r="PSL13" s="46"/>
      <c r="PSM13" s="46"/>
      <c r="PSN13" s="46"/>
      <c r="PSO13" s="46"/>
      <c r="PSP13" s="46"/>
      <c r="PSQ13" s="46"/>
      <c r="PSR13" s="46"/>
      <c r="PSS13" s="46"/>
      <c r="PST13" s="46"/>
      <c r="PSU13" s="46"/>
      <c r="PSV13" s="46"/>
      <c r="PSW13" s="46"/>
      <c r="PSX13" s="46"/>
      <c r="PSY13" s="46"/>
      <c r="PSZ13" s="46"/>
      <c r="PTA13" s="46"/>
      <c r="PTB13" s="46"/>
      <c r="PTC13" s="46"/>
      <c r="PTD13" s="46"/>
      <c r="PTE13" s="46"/>
      <c r="PTF13" s="46"/>
      <c r="PTG13" s="46"/>
      <c r="PTH13" s="46"/>
      <c r="PTI13" s="46"/>
      <c r="PTJ13" s="46"/>
      <c r="PTK13" s="46"/>
      <c r="PTL13" s="46"/>
      <c r="PTM13" s="46"/>
      <c r="PTN13" s="46"/>
      <c r="PTO13" s="46"/>
      <c r="PTP13" s="46"/>
      <c r="PTQ13" s="46"/>
      <c r="PTR13" s="46"/>
      <c r="PTS13" s="46"/>
      <c r="PTT13" s="46"/>
      <c r="PTU13" s="46"/>
      <c r="PTV13" s="46"/>
      <c r="PTW13" s="46"/>
      <c r="PTX13" s="46"/>
      <c r="PTY13" s="46"/>
      <c r="PTZ13" s="46"/>
      <c r="PUA13" s="46"/>
      <c r="PUB13" s="46"/>
      <c r="PUC13" s="46"/>
      <c r="PUD13" s="46"/>
      <c r="PUE13" s="46"/>
      <c r="PUF13" s="46"/>
      <c r="PUG13" s="46"/>
      <c r="PUH13" s="46"/>
      <c r="PUI13" s="46"/>
      <c r="PUJ13" s="46"/>
      <c r="PUK13" s="46"/>
      <c r="PUL13" s="46"/>
      <c r="PUM13" s="46"/>
      <c r="PUN13" s="46"/>
      <c r="PUO13" s="46"/>
      <c r="PUP13" s="46"/>
      <c r="PUQ13" s="46"/>
      <c r="PUR13" s="46"/>
      <c r="PUS13" s="46"/>
      <c r="PUT13" s="46"/>
      <c r="PUU13" s="46"/>
      <c r="PUV13" s="46"/>
      <c r="PUW13" s="46"/>
      <c r="PUX13" s="46"/>
      <c r="PUY13" s="46"/>
      <c r="PUZ13" s="46"/>
      <c r="PVA13" s="46"/>
      <c r="PVB13" s="46"/>
      <c r="PVC13" s="46"/>
      <c r="PVD13" s="46"/>
      <c r="PVE13" s="46"/>
      <c r="PVF13" s="46"/>
      <c r="PVG13" s="46"/>
      <c r="PVH13" s="46"/>
      <c r="PVI13" s="46"/>
      <c r="PVJ13" s="46"/>
      <c r="PVK13" s="46"/>
      <c r="PVL13" s="46"/>
      <c r="PVM13" s="46"/>
      <c r="PVN13" s="46"/>
      <c r="PVO13" s="46"/>
      <c r="PVP13" s="46"/>
      <c r="PVQ13" s="46"/>
      <c r="PVR13" s="46"/>
      <c r="PVS13" s="46"/>
      <c r="PVT13" s="46"/>
      <c r="PVU13" s="46"/>
      <c r="PVV13" s="46"/>
      <c r="PVW13" s="46"/>
      <c r="PVX13" s="46"/>
      <c r="PVY13" s="46"/>
      <c r="PVZ13" s="46"/>
      <c r="PWA13" s="46"/>
      <c r="PWB13" s="46"/>
      <c r="PWC13" s="46"/>
      <c r="PWD13" s="46"/>
      <c r="PWE13" s="46"/>
      <c r="PWF13" s="46"/>
      <c r="PWG13" s="46"/>
      <c r="PWH13" s="46"/>
      <c r="PWI13" s="46"/>
      <c r="PWJ13" s="46"/>
      <c r="PWK13" s="46"/>
      <c r="PWL13" s="46"/>
      <c r="PWM13" s="46"/>
      <c r="PWN13" s="46"/>
      <c r="PWO13" s="46"/>
      <c r="PWP13" s="46"/>
      <c r="PWQ13" s="46"/>
      <c r="PWR13" s="46"/>
      <c r="PWS13" s="46"/>
      <c r="PWT13" s="46"/>
      <c r="PWU13" s="46"/>
      <c r="PWV13" s="46"/>
      <c r="PWW13" s="46"/>
      <c r="PWX13" s="46"/>
      <c r="PWY13" s="46"/>
      <c r="PWZ13" s="46"/>
      <c r="PXA13" s="46"/>
      <c r="PXB13" s="46"/>
      <c r="PXC13" s="46"/>
      <c r="PXD13" s="46"/>
      <c r="PXE13" s="46"/>
      <c r="PXF13" s="46"/>
      <c r="PXG13" s="46"/>
      <c r="PXH13" s="46"/>
      <c r="PXI13" s="46"/>
      <c r="PXJ13" s="46"/>
      <c r="PXK13" s="46"/>
      <c r="PXL13" s="46"/>
      <c r="PXM13" s="46"/>
      <c r="PXN13" s="46"/>
      <c r="PXO13" s="46"/>
      <c r="PXP13" s="46"/>
      <c r="PXQ13" s="46"/>
      <c r="PXR13" s="46"/>
      <c r="PXS13" s="46"/>
      <c r="PXT13" s="46"/>
      <c r="PXU13" s="46"/>
      <c r="PXV13" s="46"/>
      <c r="PXW13" s="46"/>
      <c r="PXX13" s="46"/>
      <c r="PXY13" s="46"/>
      <c r="PXZ13" s="46"/>
      <c r="PYA13" s="46"/>
      <c r="PYB13" s="46"/>
      <c r="PYC13" s="46"/>
      <c r="PYD13" s="46"/>
      <c r="PYE13" s="46"/>
      <c r="PYF13" s="46"/>
      <c r="PYG13" s="46"/>
      <c r="PYH13" s="46"/>
      <c r="PYI13" s="46"/>
      <c r="PYJ13" s="46"/>
      <c r="PYK13" s="46"/>
      <c r="PYL13" s="46"/>
      <c r="PYM13" s="46"/>
      <c r="PYN13" s="46"/>
      <c r="PYO13" s="46"/>
      <c r="PYP13" s="46"/>
      <c r="PYQ13" s="46"/>
      <c r="PYR13" s="46"/>
      <c r="PYS13" s="46"/>
      <c r="PYT13" s="46"/>
      <c r="PYU13" s="46"/>
      <c r="PYV13" s="46"/>
      <c r="PYW13" s="46"/>
      <c r="PYX13" s="46"/>
      <c r="PYY13" s="46"/>
      <c r="PYZ13" s="46"/>
      <c r="PZA13" s="46"/>
      <c r="PZB13" s="46"/>
      <c r="PZC13" s="46"/>
      <c r="PZD13" s="46"/>
      <c r="PZE13" s="46"/>
      <c r="PZF13" s="46"/>
      <c r="PZG13" s="46"/>
      <c r="PZH13" s="46"/>
      <c r="PZI13" s="46"/>
      <c r="PZJ13" s="46"/>
      <c r="PZK13" s="46"/>
      <c r="PZL13" s="46"/>
      <c r="PZM13" s="46"/>
      <c r="PZN13" s="46"/>
      <c r="PZO13" s="46"/>
      <c r="PZP13" s="46"/>
      <c r="PZQ13" s="46"/>
      <c r="PZR13" s="46"/>
      <c r="PZS13" s="46"/>
      <c r="PZT13" s="46"/>
      <c r="PZU13" s="46"/>
      <c r="PZV13" s="46"/>
      <c r="PZW13" s="46"/>
      <c r="PZX13" s="46"/>
      <c r="PZY13" s="46"/>
      <c r="PZZ13" s="46"/>
      <c r="QAA13" s="46"/>
      <c r="QAB13" s="46"/>
      <c r="QAC13" s="46"/>
      <c r="QAD13" s="46"/>
      <c r="QAE13" s="46"/>
      <c r="QAF13" s="46"/>
      <c r="QAG13" s="46"/>
      <c r="QAH13" s="46"/>
      <c r="QAI13" s="46"/>
      <c r="QAJ13" s="46"/>
      <c r="QAK13" s="46"/>
      <c r="QAL13" s="46"/>
      <c r="QAM13" s="46"/>
      <c r="QAN13" s="46"/>
      <c r="QAO13" s="46"/>
      <c r="QAP13" s="46"/>
      <c r="QAQ13" s="46"/>
      <c r="QAR13" s="46"/>
      <c r="QAS13" s="46"/>
      <c r="QAT13" s="46"/>
      <c r="QAU13" s="46"/>
      <c r="QAV13" s="46"/>
      <c r="QAW13" s="46"/>
      <c r="QAX13" s="46"/>
      <c r="QAY13" s="46"/>
      <c r="QAZ13" s="46"/>
      <c r="QBA13" s="46"/>
      <c r="QBB13" s="46"/>
      <c r="QBC13" s="46"/>
      <c r="QBD13" s="46"/>
      <c r="QBE13" s="46"/>
      <c r="QBF13" s="46"/>
      <c r="QBG13" s="46"/>
      <c r="QBH13" s="46"/>
      <c r="QBI13" s="46"/>
      <c r="QBJ13" s="46"/>
      <c r="QBK13" s="46"/>
      <c r="QBL13" s="46"/>
      <c r="QBM13" s="46"/>
      <c r="QBN13" s="46"/>
      <c r="QBO13" s="46"/>
      <c r="QBP13" s="46"/>
      <c r="QBQ13" s="46"/>
      <c r="QBR13" s="46"/>
      <c r="QBS13" s="46"/>
      <c r="QBT13" s="46"/>
      <c r="QBU13" s="46"/>
      <c r="QBV13" s="46"/>
      <c r="QBW13" s="46"/>
      <c r="QBX13" s="46"/>
      <c r="QBY13" s="46"/>
      <c r="QBZ13" s="46"/>
      <c r="QCA13" s="46"/>
      <c r="QCB13" s="46"/>
      <c r="QCC13" s="46"/>
      <c r="QCD13" s="46"/>
      <c r="QCE13" s="46"/>
      <c r="QCF13" s="46"/>
      <c r="QCG13" s="46"/>
      <c r="QCH13" s="46"/>
      <c r="QCI13" s="46"/>
      <c r="QCJ13" s="46"/>
      <c r="QCK13" s="46"/>
      <c r="QCL13" s="46"/>
      <c r="QCM13" s="46"/>
      <c r="QCN13" s="46"/>
      <c r="QCO13" s="46"/>
      <c r="QCP13" s="46"/>
      <c r="QCQ13" s="46"/>
      <c r="QCR13" s="46"/>
      <c r="QCS13" s="46"/>
      <c r="QCT13" s="46"/>
      <c r="QCU13" s="46"/>
      <c r="QCV13" s="46"/>
      <c r="QCW13" s="46"/>
      <c r="QCX13" s="46"/>
      <c r="QCY13" s="46"/>
      <c r="QCZ13" s="46"/>
      <c r="QDA13" s="46"/>
      <c r="QDB13" s="46"/>
      <c r="QDC13" s="46"/>
      <c r="QDD13" s="46"/>
      <c r="QDE13" s="46"/>
      <c r="QDF13" s="46"/>
      <c r="QDG13" s="46"/>
      <c r="QDH13" s="46"/>
      <c r="QDI13" s="46"/>
      <c r="QDJ13" s="46"/>
      <c r="QDK13" s="46"/>
      <c r="QDL13" s="46"/>
      <c r="QDM13" s="46"/>
      <c r="QDN13" s="46"/>
      <c r="QDO13" s="46"/>
      <c r="QDP13" s="46"/>
      <c r="QDQ13" s="46"/>
      <c r="QDR13" s="46"/>
      <c r="QDS13" s="46"/>
      <c r="QDT13" s="46"/>
      <c r="QDU13" s="46"/>
      <c r="QDV13" s="46"/>
      <c r="QDW13" s="46"/>
      <c r="QDX13" s="46"/>
      <c r="QDY13" s="46"/>
      <c r="QDZ13" s="46"/>
      <c r="QEA13" s="46"/>
      <c r="QEB13" s="46"/>
      <c r="QEC13" s="46"/>
      <c r="QED13" s="46"/>
      <c r="QEE13" s="46"/>
      <c r="QEF13" s="46"/>
      <c r="QEG13" s="46"/>
      <c r="QEH13" s="46"/>
      <c r="QEI13" s="46"/>
      <c r="QEJ13" s="46"/>
      <c r="QEK13" s="46"/>
      <c r="QEL13" s="46"/>
      <c r="QEM13" s="46"/>
      <c r="QEN13" s="46"/>
      <c r="QEO13" s="46"/>
      <c r="QEP13" s="46"/>
      <c r="QEQ13" s="46"/>
      <c r="QER13" s="46"/>
      <c r="QES13" s="46"/>
      <c r="QET13" s="46"/>
      <c r="QEU13" s="46"/>
      <c r="QEV13" s="46"/>
      <c r="QEW13" s="46"/>
      <c r="QEX13" s="46"/>
      <c r="QEY13" s="46"/>
      <c r="QEZ13" s="46"/>
      <c r="QFA13" s="46"/>
      <c r="QFB13" s="46"/>
      <c r="QFC13" s="46"/>
      <c r="QFD13" s="46"/>
      <c r="QFE13" s="46"/>
      <c r="QFF13" s="46"/>
      <c r="QFG13" s="46"/>
      <c r="QFH13" s="46"/>
      <c r="QFI13" s="46"/>
      <c r="QFJ13" s="46"/>
      <c r="QFK13" s="46"/>
      <c r="QFL13" s="46"/>
      <c r="QFM13" s="46"/>
      <c r="QFN13" s="46"/>
      <c r="QFO13" s="46"/>
      <c r="QFP13" s="46"/>
      <c r="QFQ13" s="46"/>
      <c r="QFR13" s="46"/>
      <c r="QFS13" s="46"/>
      <c r="QFT13" s="46"/>
      <c r="QFU13" s="46"/>
      <c r="QFV13" s="46"/>
      <c r="QFW13" s="46"/>
      <c r="QFX13" s="46"/>
      <c r="QFY13" s="46"/>
      <c r="QFZ13" s="46"/>
      <c r="QGA13" s="46"/>
      <c r="QGB13" s="46"/>
      <c r="QGC13" s="46"/>
      <c r="QGD13" s="46"/>
      <c r="QGE13" s="46"/>
      <c r="QGF13" s="46"/>
      <c r="QGG13" s="46"/>
      <c r="QGH13" s="46"/>
      <c r="QGI13" s="46"/>
      <c r="QGJ13" s="46"/>
      <c r="QGK13" s="46"/>
      <c r="QGL13" s="46"/>
      <c r="QGM13" s="46"/>
      <c r="QGN13" s="46"/>
      <c r="QGO13" s="46"/>
      <c r="QGP13" s="46"/>
      <c r="QGQ13" s="46"/>
      <c r="QGR13" s="46"/>
      <c r="QGS13" s="46"/>
      <c r="QGT13" s="46"/>
      <c r="QGU13" s="46"/>
      <c r="QGV13" s="46"/>
      <c r="QGW13" s="46"/>
      <c r="QGX13" s="46"/>
      <c r="QGY13" s="46"/>
      <c r="QGZ13" s="46"/>
      <c r="QHA13" s="46"/>
      <c r="QHB13" s="46"/>
      <c r="QHC13" s="46"/>
      <c r="QHD13" s="46"/>
      <c r="QHE13" s="46"/>
      <c r="QHF13" s="46"/>
      <c r="QHG13" s="46"/>
      <c r="QHH13" s="46"/>
      <c r="QHI13" s="46"/>
      <c r="QHJ13" s="46"/>
      <c r="QHK13" s="46"/>
      <c r="QHL13" s="46"/>
      <c r="QHM13" s="46"/>
      <c r="QHN13" s="46"/>
      <c r="QHO13" s="46"/>
      <c r="QHP13" s="46"/>
      <c r="QHQ13" s="46"/>
      <c r="QHR13" s="46"/>
      <c r="QHS13" s="46"/>
      <c r="QHT13" s="46"/>
      <c r="QHU13" s="46"/>
      <c r="QHV13" s="46"/>
      <c r="QHW13" s="46"/>
      <c r="QHX13" s="46"/>
      <c r="QHY13" s="46"/>
      <c r="QHZ13" s="46"/>
      <c r="QIA13" s="46"/>
      <c r="QIB13" s="46"/>
      <c r="QIC13" s="46"/>
      <c r="QID13" s="46"/>
      <c r="QIE13" s="46"/>
      <c r="QIF13" s="46"/>
      <c r="QIG13" s="46"/>
      <c r="QIH13" s="46"/>
      <c r="QII13" s="46"/>
      <c r="QIJ13" s="46"/>
      <c r="QIK13" s="46"/>
      <c r="QIL13" s="46"/>
      <c r="QIM13" s="46"/>
      <c r="QIN13" s="46"/>
      <c r="QIO13" s="46"/>
      <c r="QIP13" s="46"/>
      <c r="QIQ13" s="46"/>
      <c r="QIR13" s="46"/>
      <c r="QIS13" s="46"/>
      <c r="QIT13" s="46"/>
      <c r="QIU13" s="46"/>
      <c r="QIV13" s="46"/>
      <c r="QIW13" s="46"/>
      <c r="QIX13" s="46"/>
      <c r="QIY13" s="46"/>
      <c r="QIZ13" s="46"/>
      <c r="QJA13" s="46"/>
      <c r="QJB13" s="46"/>
      <c r="QJC13" s="46"/>
      <c r="QJD13" s="46"/>
      <c r="QJE13" s="46"/>
      <c r="QJF13" s="46"/>
      <c r="QJG13" s="46"/>
      <c r="QJH13" s="46"/>
      <c r="QJI13" s="46"/>
      <c r="QJJ13" s="46"/>
      <c r="QJK13" s="46"/>
      <c r="QJL13" s="46"/>
      <c r="QJM13" s="46"/>
      <c r="QJN13" s="46"/>
      <c r="QJO13" s="46"/>
      <c r="QJP13" s="46"/>
      <c r="QJQ13" s="46"/>
      <c r="QJR13" s="46"/>
      <c r="QJS13" s="46"/>
      <c r="QJT13" s="46"/>
      <c r="QJU13" s="46"/>
      <c r="QJV13" s="46"/>
      <c r="QJW13" s="46"/>
      <c r="QJX13" s="46"/>
      <c r="QJY13" s="46"/>
      <c r="QJZ13" s="46"/>
      <c r="QKA13" s="46"/>
      <c r="QKB13" s="46"/>
      <c r="QKC13" s="46"/>
      <c r="QKD13" s="46"/>
      <c r="QKE13" s="46"/>
      <c r="QKF13" s="46"/>
      <c r="QKG13" s="46"/>
      <c r="QKH13" s="46"/>
      <c r="QKI13" s="46"/>
      <c r="QKJ13" s="46"/>
      <c r="QKK13" s="46"/>
      <c r="QKL13" s="46"/>
      <c r="QKM13" s="46"/>
      <c r="QKN13" s="46"/>
      <c r="QKO13" s="46"/>
      <c r="QKP13" s="46"/>
      <c r="QKQ13" s="46"/>
      <c r="QKR13" s="46"/>
      <c r="QKS13" s="46"/>
      <c r="QKT13" s="46"/>
      <c r="QKU13" s="46"/>
      <c r="QKV13" s="46"/>
      <c r="QKW13" s="46"/>
      <c r="QKX13" s="46"/>
      <c r="QKY13" s="46"/>
      <c r="QKZ13" s="46"/>
      <c r="QLA13" s="46"/>
      <c r="QLB13" s="46"/>
      <c r="QLC13" s="46"/>
      <c r="QLD13" s="46"/>
      <c r="QLE13" s="46"/>
      <c r="QLF13" s="46"/>
      <c r="QLG13" s="46"/>
      <c r="QLH13" s="46"/>
      <c r="QLI13" s="46"/>
      <c r="QLJ13" s="46"/>
      <c r="QLK13" s="46"/>
      <c r="QLL13" s="46"/>
      <c r="QLM13" s="46"/>
      <c r="QLN13" s="46"/>
      <c r="QLO13" s="46"/>
      <c r="QLP13" s="46"/>
      <c r="QLQ13" s="46"/>
      <c r="QLR13" s="46"/>
      <c r="QLS13" s="46"/>
      <c r="QLT13" s="46"/>
      <c r="QLU13" s="46"/>
      <c r="QLV13" s="46"/>
      <c r="QLW13" s="46"/>
      <c r="QLX13" s="46"/>
      <c r="QLY13" s="46"/>
      <c r="QLZ13" s="46"/>
      <c r="QMA13" s="46"/>
      <c r="QMB13" s="46"/>
      <c r="QMC13" s="46"/>
      <c r="QMD13" s="46"/>
      <c r="QME13" s="46"/>
      <c r="QMF13" s="46"/>
      <c r="QMG13" s="46"/>
      <c r="QMH13" s="46"/>
      <c r="QMI13" s="46"/>
      <c r="QMJ13" s="46"/>
      <c r="QMK13" s="46"/>
      <c r="QML13" s="46"/>
      <c r="QMM13" s="46"/>
      <c r="QMN13" s="46"/>
      <c r="QMO13" s="46"/>
      <c r="QMP13" s="46"/>
      <c r="QMQ13" s="46"/>
      <c r="QMR13" s="46"/>
      <c r="QMS13" s="46"/>
      <c r="QMT13" s="46"/>
      <c r="QMU13" s="46"/>
      <c r="QMV13" s="46"/>
      <c r="QMW13" s="46"/>
      <c r="QMX13" s="46"/>
      <c r="QMY13" s="46"/>
      <c r="QMZ13" s="46"/>
      <c r="QNA13" s="46"/>
      <c r="QNB13" s="46"/>
      <c r="QNC13" s="46"/>
      <c r="QND13" s="46"/>
      <c r="QNE13" s="46"/>
      <c r="QNF13" s="46"/>
      <c r="QNG13" s="46"/>
      <c r="QNH13" s="46"/>
      <c r="QNI13" s="46"/>
      <c r="QNJ13" s="46"/>
      <c r="QNK13" s="46"/>
      <c r="QNL13" s="46"/>
      <c r="QNM13" s="46"/>
      <c r="QNN13" s="46"/>
      <c r="QNO13" s="46"/>
      <c r="QNP13" s="46"/>
      <c r="QNQ13" s="46"/>
      <c r="QNR13" s="46"/>
      <c r="QNS13" s="46"/>
      <c r="QNT13" s="46"/>
      <c r="QNU13" s="46"/>
      <c r="QNV13" s="46"/>
      <c r="QNW13" s="46"/>
      <c r="QNX13" s="46"/>
      <c r="QNY13" s="46"/>
      <c r="QNZ13" s="46"/>
      <c r="QOA13" s="46"/>
      <c r="QOB13" s="46"/>
      <c r="QOC13" s="46"/>
      <c r="QOD13" s="46"/>
      <c r="QOE13" s="46"/>
      <c r="QOF13" s="46"/>
      <c r="QOG13" s="46"/>
      <c r="QOH13" s="46"/>
      <c r="QOI13" s="46"/>
      <c r="QOJ13" s="46"/>
      <c r="QOK13" s="46"/>
      <c r="QOL13" s="46"/>
      <c r="QOM13" s="46"/>
      <c r="QON13" s="46"/>
      <c r="QOO13" s="46"/>
      <c r="QOP13" s="46"/>
      <c r="QOQ13" s="46"/>
      <c r="QOR13" s="46"/>
      <c r="QOS13" s="46"/>
      <c r="QOT13" s="46"/>
      <c r="QOU13" s="46"/>
      <c r="QOV13" s="46"/>
      <c r="QOW13" s="46"/>
      <c r="QOX13" s="46"/>
      <c r="QOY13" s="46"/>
      <c r="QOZ13" s="46"/>
      <c r="QPA13" s="46"/>
      <c r="QPB13" s="46"/>
      <c r="QPC13" s="46"/>
      <c r="QPD13" s="46"/>
      <c r="QPE13" s="46"/>
      <c r="QPF13" s="46"/>
      <c r="QPG13" s="46"/>
      <c r="QPH13" s="46"/>
      <c r="QPI13" s="46"/>
      <c r="QPJ13" s="46"/>
      <c r="QPK13" s="46"/>
      <c r="QPL13" s="46"/>
      <c r="QPM13" s="46"/>
      <c r="QPN13" s="46"/>
      <c r="QPO13" s="46"/>
      <c r="QPP13" s="46"/>
      <c r="QPQ13" s="46"/>
      <c r="QPR13" s="46"/>
      <c r="QPS13" s="46"/>
      <c r="QPT13" s="46"/>
      <c r="QPU13" s="46"/>
      <c r="QPV13" s="46"/>
      <c r="QPW13" s="46"/>
      <c r="QPX13" s="46"/>
      <c r="QPY13" s="46"/>
      <c r="QPZ13" s="46"/>
      <c r="QQA13" s="46"/>
      <c r="QQB13" s="46"/>
      <c r="QQC13" s="46"/>
      <c r="QQD13" s="46"/>
      <c r="QQE13" s="46"/>
      <c r="QQF13" s="46"/>
      <c r="QQG13" s="46"/>
      <c r="QQH13" s="46"/>
      <c r="QQI13" s="46"/>
      <c r="QQJ13" s="46"/>
      <c r="QQK13" s="46"/>
      <c r="QQL13" s="46"/>
      <c r="QQM13" s="46"/>
      <c r="QQN13" s="46"/>
      <c r="QQO13" s="46"/>
      <c r="QQP13" s="46"/>
      <c r="QQQ13" s="46"/>
      <c r="QQR13" s="46"/>
      <c r="QQS13" s="46"/>
      <c r="QQT13" s="46"/>
      <c r="QQU13" s="46"/>
      <c r="QQV13" s="46"/>
      <c r="QQW13" s="46"/>
      <c r="QQX13" s="46"/>
      <c r="QQY13" s="46"/>
      <c r="QQZ13" s="46"/>
      <c r="QRA13" s="46"/>
      <c r="QRB13" s="46"/>
      <c r="QRC13" s="46"/>
      <c r="QRD13" s="46"/>
      <c r="QRE13" s="46"/>
      <c r="QRF13" s="46"/>
      <c r="QRG13" s="46"/>
      <c r="QRH13" s="46"/>
      <c r="QRI13" s="46"/>
      <c r="QRJ13" s="46"/>
      <c r="QRK13" s="46"/>
      <c r="QRL13" s="46"/>
      <c r="QRM13" s="46"/>
      <c r="QRN13" s="46"/>
      <c r="QRO13" s="46"/>
      <c r="QRP13" s="46"/>
      <c r="QRQ13" s="46"/>
      <c r="QRR13" s="46"/>
      <c r="QRS13" s="46"/>
      <c r="QRT13" s="46"/>
      <c r="QRU13" s="46"/>
      <c r="QRV13" s="46"/>
      <c r="QRW13" s="46"/>
      <c r="QRX13" s="46"/>
      <c r="QRY13" s="46"/>
      <c r="QRZ13" s="46"/>
      <c r="QSA13" s="46"/>
      <c r="QSB13" s="46"/>
      <c r="QSC13" s="46"/>
      <c r="QSD13" s="46"/>
      <c r="QSE13" s="46"/>
      <c r="QSF13" s="46"/>
      <c r="QSG13" s="46"/>
      <c r="QSH13" s="46"/>
      <c r="QSI13" s="46"/>
      <c r="QSJ13" s="46"/>
      <c r="QSK13" s="46"/>
      <c r="QSL13" s="46"/>
      <c r="QSM13" s="46"/>
      <c r="QSN13" s="46"/>
      <c r="QSO13" s="46"/>
      <c r="QSP13" s="46"/>
      <c r="QSQ13" s="46"/>
      <c r="QSR13" s="46"/>
      <c r="QSS13" s="46"/>
      <c r="QST13" s="46"/>
      <c r="QSU13" s="46"/>
      <c r="QSV13" s="46"/>
      <c r="QSW13" s="46"/>
      <c r="QSX13" s="46"/>
      <c r="QSY13" s="46"/>
      <c r="QSZ13" s="46"/>
      <c r="QTA13" s="46"/>
      <c r="QTB13" s="46"/>
      <c r="QTC13" s="46"/>
      <c r="QTD13" s="46"/>
      <c r="QTE13" s="46"/>
      <c r="QTF13" s="46"/>
      <c r="QTG13" s="46"/>
      <c r="QTH13" s="46"/>
      <c r="QTI13" s="46"/>
      <c r="QTJ13" s="46"/>
      <c r="QTK13" s="46"/>
      <c r="QTL13" s="46"/>
      <c r="QTM13" s="46"/>
      <c r="QTN13" s="46"/>
      <c r="QTO13" s="46"/>
      <c r="QTP13" s="46"/>
      <c r="QTQ13" s="46"/>
      <c r="QTR13" s="46"/>
      <c r="QTS13" s="46"/>
      <c r="QTT13" s="46"/>
      <c r="QTU13" s="46"/>
      <c r="QTV13" s="46"/>
      <c r="QTW13" s="46"/>
      <c r="QTX13" s="46"/>
      <c r="QTY13" s="46"/>
      <c r="QTZ13" s="46"/>
      <c r="QUA13" s="46"/>
      <c r="QUB13" s="46"/>
      <c r="QUC13" s="46"/>
      <c r="QUD13" s="46"/>
      <c r="QUE13" s="46"/>
      <c r="QUF13" s="46"/>
      <c r="QUG13" s="46"/>
      <c r="QUH13" s="46"/>
      <c r="QUI13" s="46"/>
      <c r="QUJ13" s="46"/>
      <c r="QUK13" s="46"/>
      <c r="QUL13" s="46"/>
      <c r="QUM13" s="46"/>
      <c r="QUN13" s="46"/>
      <c r="QUO13" s="46"/>
      <c r="QUP13" s="46"/>
      <c r="QUQ13" s="46"/>
      <c r="QUR13" s="46"/>
      <c r="QUS13" s="46"/>
      <c r="QUT13" s="46"/>
      <c r="QUU13" s="46"/>
      <c r="QUV13" s="46"/>
      <c r="QUW13" s="46"/>
      <c r="QUX13" s="46"/>
      <c r="QUY13" s="46"/>
      <c r="QUZ13" s="46"/>
      <c r="QVA13" s="46"/>
      <c r="QVB13" s="46"/>
      <c r="QVC13" s="46"/>
      <c r="QVD13" s="46"/>
      <c r="QVE13" s="46"/>
      <c r="QVF13" s="46"/>
      <c r="QVG13" s="46"/>
      <c r="QVH13" s="46"/>
      <c r="QVI13" s="46"/>
      <c r="QVJ13" s="46"/>
      <c r="QVK13" s="46"/>
      <c r="QVL13" s="46"/>
      <c r="QVM13" s="46"/>
      <c r="QVN13" s="46"/>
      <c r="QVO13" s="46"/>
      <c r="QVP13" s="46"/>
      <c r="QVQ13" s="46"/>
      <c r="QVR13" s="46"/>
      <c r="QVS13" s="46"/>
      <c r="QVT13" s="46"/>
      <c r="QVU13" s="46"/>
      <c r="QVV13" s="46"/>
      <c r="QVW13" s="46"/>
      <c r="QVX13" s="46"/>
      <c r="QVY13" s="46"/>
      <c r="QVZ13" s="46"/>
      <c r="QWA13" s="46"/>
      <c r="QWB13" s="46"/>
      <c r="QWC13" s="46"/>
      <c r="QWD13" s="46"/>
      <c r="QWE13" s="46"/>
      <c r="QWF13" s="46"/>
      <c r="QWG13" s="46"/>
      <c r="QWH13" s="46"/>
      <c r="QWI13" s="46"/>
      <c r="QWJ13" s="46"/>
      <c r="QWK13" s="46"/>
      <c r="QWL13" s="46"/>
      <c r="QWM13" s="46"/>
      <c r="QWN13" s="46"/>
      <c r="QWO13" s="46"/>
      <c r="QWP13" s="46"/>
      <c r="QWQ13" s="46"/>
      <c r="QWR13" s="46"/>
      <c r="QWS13" s="46"/>
      <c r="QWT13" s="46"/>
      <c r="QWU13" s="46"/>
      <c r="QWV13" s="46"/>
      <c r="QWW13" s="46"/>
      <c r="QWX13" s="46"/>
      <c r="QWY13" s="46"/>
      <c r="QWZ13" s="46"/>
      <c r="QXA13" s="46"/>
      <c r="QXB13" s="46"/>
      <c r="QXC13" s="46"/>
      <c r="QXD13" s="46"/>
      <c r="QXE13" s="46"/>
      <c r="QXF13" s="46"/>
      <c r="QXG13" s="46"/>
      <c r="QXH13" s="46"/>
      <c r="QXI13" s="46"/>
      <c r="QXJ13" s="46"/>
      <c r="QXK13" s="46"/>
      <c r="QXL13" s="46"/>
      <c r="QXM13" s="46"/>
      <c r="QXN13" s="46"/>
      <c r="QXO13" s="46"/>
      <c r="QXP13" s="46"/>
      <c r="QXQ13" s="46"/>
      <c r="QXR13" s="46"/>
      <c r="QXS13" s="46"/>
      <c r="QXT13" s="46"/>
      <c r="QXU13" s="46"/>
      <c r="QXV13" s="46"/>
      <c r="QXW13" s="46"/>
      <c r="QXX13" s="46"/>
      <c r="QXY13" s="46"/>
      <c r="QXZ13" s="46"/>
      <c r="QYA13" s="46"/>
      <c r="QYB13" s="46"/>
      <c r="QYC13" s="46"/>
      <c r="QYD13" s="46"/>
      <c r="QYE13" s="46"/>
      <c r="QYF13" s="46"/>
      <c r="QYG13" s="46"/>
      <c r="QYH13" s="46"/>
      <c r="QYI13" s="46"/>
      <c r="QYJ13" s="46"/>
      <c r="QYK13" s="46"/>
      <c r="QYL13" s="46"/>
      <c r="QYM13" s="46"/>
      <c r="QYN13" s="46"/>
      <c r="QYO13" s="46"/>
      <c r="QYP13" s="46"/>
      <c r="QYQ13" s="46"/>
      <c r="QYR13" s="46"/>
      <c r="QYS13" s="46"/>
      <c r="QYT13" s="46"/>
      <c r="QYU13" s="46"/>
      <c r="QYV13" s="46"/>
      <c r="QYW13" s="46"/>
      <c r="QYX13" s="46"/>
      <c r="QYY13" s="46"/>
      <c r="QYZ13" s="46"/>
      <c r="QZA13" s="46"/>
      <c r="QZB13" s="46"/>
      <c r="QZC13" s="46"/>
      <c r="QZD13" s="46"/>
      <c r="QZE13" s="46"/>
      <c r="QZF13" s="46"/>
      <c r="QZG13" s="46"/>
      <c r="QZH13" s="46"/>
      <c r="QZI13" s="46"/>
      <c r="QZJ13" s="46"/>
      <c r="QZK13" s="46"/>
      <c r="QZL13" s="46"/>
      <c r="QZM13" s="46"/>
      <c r="QZN13" s="46"/>
      <c r="QZO13" s="46"/>
      <c r="QZP13" s="46"/>
      <c r="QZQ13" s="46"/>
      <c r="QZR13" s="46"/>
      <c r="QZS13" s="46"/>
      <c r="QZT13" s="46"/>
      <c r="QZU13" s="46"/>
      <c r="QZV13" s="46"/>
      <c r="QZW13" s="46"/>
      <c r="QZX13" s="46"/>
      <c r="QZY13" s="46"/>
      <c r="QZZ13" s="46"/>
      <c r="RAA13" s="46"/>
      <c r="RAB13" s="46"/>
      <c r="RAC13" s="46"/>
      <c r="RAD13" s="46"/>
      <c r="RAE13" s="46"/>
      <c r="RAF13" s="46"/>
      <c r="RAG13" s="46"/>
      <c r="RAH13" s="46"/>
      <c r="RAI13" s="46"/>
      <c r="RAJ13" s="46"/>
      <c r="RAK13" s="46"/>
      <c r="RAL13" s="46"/>
      <c r="RAM13" s="46"/>
      <c r="RAN13" s="46"/>
      <c r="RAO13" s="46"/>
      <c r="RAP13" s="46"/>
      <c r="RAQ13" s="46"/>
      <c r="RAR13" s="46"/>
      <c r="RAS13" s="46"/>
      <c r="RAT13" s="46"/>
      <c r="RAU13" s="46"/>
      <c r="RAV13" s="46"/>
      <c r="RAW13" s="46"/>
      <c r="RAX13" s="46"/>
      <c r="RAY13" s="46"/>
      <c r="RAZ13" s="46"/>
      <c r="RBA13" s="46"/>
      <c r="RBB13" s="46"/>
      <c r="RBC13" s="46"/>
      <c r="RBD13" s="46"/>
      <c r="RBE13" s="46"/>
      <c r="RBF13" s="46"/>
      <c r="RBG13" s="46"/>
      <c r="RBH13" s="46"/>
      <c r="RBI13" s="46"/>
      <c r="RBJ13" s="46"/>
      <c r="RBK13" s="46"/>
      <c r="RBL13" s="46"/>
      <c r="RBM13" s="46"/>
      <c r="RBN13" s="46"/>
      <c r="RBO13" s="46"/>
      <c r="RBP13" s="46"/>
      <c r="RBQ13" s="46"/>
      <c r="RBR13" s="46"/>
      <c r="RBS13" s="46"/>
      <c r="RBT13" s="46"/>
      <c r="RBU13" s="46"/>
      <c r="RBV13" s="46"/>
      <c r="RBW13" s="46"/>
      <c r="RBX13" s="46"/>
      <c r="RBY13" s="46"/>
      <c r="RBZ13" s="46"/>
      <c r="RCA13" s="46"/>
      <c r="RCB13" s="46"/>
      <c r="RCC13" s="46"/>
      <c r="RCD13" s="46"/>
      <c r="RCE13" s="46"/>
      <c r="RCF13" s="46"/>
      <c r="RCG13" s="46"/>
      <c r="RCH13" s="46"/>
      <c r="RCI13" s="46"/>
      <c r="RCJ13" s="46"/>
      <c r="RCK13" s="46"/>
      <c r="RCL13" s="46"/>
      <c r="RCM13" s="46"/>
      <c r="RCN13" s="46"/>
      <c r="RCO13" s="46"/>
      <c r="RCP13" s="46"/>
      <c r="RCQ13" s="46"/>
      <c r="RCR13" s="46"/>
      <c r="RCS13" s="46"/>
      <c r="RCT13" s="46"/>
      <c r="RCU13" s="46"/>
      <c r="RCV13" s="46"/>
      <c r="RCW13" s="46"/>
      <c r="RCX13" s="46"/>
      <c r="RCY13" s="46"/>
      <c r="RCZ13" s="46"/>
      <c r="RDA13" s="46"/>
      <c r="RDB13" s="46"/>
      <c r="RDC13" s="46"/>
      <c r="RDD13" s="46"/>
      <c r="RDE13" s="46"/>
      <c r="RDF13" s="46"/>
      <c r="RDG13" s="46"/>
      <c r="RDH13" s="46"/>
      <c r="RDI13" s="46"/>
      <c r="RDJ13" s="46"/>
      <c r="RDK13" s="46"/>
      <c r="RDL13" s="46"/>
      <c r="RDM13" s="46"/>
      <c r="RDN13" s="46"/>
      <c r="RDO13" s="46"/>
      <c r="RDP13" s="46"/>
      <c r="RDQ13" s="46"/>
      <c r="RDR13" s="46"/>
      <c r="RDS13" s="46"/>
      <c r="RDT13" s="46"/>
      <c r="RDU13" s="46"/>
      <c r="RDV13" s="46"/>
      <c r="RDW13" s="46"/>
      <c r="RDX13" s="46"/>
      <c r="RDY13" s="46"/>
      <c r="RDZ13" s="46"/>
      <c r="REA13" s="46"/>
      <c r="REB13" s="46"/>
      <c r="REC13" s="46"/>
      <c r="RED13" s="46"/>
      <c r="REE13" s="46"/>
      <c r="REF13" s="46"/>
      <c r="REG13" s="46"/>
      <c r="REH13" s="46"/>
      <c r="REI13" s="46"/>
      <c r="REJ13" s="46"/>
      <c r="REK13" s="46"/>
      <c r="REL13" s="46"/>
      <c r="REM13" s="46"/>
      <c r="REN13" s="46"/>
      <c r="REO13" s="46"/>
      <c r="REP13" s="46"/>
      <c r="REQ13" s="46"/>
      <c r="RER13" s="46"/>
      <c r="RES13" s="46"/>
      <c r="RET13" s="46"/>
      <c r="REU13" s="46"/>
      <c r="REV13" s="46"/>
      <c r="REW13" s="46"/>
      <c r="REX13" s="46"/>
      <c r="REY13" s="46"/>
      <c r="REZ13" s="46"/>
      <c r="RFA13" s="46"/>
      <c r="RFB13" s="46"/>
      <c r="RFC13" s="46"/>
      <c r="RFD13" s="46"/>
      <c r="RFE13" s="46"/>
      <c r="RFF13" s="46"/>
      <c r="RFG13" s="46"/>
      <c r="RFH13" s="46"/>
      <c r="RFI13" s="46"/>
      <c r="RFJ13" s="46"/>
      <c r="RFK13" s="46"/>
      <c r="RFL13" s="46"/>
      <c r="RFM13" s="46"/>
      <c r="RFN13" s="46"/>
      <c r="RFO13" s="46"/>
      <c r="RFP13" s="46"/>
      <c r="RFQ13" s="46"/>
      <c r="RFR13" s="46"/>
      <c r="RFS13" s="46"/>
      <c r="RFT13" s="46"/>
      <c r="RFU13" s="46"/>
      <c r="RFV13" s="46"/>
      <c r="RFW13" s="46"/>
      <c r="RFX13" s="46"/>
      <c r="RFY13" s="46"/>
      <c r="RFZ13" s="46"/>
      <c r="RGA13" s="46"/>
      <c r="RGB13" s="46"/>
      <c r="RGC13" s="46"/>
      <c r="RGD13" s="46"/>
      <c r="RGE13" s="46"/>
      <c r="RGF13" s="46"/>
      <c r="RGG13" s="46"/>
      <c r="RGH13" s="46"/>
      <c r="RGI13" s="46"/>
      <c r="RGJ13" s="46"/>
      <c r="RGK13" s="46"/>
      <c r="RGL13" s="46"/>
      <c r="RGM13" s="46"/>
      <c r="RGN13" s="46"/>
      <c r="RGO13" s="46"/>
      <c r="RGP13" s="46"/>
      <c r="RGQ13" s="46"/>
      <c r="RGR13" s="46"/>
      <c r="RGS13" s="46"/>
      <c r="RGT13" s="46"/>
      <c r="RGU13" s="46"/>
      <c r="RGV13" s="46"/>
      <c r="RGW13" s="46"/>
      <c r="RGX13" s="46"/>
      <c r="RGY13" s="46"/>
      <c r="RGZ13" s="46"/>
      <c r="RHA13" s="46"/>
      <c r="RHB13" s="46"/>
      <c r="RHC13" s="46"/>
      <c r="RHD13" s="46"/>
      <c r="RHE13" s="46"/>
      <c r="RHF13" s="46"/>
      <c r="RHG13" s="46"/>
      <c r="RHH13" s="46"/>
      <c r="RHI13" s="46"/>
      <c r="RHJ13" s="46"/>
      <c r="RHK13" s="46"/>
      <c r="RHL13" s="46"/>
      <c r="RHM13" s="46"/>
      <c r="RHN13" s="46"/>
      <c r="RHO13" s="46"/>
      <c r="RHP13" s="46"/>
      <c r="RHQ13" s="46"/>
      <c r="RHR13" s="46"/>
      <c r="RHS13" s="46"/>
      <c r="RHT13" s="46"/>
      <c r="RHU13" s="46"/>
      <c r="RHV13" s="46"/>
      <c r="RHW13" s="46"/>
      <c r="RHX13" s="46"/>
      <c r="RHY13" s="46"/>
      <c r="RHZ13" s="46"/>
      <c r="RIA13" s="46"/>
      <c r="RIB13" s="46"/>
      <c r="RIC13" s="46"/>
      <c r="RID13" s="46"/>
      <c r="RIE13" s="46"/>
      <c r="RIF13" s="46"/>
      <c r="RIG13" s="46"/>
      <c r="RIH13" s="46"/>
      <c r="RII13" s="46"/>
      <c r="RIJ13" s="46"/>
      <c r="RIK13" s="46"/>
      <c r="RIL13" s="46"/>
      <c r="RIM13" s="46"/>
      <c r="RIN13" s="46"/>
      <c r="RIO13" s="46"/>
      <c r="RIP13" s="46"/>
      <c r="RIQ13" s="46"/>
      <c r="RIR13" s="46"/>
      <c r="RIS13" s="46"/>
      <c r="RIT13" s="46"/>
      <c r="RIU13" s="46"/>
      <c r="RIV13" s="46"/>
      <c r="RIW13" s="46"/>
      <c r="RIX13" s="46"/>
      <c r="RIY13" s="46"/>
      <c r="RIZ13" s="46"/>
      <c r="RJA13" s="46"/>
      <c r="RJB13" s="46"/>
      <c r="RJC13" s="46"/>
      <c r="RJD13" s="46"/>
      <c r="RJE13" s="46"/>
      <c r="RJF13" s="46"/>
      <c r="RJG13" s="46"/>
      <c r="RJH13" s="46"/>
      <c r="RJI13" s="46"/>
      <c r="RJJ13" s="46"/>
      <c r="RJK13" s="46"/>
      <c r="RJL13" s="46"/>
      <c r="RJM13" s="46"/>
      <c r="RJN13" s="46"/>
      <c r="RJO13" s="46"/>
      <c r="RJP13" s="46"/>
      <c r="RJQ13" s="46"/>
      <c r="RJR13" s="46"/>
      <c r="RJS13" s="46"/>
      <c r="RJT13" s="46"/>
      <c r="RJU13" s="46"/>
      <c r="RJV13" s="46"/>
      <c r="RJW13" s="46"/>
      <c r="RJX13" s="46"/>
      <c r="RJY13" s="46"/>
      <c r="RJZ13" s="46"/>
      <c r="RKA13" s="46"/>
      <c r="RKB13" s="46"/>
      <c r="RKC13" s="46"/>
      <c r="RKD13" s="46"/>
      <c r="RKE13" s="46"/>
      <c r="RKF13" s="46"/>
      <c r="RKG13" s="46"/>
      <c r="RKH13" s="46"/>
      <c r="RKI13" s="46"/>
      <c r="RKJ13" s="46"/>
      <c r="RKK13" s="46"/>
      <c r="RKL13" s="46"/>
      <c r="RKM13" s="46"/>
      <c r="RKN13" s="46"/>
      <c r="RKO13" s="46"/>
      <c r="RKP13" s="46"/>
      <c r="RKQ13" s="46"/>
      <c r="RKR13" s="46"/>
      <c r="RKS13" s="46"/>
      <c r="RKT13" s="46"/>
      <c r="RKU13" s="46"/>
      <c r="RKV13" s="46"/>
      <c r="RKW13" s="46"/>
      <c r="RKX13" s="46"/>
      <c r="RKY13" s="46"/>
      <c r="RKZ13" s="46"/>
      <c r="RLA13" s="46"/>
      <c r="RLB13" s="46"/>
      <c r="RLC13" s="46"/>
      <c r="RLD13" s="46"/>
      <c r="RLE13" s="46"/>
      <c r="RLF13" s="46"/>
      <c r="RLG13" s="46"/>
      <c r="RLH13" s="46"/>
      <c r="RLI13" s="46"/>
      <c r="RLJ13" s="46"/>
      <c r="RLK13" s="46"/>
      <c r="RLL13" s="46"/>
      <c r="RLM13" s="46"/>
      <c r="RLN13" s="46"/>
      <c r="RLO13" s="46"/>
      <c r="RLP13" s="46"/>
      <c r="RLQ13" s="46"/>
      <c r="RLR13" s="46"/>
      <c r="RLS13" s="46"/>
      <c r="RLT13" s="46"/>
      <c r="RLU13" s="46"/>
      <c r="RLV13" s="46"/>
      <c r="RLW13" s="46"/>
      <c r="RLX13" s="46"/>
      <c r="RLY13" s="46"/>
      <c r="RLZ13" s="46"/>
      <c r="RMA13" s="46"/>
      <c r="RMB13" s="46"/>
      <c r="RMC13" s="46"/>
      <c r="RMD13" s="46"/>
      <c r="RME13" s="46"/>
      <c r="RMF13" s="46"/>
      <c r="RMG13" s="46"/>
      <c r="RMH13" s="46"/>
      <c r="RMI13" s="46"/>
      <c r="RMJ13" s="46"/>
      <c r="RMK13" s="46"/>
      <c r="RML13" s="46"/>
      <c r="RMM13" s="46"/>
      <c r="RMN13" s="46"/>
      <c r="RMO13" s="46"/>
      <c r="RMP13" s="46"/>
      <c r="RMQ13" s="46"/>
      <c r="RMR13" s="46"/>
      <c r="RMS13" s="46"/>
      <c r="RMT13" s="46"/>
      <c r="RMU13" s="46"/>
      <c r="RMV13" s="46"/>
      <c r="RMW13" s="46"/>
      <c r="RMX13" s="46"/>
      <c r="RMY13" s="46"/>
      <c r="RMZ13" s="46"/>
      <c r="RNA13" s="46"/>
      <c r="RNB13" s="46"/>
      <c r="RNC13" s="46"/>
      <c r="RND13" s="46"/>
      <c r="RNE13" s="46"/>
      <c r="RNF13" s="46"/>
      <c r="RNG13" s="46"/>
      <c r="RNH13" s="46"/>
      <c r="RNI13" s="46"/>
      <c r="RNJ13" s="46"/>
      <c r="RNK13" s="46"/>
      <c r="RNL13" s="46"/>
      <c r="RNM13" s="46"/>
      <c r="RNN13" s="46"/>
      <c r="RNO13" s="46"/>
      <c r="RNP13" s="46"/>
      <c r="RNQ13" s="46"/>
      <c r="RNR13" s="46"/>
      <c r="RNS13" s="46"/>
      <c r="RNT13" s="46"/>
      <c r="RNU13" s="46"/>
      <c r="RNV13" s="46"/>
      <c r="RNW13" s="46"/>
      <c r="RNX13" s="46"/>
      <c r="RNY13" s="46"/>
      <c r="RNZ13" s="46"/>
      <c r="ROA13" s="46"/>
      <c r="ROB13" s="46"/>
      <c r="ROC13" s="46"/>
      <c r="ROD13" s="46"/>
      <c r="ROE13" s="46"/>
      <c r="ROF13" s="46"/>
      <c r="ROG13" s="46"/>
      <c r="ROH13" s="46"/>
      <c r="ROI13" s="46"/>
      <c r="ROJ13" s="46"/>
      <c r="ROK13" s="46"/>
      <c r="ROL13" s="46"/>
      <c r="ROM13" s="46"/>
      <c r="RON13" s="46"/>
      <c r="ROO13" s="46"/>
      <c r="ROP13" s="46"/>
      <c r="ROQ13" s="46"/>
      <c r="ROR13" s="46"/>
      <c r="ROS13" s="46"/>
      <c r="ROT13" s="46"/>
      <c r="ROU13" s="46"/>
      <c r="ROV13" s="46"/>
      <c r="ROW13" s="46"/>
      <c r="ROX13" s="46"/>
      <c r="ROY13" s="46"/>
      <c r="ROZ13" s="46"/>
      <c r="RPA13" s="46"/>
      <c r="RPB13" s="46"/>
      <c r="RPC13" s="46"/>
      <c r="RPD13" s="46"/>
      <c r="RPE13" s="46"/>
      <c r="RPF13" s="46"/>
      <c r="RPG13" s="46"/>
      <c r="RPH13" s="46"/>
      <c r="RPI13" s="46"/>
      <c r="RPJ13" s="46"/>
      <c r="RPK13" s="46"/>
      <c r="RPL13" s="46"/>
      <c r="RPM13" s="46"/>
      <c r="RPN13" s="46"/>
      <c r="RPO13" s="46"/>
      <c r="RPP13" s="46"/>
      <c r="RPQ13" s="46"/>
      <c r="RPR13" s="46"/>
      <c r="RPS13" s="46"/>
      <c r="RPT13" s="46"/>
      <c r="RPU13" s="46"/>
      <c r="RPV13" s="46"/>
      <c r="RPW13" s="46"/>
      <c r="RPX13" s="46"/>
      <c r="RPY13" s="46"/>
      <c r="RPZ13" s="46"/>
      <c r="RQA13" s="46"/>
      <c r="RQB13" s="46"/>
      <c r="RQC13" s="46"/>
      <c r="RQD13" s="46"/>
      <c r="RQE13" s="46"/>
      <c r="RQF13" s="46"/>
      <c r="RQG13" s="46"/>
      <c r="RQH13" s="46"/>
      <c r="RQI13" s="46"/>
      <c r="RQJ13" s="46"/>
      <c r="RQK13" s="46"/>
      <c r="RQL13" s="46"/>
      <c r="RQM13" s="46"/>
      <c r="RQN13" s="46"/>
      <c r="RQO13" s="46"/>
      <c r="RQP13" s="46"/>
      <c r="RQQ13" s="46"/>
      <c r="RQR13" s="46"/>
      <c r="RQS13" s="46"/>
      <c r="RQT13" s="46"/>
      <c r="RQU13" s="46"/>
      <c r="RQV13" s="46"/>
      <c r="RQW13" s="46"/>
      <c r="RQX13" s="46"/>
      <c r="RQY13" s="46"/>
      <c r="RQZ13" s="46"/>
      <c r="RRA13" s="46"/>
      <c r="RRB13" s="46"/>
      <c r="RRC13" s="46"/>
      <c r="RRD13" s="46"/>
      <c r="RRE13" s="46"/>
      <c r="RRF13" s="46"/>
      <c r="RRG13" s="46"/>
      <c r="RRH13" s="46"/>
      <c r="RRI13" s="46"/>
      <c r="RRJ13" s="46"/>
      <c r="RRK13" s="46"/>
      <c r="RRL13" s="46"/>
      <c r="RRM13" s="46"/>
      <c r="RRN13" s="46"/>
      <c r="RRO13" s="46"/>
      <c r="RRP13" s="46"/>
      <c r="RRQ13" s="46"/>
      <c r="RRR13" s="46"/>
      <c r="RRS13" s="46"/>
      <c r="RRT13" s="46"/>
      <c r="RRU13" s="46"/>
      <c r="RRV13" s="46"/>
      <c r="RRW13" s="46"/>
      <c r="RRX13" s="46"/>
      <c r="RRY13" s="46"/>
      <c r="RRZ13" s="46"/>
      <c r="RSA13" s="46"/>
      <c r="RSB13" s="46"/>
      <c r="RSC13" s="46"/>
      <c r="RSD13" s="46"/>
      <c r="RSE13" s="46"/>
      <c r="RSF13" s="46"/>
      <c r="RSG13" s="46"/>
      <c r="RSH13" s="46"/>
      <c r="RSI13" s="46"/>
      <c r="RSJ13" s="46"/>
      <c r="RSK13" s="46"/>
      <c r="RSL13" s="46"/>
      <c r="RSM13" s="46"/>
      <c r="RSN13" s="46"/>
      <c r="RSO13" s="46"/>
      <c r="RSP13" s="46"/>
      <c r="RSQ13" s="46"/>
      <c r="RSR13" s="46"/>
      <c r="RSS13" s="46"/>
      <c r="RST13" s="46"/>
      <c r="RSU13" s="46"/>
      <c r="RSV13" s="46"/>
      <c r="RSW13" s="46"/>
      <c r="RSX13" s="46"/>
      <c r="RSY13" s="46"/>
      <c r="RSZ13" s="46"/>
      <c r="RTA13" s="46"/>
      <c r="RTB13" s="46"/>
      <c r="RTC13" s="46"/>
      <c r="RTD13" s="46"/>
      <c r="RTE13" s="46"/>
      <c r="RTF13" s="46"/>
      <c r="RTG13" s="46"/>
      <c r="RTH13" s="46"/>
      <c r="RTI13" s="46"/>
      <c r="RTJ13" s="46"/>
      <c r="RTK13" s="46"/>
      <c r="RTL13" s="46"/>
      <c r="RTM13" s="46"/>
      <c r="RTN13" s="46"/>
      <c r="RTO13" s="46"/>
      <c r="RTP13" s="46"/>
      <c r="RTQ13" s="46"/>
      <c r="RTR13" s="46"/>
      <c r="RTS13" s="46"/>
      <c r="RTT13" s="46"/>
      <c r="RTU13" s="46"/>
      <c r="RTV13" s="46"/>
      <c r="RTW13" s="46"/>
      <c r="RTX13" s="46"/>
      <c r="RTY13" s="46"/>
      <c r="RTZ13" s="46"/>
      <c r="RUA13" s="46"/>
      <c r="RUB13" s="46"/>
      <c r="RUC13" s="46"/>
      <c r="RUD13" s="46"/>
      <c r="RUE13" s="46"/>
      <c r="RUF13" s="46"/>
      <c r="RUG13" s="46"/>
      <c r="RUH13" s="46"/>
      <c r="RUI13" s="46"/>
      <c r="RUJ13" s="46"/>
      <c r="RUK13" s="46"/>
      <c r="RUL13" s="46"/>
      <c r="RUM13" s="46"/>
      <c r="RUN13" s="46"/>
      <c r="RUO13" s="46"/>
      <c r="RUP13" s="46"/>
      <c r="RUQ13" s="46"/>
      <c r="RUR13" s="46"/>
      <c r="RUS13" s="46"/>
      <c r="RUT13" s="46"/>
      <c r="RUU13" s="46"/>
      <c r="RUV13" s="46"/>
      <c r="RUW13" s="46"/>
      <c r="RUX13" s="46"/>
      <c r="RUY13" s="46"/>
      <c r="RUZ13" s="46"/>
      <c r="RVA13" s="46"/>
      <c r="RVB13" s="46"/>
      <c r="RVC13" s="46"/>
      <c r="RVD13" s="46"/>
      <c r="RVE13" s="46"/>
      <c r="RVF13" s="46"/>
      <c r="RVG13" s="46"/>
      <c r="RVH13" s="46"/>
      <c r="RVI13" s="46"/>
      <c r="RVJ13" s="46"/>
      <c r="RVK13" s="46"/>
      <c r="RVL13" s="46"/>
      <c r="RVM13" s="46"/>
      <c r="RVN13" s="46"/>
      <c r="RVO13" s="46"/>
      <c r="RVP13" s="46"/>
      <c r="RVQ13" s="46"/>
      <c r="RVR13" s="46"/>
      <c r="RVS13" s="46"/>
      <c r="RVT13" s="46"/>
      <c r="RVU13" s="46"/>
      <c r="RVV13" s="46"/>
      <c r="RVW13" s="46"/>
      <c r="RVX13" s="46"/>
      <c r="RVY13" s="46"/>
      <c r="RVZ13" s="46"/>
      <c r="RWA13" s="46"/>
      <c r="RWB13" s="46"/>
      <c r="RWC13" s="46"/>
      <c r="RWD13" s="46"/>
      <c r="RWE13" s="46"/>
      <c r="RWF13" s="46"/>
      <c r="RWG13" s="46"/>
      <c r="RWH13" s="46"/>
      <c r="RWI13" s="46"/>
      <c r="RWJ13" s="46"/>
      <c r="RWK13" s="46"/>
      <c r="RWL13" s="46"/>
      <c r="RWM13" s="46"/>
      <c r="RWN13" s="46"/>
      <c r="RWO13" s="46"/>
      <c r="RWP13" s="46"/>
      <c r="RWQ13" s="46"/>
      <c r="RWR13" s="46"/>
      <c r="RWS13" s="46"/>
      <c r="RWT13" s="46"/>
      <c r="RWU13" s="46"/>
      <c r="RWV13" s="46"/>
      <c r="RWW13" s="46"/>
      <c r="RWX13" s="46"/>
      <c r="RWY13" s="46"/>
      <c r="RWZ13" s="46"/>
      <c r="RXA13" s="46"/>
      <c r="RXB13" s="46"/>
      <c r="RXC13" s="46"/>
      <c r="RXD13" s="46"/>
      <c r="RXE13" s="46"/>
      <c r="RXF13" s="46"/>
      <c r="RXG13" s="46"/>
      <c r="RXH13" s="46"/>
      <c r="RXI13" s="46"/>
      <c r="RXJ13" s="46"/>
      <c r="RXK13" s="46"/>
      <c r="RXL13" s="46"/>
      <c r="RXM13" s="46"/>
      <c r="RXN13" s="46"/>
      <c r="RXO13" s="46"/>
      <c r="RXP13" s="46"/>
      <c r="RXQ13" s="46"/>
      <c r="RXR13" s="46"/>
      <c r="RXS13" s="46"/>
      <c r="RXT13" s="46"/>
      <c r="RXU13" s="46"/>
      <c r="RXV13" s="46"/>
      <c r="RXW13" s="46"/>
      <c r="RXX13" s="46"/>
      <c r="RXY13" s="46"/>
      <c r="RXZ13" s="46"/>
      <c r="RYA13" s="46"/>
      <c r="RYB13" s="46"/>
      <c r="RYC13" s="46"/>
      <c r="RYD13" s="46"/>
      <c r="RYE13" s="46"/>
      <c r="RYF13" s="46"/>
      <c r="RYG13" s="46"/>
      <c r="RYH13" s="46"/>
      <c r="RYI13" s="46"/>
      <c r="RYJ13" s="46"/>
      <c r="RYK13" s="46"/>
      <c r="RYL13" s="46"/>
      <c r="RYM13" s="46"/>
      <c r="RYN13" s="46"/>
      <c r="RYO13" s="46"/>
      <c r="RYP13" s="46"/>
      <c r="RYQ13" s="46"/>
      <c r="RYR13" s="46"/>
      <c r="RYS13" s="46"/>
      <c r="RYT13" s="46"/>
      <c r="RYU13" s="46"/>
      <c r="RYV13" s="46"/>
      <c r="RYW13" s="46"/>
      <c r="RYX13" s="46"/>
      <c r="RYY13" s="46"/>
      <c r="RYZ13" s="46"/>
      <c r="RZA13" s="46"/>
      <c r="RZB13" s="46"/>
      <c r="RZC13" s="46"/>
      <c r="RZD13" s="46"/>
      <c r="RZE13" s="46"/>
      <c r="RZF13" s="46"/>
      <c r="RZG13" s="46"/>
      <c r="RZH13" s="46"/>
      <c r="RZI13" s="46"/>
      <c r="RZJ13" s="46"/>
      <c r="RZK13" s="46"/>
      <c r="RZL13" s="46"/>
      <c r="RZM13" s="46"/>
      <c r="RZN13" s="46"/>
      <c r="RZO13" s="46"/>
      <c r="RZP13" s="46"/>
      <c r="RZQ13" s="46"/>
      <c r="RZR13" s="46"/>
      <c r="RZS13" s="46"/>
      <c r="RZT13" s="46"/>
      <c r="RZU13" s="46"/>
      <c r="RZV13" s="46"/>
      <c r="RZW13" s="46"/>
      <c r="RZX13" s="46"/>
      <c r="RZY13" s="46"/>
      <c r="RZZ13" s="46"/>
      <c r="SAA13" s="46"/>
      <c r="SAB13" s="46"/>
      <c r="SAC13" s="46"/>
      <c r="SAD13" s="46"/>
      <c r="SAE13" s="46"/>
      <c r="SAF13" s="46"/>
      <c r="SAG13" s="46"/>
      <c r="SAH13" s="46"/>
      <c r="SAI13" s="46"/>
      <c r="SAJ13" s="46"/>
      <c r="SAK13" s="46"/>
      <c r="SAL13" s="46"/>
      <c r="SAM13" s="46"/>
      <c r="SAN13" s="46"/>
      <c r="SAO13" s="46"/>
      <c r="SAP13" s="46"/>
      <c r="SAQ13" s="46"/>
      <c r="SAR13" s="46"/>
      <c r="SAS13" s="46"/>
      <c r="SAT13" s="46"/>
      <c r="SAU13" s="46"/>
      <c r="SAV13" s="46"/>
      <c r="SAW13" s="46"/>
      <c r="SAX13" s="46"/>
      <c r="SAY13" s="46"/>
      <c r="SAZ13" s="46"/>
      <c r="SBA13" s="46"/>
      <c r="SBB13" s="46"/>
      <c r="SBC13" s="46"/>
      <c r="SBD13" s="46"/>
      <c r="SBE13" s="46"/>
      <c r="SBF13" s="46"/>
      <c r="SBG13" s="46"/>
      <c r="SBH13" s="46"/>
      <c r="SBI13" s="46"/>
      <c r="SBJ13" s="46"/>
      <c r="SBK13" s="46"/>
      <c r="SBL13" s="46"/>
      <c r="SBM13" s="46"/>
      <c r="SBN13" s="46"/>
      <c r="SBO13" s="46"/>
      <c r="SBP13" s="46"/>
      <c r="SBQ13" s="46"/>
      <c r="SBR13" s="46"/>
      <c r="SBS13" s="46"/>
      <c r="SBT13" s="46"/>
      <c r="SBU13" s="46"/>
      <c r="SBV13" s="46"/>
      <c r="SBW13" s="46"/>
      <c r="SBX13" s="46"/>
      <c r="SBY13" s="46"/>
      <c r="SBZ13" s="46"/>
      <c r="SCA13" s="46"/>
      <c r="SCB13" s="46"/>
      <c r="SCC13" s="46"/>
      <c r="SCD13" s="46"/>
      <c r="SCE13" s="46"/>
      <c r="SCF13" s="46"/>
      <c r="SCG13" s="46"/>
      <c r="SCH13" s="46"/>
      <c r="SCI13" s="46"/>
      <c r="SCJ13" s="46"/>
      <c r="SCK13" s="46"/>
      <c r="SCL13" s="46"/>
      <c r="SCM13" s="46"/>
      <c r="SCN13" s="46"/>
      <c r="SCO13" s="46"/>
      <c r="SCP13" s="46"/>
      <c r="SCQ13" s="46"/>
      <c r="SCR13" s="46"/>
      <c r="SCS13" s="46"/>
      <c r="SCT13" s="46"/>
      <c r="SCU13" s="46"/>
      <c r="SCV13" s="46"/>
      <c r="SCW13" s="46"/>
      <c r="SCX13" s="46"/>
      <c r="SCY13" s="46"/>
      <c r="SCZ13" s="46"/>
      <c r="SDA13" s="46"/>
      <c r="SDB13" s="46"/>
      <c r="SDC13" s="46"/>
      <c r="SDD13" s="46"/>
      <c r="SDE13" s="46"/>
      <c r="SDF13" s="46"/>
      <c r="SDG13" s="46"/>
      <c r="SDH13" s="46"/>
      <c r="SDI13" s="46"/>
      <c r="SDJ13" s="46"/>
      <c r="SDK13" s="46"/>
      <c r="SDL13" s="46"/>
      <c r="SDM13" s="46"/>
      <c r="SDN13" s="46"/>
      <c r="SDO13" s="46"/>
      <c r="SDP13" s="46"/>
      <c r="SDQ13" s="46"/>
      <c r="SDR13" s="46"/>
      <c r="SDS13" s="46"/>
      <c r="SDT13" s="46"/>
      <c r="SDU13" s="46"/>
      <c r="SDV13" s="46"/>
      <c r="SDW13" s="46"/>
      <c r="SDX13" s="46"/>
      <c r="SDY13" s="46"/>
      <c r="SDZ13" s="46"/>
      <c r="SEA13" s="46"/>
      <c r="SEB13" s="46"/>
      <c r="SEC13" s="46"/>
      <c r="SED13" s="46"/>
      <c r="SEE13" s="46"/>
      <c r="SEF13" s="46"/>
      <c r="SEG13" s="46"/>
      <c r="SEH13" s="46"/>
      <c r="SEI13" s="46"/>
      <c r="SEJ13" s="46"/>
      <c r="SEK13" s="46"/>
      <c r="SEL13" s="46"/>
      <c r="SEM13" s="46"/>
      <c r="SEN13" s="46"/>
      <c r="SEO13" s="46"/>
      <c r="SEP13" s="46"/>
      <c r="SEQ13" s="46"/>
      <c r="SER13" s="46"/>
      <c r="SES13" s="46"/>
      <c r="SET13" s="46"/>
      <c r="SEU13" s="46"/>
      <c r="SEV13" s="46"/>
      <c r="SEW13" s="46"/>
      <c r="SEX13" s="46"/>
      <c r="SEY13" s="46"/>
      <c r="SEZ13" s="46"/>
      <c r="SFA13" s="46"/>
      <c r="SFB13" s="46"/>
      <c r="SFC13" s="46"/>
      <c r="SFD13" s="46"/>
      <c r="SFE13" s="46"/>
      <c r="SFF13" s="46"/>
      <c r="SFG13" s="46"/>
      <c r="SFH13" s="46"/>
      <c r="SFI13" s="46"/>
      <c r="SFJ13" s="46"/>
      <c r="SFK13" s="46"/>
      <c r="SFL13" s="46"/>
      <c r="SFM13" s="46"/>
      <c r="SFN13" s="46"/>
      <c r="SFO13" s="46"/>
      <c r="SFP13" s="46"/>
      <c r="SFQ13" s="46"/>
      <c r="SFR13" s="46"/>
      <c r="SFS13" s="46"/>
      <c r="SFT13" s="46"/>
      <c r="SFU13" s="46"/>
      <c r="SFV13" s="46"/>
      <c r="SFW13" s="46"/>
      <c r="SFX13" s="46"/>
      <c r="SFY13" s="46"/>
      <c r="SFZ13" s="46"/>
      <c r="SGA13" s="46"/>
      <c r="SGB13" s="46"/>
      <c r="SGC13" s="46"/>
      <c r="SGD13" s="46"/>
      <c r="SGE13" s="46"/>
      <c r="SGF13" s="46"/>
      <c r="SGG13" s="46"/>
      <c r="SGH13" s="46"/>
      <c r="SGI13" s="46"/>
      <c r="SGJ13" s="46"/>
      <c r="SGK13" s="46"/>
      <c r="SGL13" s="46"/>
      <c r="SGM13" s="46"/>
      <c r="SGN13" s="46"/>
      <c r="SGO13" s="46"/>
      <c r="SGP13" s="46"/>
      <c r="SGQ13" s="46"/>
      <c r="SGR13" s="46"/>
      <c r="SGS13" s="46"/>
      <c r="SGT13" s="46"/>
      <c r="SGU13" s="46"/>
      <c r="SGV13" s="46"/>
      <c r="SGW13" s="46"/>
      <c r="SGX13" s="46"/>
      <c r="SGY13" s="46"/>
      <c r="SGZ13" s="46"/>
      <c r="SHA13" s="46"/>
      <c r="SHB13" s="46"/>
      <c r="SHC13" s="46"/>
      <c r="SHD13" s="46"/>
      <c r="SHE13" s="46"/>
      <c r="SHF13" s="46"/>
      <c r="SHG13" s="46"/>
      <c r="SHH13" s="46"/>
      <c r="SHI13" s="46"/>
      <c r="SHJ13" s="46"/>
      <c r="SHK13" s="46"/>
      <c r="SHL13" s="46"/>
      <c r="SHM13" s="46"/>
      <c r="SHN13" s="46"/>
      <c r="SHO13" s="46"/>
      <c r="SHP13" s="46"/>
      <c r="SHQ13" s="46"/>
      <c r="SHR13" s="46"/>
      <c r="SHS13" s="46"/>
      <c r="SHT13" s="46"/>
      <c r="SHU13" s="46"/>
      <c r="SHV13" s="46"/>
      <c r="SHW13" s="46"/>
      <c r="SHX13" s="46"/>
      <c r="SHY13" s="46"/>
      <c r="SHZ13" s="46"/>
      <c r="SIA13" s="46"/>
      <c r="SIB13" s="46"/>
      <c r="SIC13" s="46"/>
      <c r="SID13" s="46"/>
      <c r="SIE13" s="46"/>
      <c r="SIF13" s="46"/>
      <c r="SIG13" s="46"/>
      <c r="SIH13" s="46"/>
      <c r="SII13" s="46"/>
      <c r="SIJ13" s="46"/>
      <c r="SIK13" s="46"/>
      <c r="SIL13" s="46"/>
      <c r="SIM13" s="46"/>
      <c r="SIN13" s="46"/>
      <c r="SIO13" s="46"/>
      <c r="SIP13" s="46"/>
      <c r="SIQ13" s="46"/>
      <c r="SIR13" s="46"/>
      <c r="SIS13" s="46"/>
      <c r="SIT13" s="46"/>
      <c r="SIU13" s="46"/>
      <c r="SIV13" s="46"/>
      <c r="SIW13" s="46"/>
      <c r="SIX13" s="46"/>
      <c r="SIY13" s="46"/>
      <c r="SIZ13" s="46"/>
      <c r="SJA13" s="46"/>
      <c r="SJB13" s="46"/>
      <c r="SJC13" s="46"/>
      <c r="SJD13" s="46"/>
      <c r="SJE13" s="46"/>
      <c r="SJF13" s="46"/>
      <c r="SJG13" s="46"/>
      <c r="SJH13" s="46"/>
      <c r="SJI13" s="46"/>
      <c r="SJJ13" s="46"/>
      <c r="SJK13" s="46"/>
      <c r="SJL13" s="46"/>
      <c r="SJM13" s="46"/>
      <c r="SJN13" s="46"/>
      <c r="SJO13" s="46"/>
      <c r="SJP13" s="46"/>
      <c r="SJQ13" s="46"/>
      <c r="SJR13" s="46"/>
      <c r="SJS13" s="46"/>
      <c r="SJT13" s="46"/>
      <c r="SJU13" s="46"/>
      <c r="SJV13" s="46"/>
      <c r="SJW13" s="46"/>
      <c r="SJX13" s="46"/>
      <c r="SJY13" s="46"/>
      <c r="SJZ13" s="46"/>
      <c r="SKA13" s="46"/>
      <c r="SKB13" s="46"/>
      <c r="SKC13" s="46"/>
      <c r="SKD13" s="46"/>
      <c r="SKE13" s="46"/>
      <c r="SKF13" s="46"/>
      <c r="SKG13" s="46"/>
      <c r="SKH13" s="46"/>
      <c r="SKI13" s="46"/>
      <c r="SKJ13" s="46"/>
      <c r="SKK13" s="46"/>
      <c r="SKL13" s="46"/>
      <c r="SKM13" s="46"/>
      <c r="SKN13" s="46"/>
      <c r="SKO13" s="46"/>
      <c r="SKP13" s="46"/>
      <c r="SKQ13" s="46"/>
      <c r="SKR13" s="46"/>
      <c r="SKS13" s="46"/>
      <c r="SKT13" s="46"/>
      <c r="SKU13" s="46"/>
      <c r="SKV13" s="46"/>
      <c r="SKW13" s="46"/>
      <c r="SKX13" s="46"/>
      <c r="SKY13" s="46"/>
      <c r="SKZ13" s="46"/>
      <c r="SLA13" s="46"/>
      <c r="SLB13" s="46"/>
      <c r="SLC13" s="46"/>
      <c r="SLD13" s="46"/>
      <c r="SLE13" s="46"/>
      <c r="SLF13" s="46"/>
      <c r="SLG13" s="46"/>
      <c r="SLH13" s="46"/>
      <c r="SLI13" s="46"/>
      <c r="SLJ13" s="46"/>
      <c r="SLK13" s="46"/>
      <c r="SLL13" s="46"/>
      <c r="SLM13" s="46"/>
      <c r="SLN13" s="46"/>
      <c r="SLO13" s="46"/>
      <c r="SLP13" s="46"/>
      <c r="SLQ13" s="46"/>
      <c r="SLR13" s="46"/>
      <c r="SLS13" s="46"/>
      <c r="SLT13" s="46"/>
      <c r="SLU13" s="46"/>
      <c r="SLV13" s="46"/>
      <c r="SLW13" s="46"/>
      <c r="SLX13" s="46"/>
      <c r="SLY13" s="46"/>
      <c r="SLZ13" s="46"/>
      <c r="SMA13" s="46"/>
      <c r="SMB13" s="46"/>
      <c r="SMC13" s="46"/>
      <c r="SMD13" s="46"/>
      <c r="SME13" s="46"/>
      <c r="SMF13" s="46"/>
      <c r="SMG13" s="46"/>
      <c r="SMH13" s="46"/>
      <c r="SMI13" s="46"/>
      <c r="SMJ13" s="46"/>
      <c r="SMK13" s="46"/>
      <c r="SML13" s="46"/>
      <c r="SMM13" s="46"/>
      <c r="SMN13" s="46"/>
      <c r="SMO13" s="46"/>
      <c r="SMP13" s="46"/>
      <c r="SMQ13" s="46"/>
      <c r="SMR13" s="46"/>
      <c r="SMS13" s="46"/>
      <c r="SMT13" s="46"/>
      <c r="SMU13" s="46"/>
      <c r="SMV13" s="46"/>
      <c r="SMW13" s="46"/>
      <c r="SMX13" s="46"/>
      <c r="SMY13" s="46"/>
      <c r="SMZ13" s="46"/>
      <c r="SNA13" s="46"/>
      <c r="SNB13" s="46"/>
      <c r="SNC13" s="46"/>
      <c r="SND13" s="46"/>
      <c r="SNE13" s="46"/>
      <c r="SNF13" s="46"/>
      <c r="SNG13" s="46"/>
      <c r="SNH13" s="46"/>
      <c r="SNI13" s="46"/>
      <c r="SNJ13" s="46"/>
      <c r="SNK13" s="46"/>
      <c r="SNL13" s="46"/>
      <c r="SNM13" s="46"/>
      <c r="SNN13" s="46"/>
      <c r="SNO13" s="46"/>
      <c r="SNP13" s="46"/>
      <c r="SNQ13" s="46"/>
      <c r="SNR13" s="46"/>
      <c r="SNS13" s="46"/>
      <c r="SNT13" s="46"/>
      <c r="SNU13" s="46"/>
      <c r="SNV13" s="46"/>
      <c r="SNW13" s="46"/>
      <c r="SNX13" s="46"/>
      <c r="SNY13" s="46"/>
      <c r="SNZ13" s="46"/>
      <c r="SOA13" s="46"/>
      <c r="SOB13" s="46"/>
      <c r="SOC13" s="46"/>
      <c r="SOD13" s="46"/>
      <c r="SOE13" s="46"/>
      <c r="SOF13" s="46"/>
      <c r="SOG13" s="46"/>
      <c r="SOH13" s="46"/>
      <c r="SOI13" s="46"/>
      <c r="SOJ13" s="46"/>
      <c r="SOK13" s="46"/>
      <c r="SOL13" s="46"/>
      <c r="SOM13" s="46"/>
      <c r="SON13" s="46"/>
      <c r="SOO13" s="46"/>
      <c r="SOP13" s="46"/>
      <c r="SOQ13" s="46"/>
      <c r="SOR13" s="46"/>
      <c r="SOS13" s="46"/>
      <c r="SOT13" s="46"/>
      <c r="SOU13" s="46"/>
      <c r="SOV13" s="46"/>
      <c r="SOW13" s="46"/>
      <c r="SOX13" s="46"/>
      <c r="SOY13" s="46"/>
      <c r="SOZ13" s="46"/>
      <c r="SPA13" s="46"/>
      <c r="SPB13" s="46"/>
      <c r="SPC13" s="46"/>
      <c r="SPD13" s="46"/>
      <c r="SPE13" s="46"/>
      <c r="SPF13" s="46"/>
      <c r="SPG13" s="46"/>
      <c r="SPH13" s="46"/>
      <c r="SPI13" s="46"/>
      <c r="SPJ13" s="46"/>
      <c r="SPK13" s="46"/>
      <c r="SPL13" s="46"/>
      <c r="SPM13" s="46"/>
      <c r="SPN13" s="46"/>
      <c r="SPO13" s="46"/>
      <c r="SPP13" s="46"/>
      <c r="SPQ13" s="46"/>
      <c r="SPR13" s="46"/>
      <c r="SPS13" s="46"/>
      <c r="SPT13" s="46"/>
      <c r="SPU13" s="46"/>
      <c r="SPV13" s="46"/>
      <c r="SPW13" s="46"/>
      <c r="SPX13" s="46"/>
      <c r="SPY13" s="46"/>
      <c r="SPZ13" s="46"/>
      <c r="SQA13" s="46"/>
      <c r="SQB13" s="46"/>
      <c r="SQC13" s="46"/>
      <c r="SQD13" s="46"/>
      <c r="SQE13" s="46"/>
      <c r="SQF13" s="46"/>
      <c r="SQG13" s="46"/>
      <c r="SQH13" s="46"/>
      <c r="SQI13" s="46"/>
      <c r="SQJ13" s="46"/>
      <c r="SQK13" s="46"/>
      <c r="SQL13" s="46"/>
      <c r="SQM13" s="46"/>
      <c r="SQN13" s="46"/>
      <c r="SQO13" s="46"/>
      <c r="SQP13" s="46"/>
      <c r="SQQ13" s="46"/>
      <c r="SQR13" s="46"/>
      <c r="SQS13" s="46"/>
      <c r="SQT13" s="46"/>
      <c r="SQU13" s="46"/>
      <c r="SQV13" s="46"/>
      <c r="SQW13" s="46"/>
      <c r="SQX13" s="46"/>
      <c r="SQY13" s="46"/>
      <c r="SQZ13" s="46"/>
      <c r="SRA13" s="46"/>
      <c r="SRB13" s="46"/>
      <c r="SRC13" s="46"/>
      <c r="SRD13" s="46"/>
      <c r="SRE13" s="46"/>
      <c r="SRF13" s="46"/>
      <c r="SRG13" s="46"/>
      <c r="SRH13" s="46"/>
      <c r="SRI13" s="46"/>
      <c r="SRJ13" s="46"/>
      <c r="SRK13" s="46"/>
      <c r="SRL13" s="46"/>
      <c r="SRM13" s="46"/>
      <c r="SRN13" s="46"/>
      <c r="SRO13" s="46"/>
      <c r="SRP13" s="46"/>
      <c r="SRQ13" s="46"/>
      <c r="SRR13" s="46"/>
      <c r="SRS13" s="46"/>
      <c r="SRT13" s="46"/>
      <c r="SRU13" s="46"/>
      <c r="SRV13" s="46"/>
      <c r="SRW13" s="46"/>
      <c r="SRX13" s="46"/>
      <c r="SRY13" s="46"/>
      <c r="SRZ13" s="46"/>
      <c r="SSA13" s="46"/>
      <c r="SSB13" s="46"/>
      <c r="SSC13" s="46"/>
      <c r="SSD13" s="46"/>
      <c r="SSE13" s="46"/>
      <c r="SSF13" s="46"/>
      <c r="SSG13" s="46"/>
      <c r="SSH13" s="46"/>
      <c r="SSI13" s="46"/>
      <c r="SSJ13" s="46"/>
      <c r="SSK13" s="46"/>
      <c r="SSL13" s="46"/>
      <c r="SSM13" s="46"/>
      <c r="SSN13" s="46"/>
      <c r="SSO13" s="46"/>
      <c r="SSP13" s="46"/>
      <c r="SSQ13" s="46"/>
      <c r="SSR13" s="46"/>
      <c r="SSS13" s="46"/>
      <c r="SST13" s="46"/>
      <c r="SSU13" s="46"/>
      <c r="SSV13" s="46"/>
      <c r="SSW13" s="46"/>
      <c r="SSX13" s="46"/>
      <c r="SSY13" s="46"/>
      <c r="SSZ13" s="46"/>
      <c r="STA13" s="46"/>
      <c r="STB13" s="46"/>
      <c r="STC13" s="46"/>
      <c r="STD13" s="46"/>
      <c r="STE13" s="46"/>
      <c r="STF13" s="46"/>
      <c r="STG13" s="46"/>
      <c r="STH13" s="46"/>
      <c r="STI13" s="46"/>
      <c r="STJ13" s="46"/>
      <c r="STK13" s="46"/>
      <c r="STL13" s="46"/>
      <c r="STM13" s="46"/>
      <c r="STN13" s="46"/>
      <c r="STO13" s="46"/>
      <c r="STP13" s="46"/>
      <c r="STQ13" s="46"/>
      <c r="STR13" s="46"/>
      <c r="STS13" s="46"/>
      <c r="STT13" s="46"/>
      <c r="STU13" s="46"/>
      <c r="STV13" s="46"/>
      <c r="STW13" s="46"/>
      <c r="STX13" s="46"/>
      <c r="STY13" s="46"/>
      <c r="STZ13" s="46"/>
      <c r="SUA13" s="46"/>
      <c r="SUB13" s="46"/>
      <c r="SUC13" s="46"/>
      <c r="SUD13" s="46"/>
      <c r="SUE13" s="46"/>
      <c r="SUF13" s="46"/>
      <c r="SUG13" s="46"/>
      <c r="SUH13" s="46"/>
      <c r="SUI13" s="46"/>
      <c r="SUJ13" s="46"/>
      <c r="SUK13" s="46"/>
      <c r="SUL13" s="46"/>
      <c r="SUM13" s="46"/>
      <c r="SUN13" s="46"/>
      <c r="SUO13" s="46"/>
      <c r="SUP13" s="46"/>
      <c r="SUQ13" s="46"/>
      <c r="SUR13" s="46"/>
      <c r="SUS13" s="46"/>
      <c r="SUT13" s="46"/>
      <c r="SUU13" s="46"/>
      <c r="SUV13" s="46"/>
      <c r="SUW13" s="46"/>
      <c r="SUX13" s="46"/>
      <c r="SUY13" s="46"/>
      <c r="SUZ13" s="46"/>
      <c r="SVA13" s="46"/>
      <c r="SVB13" s="46"/>
      <c r="SVC13" s="46"/>
      <c r="SVD13" s="46"/>
      <c r="SVE13" s="46"/>
      <c r="SVF13" s="46"/>
      <c r="SVG13" s="46"/>
      <c r="SVH13" s="46"/>
      <c r="SVI13" s="46"/>
      <c r="SVJ13" s="46"/>
      <c r="SVK13" s="46"/>
      <c r="SVL13" s="46"/>
      <c r="SVM13" s="46"/>
      <c r="SVN13" s="46"/>
      <c r="SVO13" s="46"/>
      <c r="SVP13" s="46"/>
      <c r="SVQ13" s="46"/>
      <c r="SVR13" s="46"/>
      <c r="SVS13" s="46"/>
      <c r="SVT13" s="46"/>
      <c r="SVU13" s="46"/>
      <c r="SVV13" s="46"/>
      <c r="SVW13" s="46"/>
      <c r="SVX13" s="46"/>
      <c r="SVY13" s="46"/>
      <c r="SVZ13" s="46"/>
      <c r="SWA13" s="46"/>
      <c r="SWB13" s="46"/>
      <c r="SWC13" s="46"/>
      <c r="SWD13" s="46"/>
      <c r="SWE13" s="46"/>
      <c r="SWF13" s="46"/>
      <c r="SWG13" s="46"/>
      <c r="SWH13" s="46"/>
      <c r="SWI13" s="46"/>
      <c r="SWJ13" s="46"/>
      <c r="SWK13" s="46"/>
      <c r="SWL13" s="46"/>
      <c r="SWM13" s="46"/>
      <c r="SWN13" s="46"/>
      <c r="SWO13" s="46"/>
      <c r="SWP13" s="46"/>
      <c r="SWQ13" s="46"/>
      <c r="SWR13" s="46"/>
      <c r="SWS13" s="46"/>
      <c r="SWT13" s="46"/>
      <c r="SWU13" s="46"/>
      <c r="SWV13" s="46"/>
      <c r="SWW13" s="46"/>
      <c r="SWX13" s="46"/>
      <c r="SWY13" s="46"/>
      <c r="SWZ13" s="46"/>
      <c r="SXA13" s="46"/>
      <c r="SXB13" s="46"/>
      <c r="SXC13" s="46"/>
      <c r="SXD13" s="46"/>
      <c r="SXE13" s="46"/>
      <c r="SXF13" s="46"/>
      <c r="SXG13" s="46"/>
      <c r="SXH13" s="46"/>
      <c r="SXI13" s="46"/>
      <c r="SXJ13" s="46"/>
      <c r="SXK13" s="46"/>
      <c r="SXL13" s="46"/>
      <c r="SXM13" s="46"/>
      <c r="SXN13" s="46"/>
      <c r="SXO13" s="46"/>
      <c r="SXP13" s="46"/>
      <c r="SXQ13" s="46"/>
      <c r="SXR13" s="46"/>
      <c r="SXS13" s="46"/>
      <c r="SXT13" s="46"/>
      <c r="SXU13" s="46"/>
      <c r="SXV13" s="46"/>
      <c r="SXW13" s="46"/>
      <c r="SXX13" s="46"/>
      <c r="SXY13" s="46"/>
      <c r="SXZ13" s="46"/>
      <c r="SYA13" s="46"/>
      <c r="SYB13" s="46"/>
      <c r="SYC13" s="46"/>
      <c r="SYD13" s="46"/>
      <c r="SYE13" s="46"/>
      <c r="SYF13" s="46"/>
      <c r="SYG13" s="46"/>
      <c r="SYH13" s="46"/>
      <c r="SYI13" s="46"/>
      <c r="SYJ13" s="46"/>
      <c r="SYK13" s="46"/>
      <c r="SYL13" s="46"/>
      <c r="SYM13" s="46"/>
      <c r="SYN13" s="46"/>
      <c r="SYO13" s="46"/>
      <c r="SYP13" s="46"/>
      <c r="SYQ13" s="46"/>
      <c r="SYR13" s="46"/>
      <c r="SYS13" s="46"/>
      <c r="SYT13" s="46"/>
      <c r="SYU13" s="46"/>
      <c r="SYV13" s="46"/>
      <c r="SYW13" s="46"/>
      <c r="SYX13" s="46"/>
      <c r="SYY13" s="46"/>
      <c r="SYZ13" s="46"/>
      <c r="SZA13" s="46"/>
      <c r="SZB13" s="46"/>
      <c r="SZC13" s="46"/>
      <c r="SZD13" s="46"/>
      <c r="SZE13" s="46"/>
      <c r="SZF13" s="46"/>
      <c r="SZG13" s="46"/>
      <c r="SZH13" s="46"/>
      <c r="SZI13" s="46"/>
      <c r="SZJ13" s="46"/>
      <c r="SZK13" s="46"/>
      <c r="SZL13" s="46"/>
      <c r="SZM13" s="46"/>
      <c r="SZN13" s="46"/>
      <c r="SZO13" s="46"/>
      <c r="SZP13" s="46"/>
      <c r="SZQ13" s="46"/>
      <c r="SZR13" s="46"/>
      <c r="SZS13" s="46"/>
      <c r="SZT13" s="46"/>
      <c r="SZU13" s="46"/>
      <c r="SZV13" s="46"/>
      <c r="SZW13" s="46"/>
      <c r="SZX13" s="46"/>
      <c r="SZY13" s="46"/>
      <c r="SZZ13" s="46"/>
      <c r="TAA13" s="46"/>
      <c r="TAB13" s="46"/>
      <c r="TAC13" s="46"/>
      <c r="TAD13" s="46"/>
      <c r="TAE13" s="46"/>
      <c r="TAF13" s="46"/>
      <c r="TAG13" s="46"/>
      <c r="TAH13" s="46"/>
      <c r="TAI13" s="46"/>
      <c r="TAJ13" s="46"/>
      <c r="TAK13" s="46"/>
      <c r="TAL13" s="46"/>
      <c r="TAM13" s="46"/>
      <c r="TAN13" s="46"/>
      <c r="TAO13" s="46"/>
      <c r="TAP13" s="46"/>
      <c r="TAQ13" s="46"/>
      <c r="TAR13" s="46"/>
      <c r="TAS13" s="46"/>
      <c r="TAT13" s="46"/>
      <c r="TAU13" s="46"/>
      <c r="TAV13" s="46"/>
      <c r="TAW13" s="46"/>
      <c r="TAX13" s="46"/>
      <c r="TAY13" s="46"/>
      <c r="TAZ13" s="46"/>
      <c r="TBA13" s="46"/>
      <c r="TBB13" s="46"/>
      <c r="TBC13" s="46"/>
      <c r="TBD13" s="46"/>
      <c r="TBE13" s="46"/>
      <c r="TBF13" s="46"/>
      <c r="TBG13" s="46"/>
      <c r="TBH13" s="46"/>
      <c r="TBI13" s="46"/>
      <c r="TBJ13" s="46"/>
      <c r="TBK13" s="46"/>
      <c r="TBL13" s="46"/>
      <c r="TBM13" s="46"/>
      <c r="TBN13" s="46"/>
      <c r="TBO13" s="46"/>
      <c r="TBP13" s="46"/>
      <c r="TBQ13" s="46"/>
      <c r="TBR13" s="46"/>
      <c r="TBS13" s="46"/>
      <c r="TBT13" s="46"/>
      <c r="TBU13" s="46"/>
      <c r="TBV13" s="46"/>
      <c r="TBW13" s="46"/>
      <c r="TBX13" s="46"/>
      <c r="TBY13" s="46"/>
      <c r="TBZ13" s="46"/>
      <c r="TCA13" s="46"/>
      <c r="TCB13" s="46"/>
      <c r="TCC13" s="46"/>
      <c r="TCD13" s="46"/>
      <c r="TCE13" s="46"/>
      <c r="TCF13" s="46"/>
      <c r="TCG13" s="46"/>
      <c r="TCH13" s="46"/>
      <c r="TCI13" s="46"/>
      <c r="TCJ13" s="46"/>
      <c r="TCK13" s="46"/>
      <c r="TCL13" s="46"/>
      <c r="TCM13" s="46"/>
      <c r="TCN13" s="46"/>
      <c r="TCO13" s="46"/>
      <c r="TCP13" s="46"/>
      <c r="TCQ13" s="46"/>
      <c r="TCR13" s="46"/>
      <c r="TCS13" s="46"/>
      <c r="TCT13" s="46"/>
      <c r="TCU13" s="46"/>
      <c r="TCV13" s="46"/>
      <c r="TCW13" s="46"/>
      <c r="TCX13" s="46"/>
      <c r="TCY13" s="46"/>
      <c r="TCZ13" s="46"/>
      <c r="TDA13" s="46"/>
      <c r="TDB13" s="46"/>
      <c r="TDC13" s="46"/>
      <c r="TDD13" s="46"/>
      <c r="TDE13" s="46"/>
      <c r="TDF13" s="46"/>
      <c r="TDG13" s="46"/>
      <c r="TDH13" s="46"/>
      <c r="TDI13" s="46"/>
      <c r="TDJ13" s="46"/>
      <c r="TDK13" s="46"/>
      <c r="TDL13" s="46"/>
      <c r="TDM13" s="46"/>
      <c r="TDN13" s="46"/>
      <c r="TDO13" s="46"/>
      <c r="TDP13" s="46"/>
      <c r="TDQ13" s="46"/>
      <c r="TDR13" s="46"/>
      <c r="TDS13" s="46"/>
      <c r="TDT13" s="46"/>
      <c r="TDU13" s="46"/>
      <c r="TDV13" s="46"/>
      <c r="TDW13" s="46"/>
      <c r="TDX13" s="46"/>
      <c r="TDY13" s="46"/>
      <c r="TDZ13" s="46"/>
      <c r="TEA13" s="46"/>
      <c r="TEB13" s="46"/>
      <c r="TEC13" s="46"/>
      <c r="TED13" s="46"/>
      <c r="TEE13" s="46"/>
      <c r="TEF13" s="46"/>
      <c r="TEG13" s="46"/>
      <c r="TEH13" s="46"/>
      <c r="TEI13" s="46"/>
      <c r="TEJ13" s="46"/>
      <c r="TEK13" s="46"/>
      <c r="TEL13" s="46"/>
      <c r="TEM13" s="46"/>
      <c r="TEN13" s="46"/>
      <c r="TEO13" s="46"/>
      <c r="TEP13" s="46"/>
      <c r="TEQ13" s="46"/>
      <c r="TER13" s="46"/>
      <c r="TES13" s="46"/>
      <c r="TET13" s="46"/>
      <c r="TEU13" s="46"/>
      <c r="TEV13" s="46"/>
      <c r="TEW13" s="46"/>
      <c r="TEX13" s="46"/>
      <c r="TEY13" s="46"/>
      <c r="TEZ13" s="46"/>
      <c r="TFA13" s="46"/>
      <c r="TFB13" s="46"/>
      <c r="TFC13" s="46"/>
      <c r="TFD13" s="46"/>
      <c r="TFE13" s="46"/>
      <c r="TFF13" s="46"/>
      <c r="TFG13" s="46"/>
      <c r="TFH13" s="46"/>
      <c r="TFI13" s="46"/>
      <c r="TFJ13" s="46"/>
      <c r="TFK13" s="46"/>
      <c r="TFL13" s="46"/>
      <c r="TFM13" s="46"/>
      <c r="TFN13" s="46"/>
      <c r="TFO13" s="46"/>
      <c r="TFP13" s="46"/>
      <c r="TFQ13" s="46"/>
      <c r="TFR13" s="46"/>
      <c r="TFS13" s="46"/>
      <c r="TFT13" s="46"/>
      <c r="TFU13" s="46"/>
      <c r="TFV13" s="46"/>
      <c r="TFW13" s="46"/>
      <c r="TFX13" s="46"/>
      <c r="TFY13" s="46"/>
      <c r="TFZ13" s="46"/>
      <c r="TGA13" s="46"/>
      <c r="TGB13" s="46"/>
      <c r="TGC13" s="46"/>
      <c r="TGD13" s="46"/>
      <c r="TGE13" s="46"/>
      <c r="TGF13" s="46"/>
      <c r="TGG13" s="46"/>
      <c r="TGH13" s="46"/>
      <c r="TGI13" s="46"/>
      <c r="TGJ13" s="46"/>
      <c r="TGK13" s="46"/>
      <c r="TGL13" s="46"/>
      <c r="TGM13" s="46"/>
      <c r="TGN13" s="46"/>
      <c r="TGO13" s="46"/>
      <c r="TGP13" s="46"/>
      <c r="TGQ13" s="46"/>
      <c r="TGR13" s="46"/>
      <c r="TGS13" s="46"/>
      <c r="TGT13" s="46"/>
      <c r="TGU13" s="46"/>
      <c r="TGV13" s="46"/>
      <c r="TGW13" s="46"/>
      <c r="TGX13" s="46"/>
      <c r="TGY13" s="46"/>
      <c r="TGZ13" s="46"/>
      <c r="THA13" s="46"/>
      <c r="THB13" s="46"/>
      <c r="THC13" s="46"/>
      <c r="THD13" s="46"/>
      <c r="THE13" s="46"/>
      <c r="THF13" s="46"/>
      <c r="THG13" s="46"/>
      <c r="THH13" s="46"/>
      <c r="THI13" s="46"/>
      <c r="THJ13" s="46"/>
      <c r="THK13" s="46"/>
      <c r="THL13" s="46"/>
      <c r="THM13" s="46"/>
      <c r="THN13" s="46"/>
      <c r="THO13" s="46"/>
      <c r="THP13" s="46"/>
      <c r="THQ13" s="46"/>
      <c r="THR13" s="46"/>
      <c r="THS13" s="46"/>
      <c r="THT13" s="46"/>
      <c r="THU13" s="46"/>
      <c r="THV13" s="46"/>
      <c r="THW13" s="46"/>
      <c r="THX13" s="46"/>
      <c r="THY13" s="46"/>
      <c r="THZ13" s="46"/>
      <c r="TIA13" s="46"/>
      <c r="TIB13" s="46"/>
      <c r="TIC13" s="46"/>
      <c r="TID13" s="46"/>
      <c r="TIE13" s="46"/>
      <c r="TIF13" s="46"/>
      <c r="TIG13" s="46"/>
      <c r="TIH13" s="46"/>
      <c r="TII13" s="46"/>
      <c r="TIJ13" s="46"/>
      <c r="TIK13" s="46"/>
      <c r="TIL13" s="46"/>
      <c r="TIM13" s="46"/>
      <c r="TIN13" s="46"/>
      <c r="TIO13" s="46"/>
      <c r="TIP13" s="46"/>
      <c r="TIQ13" s="46"/>
      <c r="TIR13" s="46"/>
      <c r="TIS13" s="46"/>
      <c r="TIT13" s="46"/>
      <c r="TIU13" s="46"/>
      <c r="TIV13" s="46"/>
      <c r="TIW13" s="46"/>
      <c r="TIX13" s="46"/>
      <c r="TIY13" s="46"/>
      <c r="TIZ13" s="46"/>
      <c r="TJA13" s="46"/>
      <c r="TJB13" s="46"/>
      <c r="TJC13" s="46"/>
      <c r="TJD13" s="46"/>
      <c r="TJE13" s="46"/>
      <c r="TJF13" s="46"/>
      <c r="TJG13" s="46"/>
      <c r="TJH13" s="46"/>
      <c r="TJI13" s="46"/>
      <c r="TJJ13" s="46"/>
      <c r="TJK13" s="46"/>
      <c r="TJL13" s="46"/>
      <c r="TJM13" s="46"/>
      <c r="TJN13" s="46"/>
      <c r="TJO13" s="46"/>
      <c r="TJP13" s="46"/>
      <c r="TJQ13" s="46"/>
      <c r="TJR13" s="46"/>
      <c r="TJS13" s="46"/>
      <c r="TJT13" s="46"/>
      <c r="TJU13" s="46"/>
      <c r="TJV13" s="46"/>
      <c r="TJW13" s="46"/>
      <c r="TJX13" s="46"/>
      <c r="TJY13" s="46"/>
      <c r="TJZ13" s="46"/>
      <c r="TKA13" s="46"/>
      <c r="TKB13" s="46"/>
      <c r="TKC13" s="46"/>
      <c r="TKD13" s="46"/>
      <c r="TKE13" s="46"/>
      <c r="TKF13" s="46"/>
      <c r="TKG13" s="46"/>
      <c r="TKH13" s="46"/>
      <c r="TKI13" s="46"/>
      <c r="TKJ13" s="46"/>
      <c r="TKK13" s="46"/>
      <c r="TKL13" s="46"/>
      <c r="TKM13" s="46"/>
      <c r="TKN13" s="46"/>
      <c r="TKO13" s="46"/>
      <c r="TKP13" s="46"/>
      <c r="TKQ13" s="46"/>
      <c r="TKR13" s="46"/>
      <c r="TKS13" s="46"/>
      <c r="TKT13" s="46"/>
      <c r="TKU13" s="46"/>
      <c r="TKV13" s="46"/>
      <c r="TKW13" s="46"/>
      <c r="TKX13" s="46"/>
      <c r="TKY13" s="46"/>
      <c r="TKZ13" s="46"/>
      <c r="TLA13" s="46"/>
      <c r="TLB13" s="46"/>
      <c r="TLC13" s="46"/>
      <c r="TLD13" s="46"/>
      <c r="TLE13" s="46"/>
      <c r="TLF13" s="46"/>
      <c r="TLG13" s="46"/>
      <c r="TLH13" s="46"/>
      <c r="TLI13" s="46"/>
      <c r="TLJ13" s="46"/>
      <c r="TLK13" s="46"/>
      <c r="TLL13" s="46"/>
      <c r="TLM13" s="46"/>
      <c r="TLN13" s="46"/>
      <c r="TLO13" s="46"/>
      <c r="TLP13" s="46"/>
      <c r="TLQ13" s="46"/>
      <c r="TLR13" s="46"/>
      <c r="TLS13" s="46"/>
      <c r="TLT13" s="46"/>
      <c r="TLU13" s="46"/>
      <c r="TLV13" s="46"/>
      <c r="TLW13" s="46"/>
      <c r="TLX13" s="46"/>
      <c r="TLY13" s="46"/>
      <c r="TLZ13" s="46"/>
      <c r="TMA13" s="46"/>
      <c r="TMB13" s="46"/>
      <c r="TMC13" s="46"/>
      <c r="TMD13" s="46"/>
      <c r="TME13" s="46"/>
      <c r="TMF13" s="46"/>
      <c r="TMG13" s="46"/>
      <c r="TMH13" s="46"/>
      <c r="TMI13" s="46"/>
      <c r="TMJ13" s="46"/>
      <c r="TMK13" s="46"/>
      <c r="TML13" s="46"/>
      <c r="TMM13" s="46"/>
      <c r="TMN13" s="46"/>
      <c r="TMO13" s="46"/>
      <c r="TMP13" s="46"/>
      <c r="TMQ13" s="46"/>
      <c r="TMR13" s="46"/>
      <c r="TMS13" s="46"/>
      <c r="TMT13" s="46"/>
      <c r="TMU13" s="46"/>
      <c r="TMV13" s="46"/>
      <c r="TMW13" s="46"/>
      <c r="TMX13" s="46"/>
      <c r="TMY13" s="46"/>
      <c r="TMZ13" s="46"/>
      <c r="TNA13" s="46"/>
      <c r="TNB13" s="46"/>
      <c r="TNC13" s="46"/>
      <c r="TND13" s="46"/>
      <c r="TNE13" s="46"/>
      <c r="TNF13" s="46"/>
      <c r="TNG13" s="46"/>
      <c r="TNH13" s="46"/>
      <c r="TNI13" s="46"/>
      <c r="TNJ13" s="46"/>
      <c r="TNK13" s="46"/>
      <c r="TNL13" s="46"/>
      <c r="TNM13" s="46"/>
      <c r="TNN13" s="46"/>
      <c r="TNO13" s="46"/>
      <c r="TNP13" s="46"/>
      <c r="TNQ13" s="46"/>
      <c r="TNR13" s="46"/>
      <c r="TNS13" s="46"/>
      <c r="TNT13" s="46"/>
      <c r="TNU13" s="46"/>
      <c r="TNV13" s="46"/>
      <c r="TNW13" s="46"/>
      <c r="TNX13" s="46"/>
      <c r="TNY13" s="46"/>
      <c r="TNZ13" s="46"/>
      <c r="TOA13" s="46"/>
      <c r="TOB13" s="46"/>
      <c r="TOC13" s="46"/>
      <c r="TOD13" s="46"/>
      <c r="TOE13" s="46"/>
      <c r="TOF13" s="46"/>
      <c r="TOG13" s="46"/>
      <c r="TOH13" s="46"/>
      <c r="TOI13" s="46"/>
      <c r="TOJ13" s="46"/>
      <c r="TOK13" s="46"/>
      <c r="TOL13" s="46"/>
      <c r="TOM13" s="46"/>
      <c r="TON13" s="46"/>
      <c r="TOO13" s="46"/>
      <c r="TOP13" s="46"/>
      <c r="TOQ13" s="46"/>
      <c r="TOR13" s="46"/>
      <c r="TOS13" s="46"/>
      <c r="TOT13" s="46"/>
      <c r="TOU13" s="46"/>
      <c r="TOV13" s="46"/>
      <c r="TOW13" s="46"/>
      <c r="TOX13" s="46"/>
      <c r="TOY13" s="46"/>
      <c r="TOZ13" s="46"/>
      <c r="TPA13" s="46"/>
      <c r="TPB13" s="46"/>
      <c r="TPC13" s="46"/>
      <c r="TPD13" s="46"/>
      <c r="TPE13" s="46"/>
      <c r="TPF13" s="46"/>
      <c r="TPG13" s="46"/>
      <c r="TPH13" s="46"/>
      <c r="TPI13" s="46"/>
      <c r="TPJ13" s="46"/>
      <c r="TPK13" s="46"/>
      <c r="TPL13" s="46"/>
      <c r="TPM13" s="46"/>
      <c r="TPN13" s="46"/>
      <c r="TPO13" s="46"/>
      <c r="TPP13" s="46"/>
      <c r="TPQ13" s="46"/>
      <c r="TPR13" s="46"/>
      <c r="TPS13" s="46"/>
      <c r="TPT13" s="46"/>
      <c r="TPU13" s="46"/>
      <c r="TPV13" s="46"/>
      <c r="TPW13" s="46"/>
      <c r="TPX13" s="46"/>
      <c r="TPY13" s="46"/>
      <c r="TPZ13" s="46"/>
      <c r="TQA13" s="46"/>
      <c r="TQB13" s="46"/>
      <c r="TQC13" s="46"/>
      <c r="TQD13" s="46"/>
      <c r="TQE13" s="46"/>
      <c r="TQF13" s="46"/>
      <c r="TQG13" s="46"/>
      <c r="TQH13" s="46"/>
      <c r="TQI13" s="46"/>
      <c r="TQJ13" s="46"/>
      <c r="TQK13" s="46"/>
      <c r="TQL13" s="46"/>
      <c r="TQM13" s="46"/>
      <c r="TQN13" s="46"/>
      <c r="TQO13" s="46"/>
      <c r="TQP13" s="46"/>
      <c r="TQQ13" s="46"/>
      <c r="TQR13" s="46"/>
      <c r="TQS13" s="46"/>
      <c r="TQT13" s="46"/>
      <c r="TQU13" s="46"/>
      <c r="TQV13" s="46"/>
      <c r="TQW13" s="46"/>
      <c r="TQX13" s="46"/>
      <c r="TQY13" s="46"/>
      <c r="TQZ13" s="46"/>
      <c r="TRA13" s="46"/>
      <c r="TRB13" s="46"/>
      <c r="TRC13" s="46"/>
      <c r="TRD13" s="46"/>
      <c r="TRE13" s="46"/>
      <c r="TRF13" s="46"/>
      <c r="TRG13" s="46"/>
      <c r="TRH13" s="46"/>
      <c r="TRI13" s="46"/>
      <c r="TRJ13" s="46"/>
      <c r="TRK13" s="46"/>
      <c r="TRL13" s="46"/>
      <c r="TRM13" s="46"/>
      <c r="TRN13" s="46"/>
      <c r="TRO13" s="46"/>
      <c r="TRP13" s="46"/>
      <c r="TRQ13" s="46"/>
      <c r="TRR13" s="46"/>
      <c r="TRS13" s="46"/>
      <c r="TRT13" s="46"/>
      <c r="TRU13" s="46"/>
      <c r="TRV13" s="46"/>
      <c r="TRW13" s="46"/>
      <c r="TRX13" s="46"/>
      <c r="TRY13" s="46"/>
      <c r="TRZ13" s="46"/>
      <c r="TSA13" s="46"/>
      <c r="TSB13" s="46"/>
      <c r="TSC13" s="46"/>
      <c r="TSD13" s="46"/>
      <c r="TSE13" s="46"/>
      <c r="TSF13" s="46"/>
      <c r="TSG13" s="46"/>
      <c r="TSH13" s="46"/>
      <c r="TSI13" s="46"/>
      <c r="TSJ13" s="46"/>
      <c r="TSK13" s="46"/>
      <c r="TSL13" s="46"/>
      <c r="TSM13" s="46"/>
      <c r="TSN13" s="46"/>
      <c r="TSO13" s="46"/>
      <c r="TSP13" s="46"/>
      <c r="TSQ13" s="46"/>
      <c r="TSR13" s="46"/>
      <c r="TSS13" s="46"/>
      <c r="TST13" s="46"/>
      <c r="TSU13" s="46"/>
      <c r="TSV13" s="46"/>
      <c r="TSW13" s="46"/>
      <c r="TSX13" s="46"/>
      <c r="TSY13" s="46"/>
      <c r="TSZ13" s="46"/>
      <c r="TTA13" s="46"/>
      <c r="TTB13" s="46"/>
      <c r="TTC13" s="46"/>
      <c r="TTD13" s="46"/>
      <c r="TTE13" s="46"/>
      <c r="TTF13" s="46"/>
      <c r="TTG13" s="46"/>
      <c r="TTH13" s="46"/>
      <c r="TTI13" s="46"/>
      <c r="TTJ13" s="46"/>
      <c r="TTK13" s="46"/>
      <c r="TTL13" s="46"/>
      <c r="TTM13" s="46"/>
      <c r="TTN13" s="46"/>
      <c r="TTO13" s="46"/>
      <c r="TTP13" s="46"/>
      <c r="TTQ13" s="46"/>
      <c r="TTR13" s="46"/>
      <c r="TTS13" s="46"/>
      <c r="TTT13" s="46"/>
      <c r="TTU13" s="46"/>
      <c r="TTV13" s="46"/>
      <c r="TTW13" s="46"/>
      <c r="TTX13" s="46"/>
      <c r="TTY13" s="46"/>
      <c r="TTZ13" s="46"/>
      <c r="TUA13" s="46"/>
      <c r="TUB13" s="46"/>
      <c r="TUC13" s="46"/>
      <c r="TUD13" s="46"/>
      <c r="TUE13" s="46"/>
      <c r="TUF13" s="46"/>
      <c r="TUG13" s="46"/>
      <c r="TUH13" s="46"/>
      <c r="TUI13" s="46"/>
      <c r="TUJ13" s="46"/>
      <c r="TUK13" s="46"/>
      <c r="TUL13" s="46"/>
      <c r="TUM13" s="46"/>
      <c r="TUN13" s="46"/>
      <c r="TUO13" s="46"/>
      <c r="TUP13" s="46"/>
      <c r="TUQ13" s="46"/>
      <c r="TUR13" s="46"/>
      <c r="TUS13" s="46"/>
      <c r="TUT13" s="46"/>
      <c r="TUU13" s="46"/>
      <c r="TUV13" s="46"/>
      <c r="TUW13" s="46"/>
      <c r="TUX13" s="46"/>
      <c r="TUY13" s="46"/>
      <c r="TUZ13" s="46"/>
      <c r="TVA13" s="46"/>
      <c r="TVB13" s="46"/>
      <c r="TVC13" s="46"/>
      <c r="TVD13" s="46"/>
      <c r="TVE13" s="46"/>
      <c r="TVF13" s="46"/>
      <c r="TVG13" s="46"/>
      <c r="TVH13" s="46"/>
      <c r="TVI13" s="46"/>
      <c r="TVJ13" s="46"/>
      <c r="TVK13" s="46"/>
      <c r="TVL13" s="46"/>
      <c r="TVM13" s="46"/>
      <c r="TVN13" s="46"/>
      <c r="TVO13" s="46"/>
      <c r="TVP13" s="46"/>
      <c r="TVQ13" s="46"/>
      <c r="TVR13" s="46"/>
      <c r="TVS13" s="46"/>
      <c r="TVT13" s="46"/>
      <c r="TVU13" s="46"/>
      <c r="TVV13" s="46"/>
      <c r="TVW13" s="46"/>
      <c r="TVX13" s="46"/>
      <c r="TVY13" s="46"/>
      <c r="TVZ13" s="46"/>
      <c r="TWA13" s="46"/>
      <c r="TWB13" s="46"/>
      <c r="TWC13" s="46"/>
      <c r="TWD13" s="46"/>
      <c r="TWE13" s="46"/>
      <c r="TWF13" s="46"/>
      <c r="TWG13" s="46"/>
      <c r="TWH13" s="46"/>
      <c r="TWI13" s="46"/>
      <c r="TWJ13" s="46"/>
      <c r="TWK13" s="46"/>
      <c r="TWL13" s="46"/>
      <c r="TWM13" s="46"/>
      <c r="TWN13" s="46"/>
      <c r="TWO13" s="46"/>
      <c r="TWP13" s="46"/>
      <c r="TWQ13" s="46"/>
      <c r="TWR13" s="46"/>
      <c r="TWS13" s="46"/>
      <c r="TWT13" s="46"/>
      <c r="TWU13" s="46"/>
      <c r="TWV13" s="46"/>
      <c r="TWW13" s="46"/>
      <c r="TWX13" s="46"/>
      <c r="TWY13" s="46"/>
      <c r="TWZ13" s="46"/>
      <c r="TXA13" s="46"/>
      <c r="TXB13" s="46"/>
      <c r="TXC13" s="46"/>
      <c r="TXD13" s="46"/>
      <c r="TXE13" s="46"/>
      <c r="TXF13" s="46"/>
      <c r="TXG13" s="46"/>
      <c r="TXH13" s="46"/>
      <c r="TXI13" s="46"/>
      <c r="TXJ13" s="46"/>
      <c r="TXK13" s="46"/>
      <c r="TXL13" s="46"/>
      <c r="TXM13" s="46"/>
      <c r="TXN13" s="46"/>
      <c r="TXO13" s="46"/>
      <c r="TXP13" s="46"/>
      <c r="TXQ13" s="46"/>
      <c r="TXR13" s="46"/>
      <c r="TXS13" s="46"/>
      <c r="TXT13" s="46"/>
      <c r="TXU13" s="46"/>
      <c r="TXV13" s="46"/>
      <c r="TXW13" s="46"/>
      <c r="TXX13" s="46"/>
      <c r="TXY13" s="46"/>
      <c r="TXZ13" s="46"/>
      <c r="TYA13" s="46"/>
      <c r="TYB13" s="46"/>
      <c r="TYC13" s="46"/>
      <c r="TYD13" s="46"/>
      <c r="TYE13" s="46"/>
      <c r="TYF13" s="46"/>
      <c r="TYG13" s="46"/>
      <c r="TYH13" s="46"/>
      <c r="TYI13" s="46"/>
      <c r="TYJ13" s="46"/>
      <c r="TYK13" s="46"/>
      <c r="TYL13" s="46"/>
      <c r="TYM13" s="46"/>
      <c r="TYN13" s="46"/>
      <c r="TYO13" s="46"/>
      <c r="TYP13" s="46"/>
      <c r="TYQ13" s="46"/>
      <c r="TYR13" s="46"/>
      <c r="TYS13" s="46"/>
      <c r="TYT13" s="46"/>
      <c r="TYU13" s="46"/>
      <c r="TYV13" s="46"/>
      <c r="TYW13" s="46"/>
      <c r="TYX13" s="46"/>
      <c r="TYY13" s="46"/>
      <c r="TYZ13" s="46"/>
      <c r="TZA13" s="46"/>
      <c r="TZB13" s="46"/>
      <c r="TZC13" s="46"/>
      <c r="TZD13" s="46"/>
      <c r="TZE13" s="46"/>
      <c r="TZF13" s="46"/>
      <c r="TZG13" s="46"/>
      <c r="TZH13" s="46"/>
      <c r="TZI13" s="46"/>
      <c r="TZJ13" s="46"/>
      <c r="TZK13" s="46"/>
      <c r="TZL13" s="46"/>
      <c r="TZM13" s="46"/>
      <c r="TZN13" s="46"/>
      <c r="TZO13" s="46"/>
      <c r="TZP13" s="46"/>
      <c r="TZQ13" s="46"/>
      <c r="TZR13" s="46"/>
      <c r="TZS13" s="46"/>
      <c r="TZT13" s="46"/>
      <c r="TZU13" s="46"/>
      <c r="TZV13" s="46"/>
      <c r="TZW13" s="46"/>
      <c r="TZX13" s="46"/>
      <c r="TZY13" s="46"/>
      <c r="TZZ13" s="46"/>
      <c r="UAA13" s="46"/>
      <c r="UAB13" s="46"/>
      <c r="UAC13" s="46"/>
      <c r="UAD13" s="46"/>
      <c r="UAE13" s="46"/>
      <c r="UAF13" s="46"/>
      <c r="UAG13" s="46"/>
      <c r="UAH13" s="46"/>
      <c r="UAI13" s="46"/>
      <c r="UAJ13" s="46"/>
      <c r="UAK13" s="46"/>
      <c r="UAL13" s="46"/>
      <c r="UAM13" s="46"/>
      <c r="UAN13" s="46"/>
      <c r="UAO13" s="46"/>
      <c r="UAP13" s="46"/>
      <c r="UAQ13" s="46"/>
      <c r="UAR13" s="46"/>
      <c r="UAS13" s="46"/>
      <c r="UAT13" s="46"/>
      <c r="UAU13" s="46"/>
      <c r="UAV13" s="46"/>
      <c r="UAW13" s="46"/>
      <c r="UAX13" s="46"/>
      <c r="UAY13" s="46"/>
      <c r="UAZ13" s="46"/>
      <c r="UBA13" s="46"/>
      <c r="UBB13" s="46"/>
      <c r="UBC13" s="46"/>
      <c r="UBD13" s="46"/>
      <c r="UBE13" s="46"/>
      <c r="UBF13" s="46"/>
      <c r="UBG13" s="46"/>
      <c r="UBH13" s="46"/>
      <c r="UBI13" s="46"/>
      <c r="UBJ13" s="46"/>
      <c r="UBK13" s="46"/>
      <c r="UBL13" s="46"/>
      <c r="UBM13" s="46"/>
      <c r="UBN13" s="46"/>
      <c r="UBO13" s="46"/>
      <c r="UBP13" s="46"/>
      <c r="UBQ13" s="46"/>
      <c r="UBR13" s="46"/>
      <c r="UBS13" s="46"/>
      <c r="UBT13" s="46"/>
      <c r="UBU13" s="46"/>
      <c r="UBV13" s="46"/>
      <c r="UBW13" s="46"/>
      <c r="UBX13" s="46"/>
      <c r="UBY13" s="46"/>
      <c r="UBZ13" s="46"/>
      <c r="UCA13" s="46"/>
      <c r="UCB13" s="46"/>
      <c r="UCC13" s="46"/>
      <c r="UCD13" s="46"/>
      <c r="UCE13" s="46"/>
      <c r="UCF13" s="46"/>
      <c r="UCG13" s="46"/>
      <c r="UCH13" s="46"/>
      <c r="UCI13" s="46"/>
      <c r="UCJ13" s="46"/>
      <c r="UCK13" s="46"/>
      <c r="UCL13" s="46"/>
      <c r="UCM13" s="46"/>
      <c r="UCN13" s="46"/>
      <c r="UCO13" s="46"/>
      <c r="UCP13" s="46"/>
      <c r="UCQ13" s="46"/>
      <c r="UCR13" s="46"/>
      <c r="UCS13" s="46"/>
      <c r="UCT13" s="46"/>
      <c r="UCU13" s="46"/>
      <c r="UCV13" s="46"/>
      <c r="UCW13" s="46"/>
      <c r="UCX13" s="46"/>
      <c r="UCY13" s="46"/>
      <c r="UCZ13" s="46"/>
      <c r="UDA13" s="46"/>
      <c r="UDB13" s="46"/>
      <c r="UDC13" s="46"/>
      <c r="UDD13" s="46"/>
      <c r="UDE13" s="46"/>
      <c r="UDF13" s="46"/>
      <c r="UDG13" s="46"/>
      <c r="UDH13" s="46"/>
      <c r="UDI13" s="46"/>
      <c r="UDJ13" s="46"/>
      <c r="UDK13" s="46"/>
      <c r="UDL13" s="46"/>
      <c r="UDM13" s="46"/>
      <c r="UDN13" s="46"/>
      <c r="UDO13" s="46"/>
      <c r="UDP13" s="46"/>
      <c r="UDQ13" s="46"/>
      <c r="UDR13" s="46"/>
      <c r="UDS13" s="46"/>
      <c r="UDT13" s="46"/>
      <c r="UDU13" s="46"/>
      <c r="UDV13" s="46"/>
      <c r="UDW13" s="46"/>
      <c r="UDX13" s="46"/>
      <c r="UDY13" s="46"/>
      <c r="UDZ13" s="46"/>
      <c r="UEA13" s="46"/>
      <c r="UEB13" s="46"/>
      <c r="UEC13" s="46"/>
      <c r="UED13" s="46"/>
      <c r="UEE13" s="46"/>
      <c r="UEF13" s="46"/>
      <c r="UEG13" s="46"/>
      <c r="UEH13" s="46"/>
      <c r="UEI13" s="46"/>
      <c r="UEJ13" s="46"/>
      <c r="UEK13" s="46"/>
      <c r="UEL13" s="46"/>
      <c r="UEM13" s="46"/>
      <c r="UEN13" s="46"/>
      <c r="UEO13" s="46"/>
      <c r="UEP13" s="46"/>
      <c r="UEQ13" s="46"/>
      <c r="UER13" s="46"/>
      <c r="UES13" s="46"/>
      <c r="UET13" s="46"/>
      <c r="UEU13" s="46"/>
      <c r="UEV13" s="46"/>
      <c r="UEW13" s="46"/>
      <c r="UEX13" s="46"/>
      <c r="UEY13" s="46"/>
      <c r="UEZ13" s="46"/>
      <c r="UFA13" s="46"/>
      <c r="UFB13" s="46"/>
      <c r="UFC13" s="46"/>
      <c r="UFD13" s="46"/>
      <c r="UFE13" s="46"/>
      <c r="UFF13" s="46"/>
      <c r="UFG13" s="46"/>
      <c r="UFH13" s="46"/>
      <c r="UFI13" s="46"/>
      <c r="UFJ13" s="46"/>
      <c r="UFK13" s="46"/>
      <c r="UFL13" s="46"/>
      <c r="UFM13" s="46"/>
      <c r="UFN13" s="46"/>
      <c r="UFO13" s="46"/>
      <c r="UFP13" s="46"/>
      <c r="UFQ13" s="46"/>
      <c r="UFR13" s="46"/>
      <c r="UFS13" s="46"/>
      <c r="UFT13" s="46"/>
      <c r="UFU13" s="46"/>
      <c r="UFV13" s="46"/>
      <c r="UFW13" s="46"/>
      <c r="UFX13" s="46"/>
      <c r="UFY13" s="46"/>
      <c r="UFZ13" s="46"/>
      <c r="UGA13" s="46"/>
      <c r="UGB13" s="46"/>
      <c r="UGC13" s="46"/>
      <c r="UGD13" s="46"/>
      <c r="UGE13" s="46"/>
      <c r="UGF13" s="46"/>
      <c r="UGG13" s="46"/>
      <c r="UGH13" s="46"/>
      <c r="UGI13" s="46"/>
      <c r="UGJ13" s="46"/>
      <c r="UGK13" s="46"/>
      <c r="UGL13" s="46"/>
      <c r="UGM13" s="46"/>
      <c r="UGN13" s="46"/>
      <c r="UGO13" s="46"/>
      <c r="UGP13" s="46"/>
      <c r="UGQ13" s="46"/>
      <c r="UGR13" s="46"/>
      <c r="UGS13" s="46"/>
      <c r="UGT13" s="46"/>
      <c r="UGU13" s="46"/>
      <c r="UGV13" s="46"/>
      <c r="UGW13" s="46"/>
      <c r="UGX13" s="46"/>
      <c r="UGY13" s="46"/>
      <c r="UGZ13" s="46"/>
      <c r="UHA13" s="46"/>
      <c r="UHB13" s="46"/>
      <c r="UHC13" s="46"/>
      <c r="UHD13" s="46"/>
      <c r="UHE13" s="46"/>
      <c r="UHF13" s="46"/>
      <c r="UHG13" s="46"/>
      <c r="UHH13" s="46"/>
      <c r="UHI13" s="46"/>
      <c r="UHJ13" s="46"/>
      <c r="UHK13" s="46"/>
      <c r="UHL13" s="46"/>
      <c r="UHM13" s="46"/>
      <c r="UHN13" s="46"/>
      <c r="UHO13" s="46"/>
      <c r="UHP13" s="46"/>
      <c r="UHQ13" s="46"/>
      <c r="UHR13" s="46"/>
      <c r="UHS13" s="46"/>
      <c r="UHT13" s="46"/>
      <c r="UHU13" s="46"/>
      <c r="UHV13" s="46"/>
      <c r="UHW13" s="46"/>
      <c r="UHX13" s="46"/>
      <c r="UHY13" s="46"/>
      <c r="UHZ13" s="46"/>
      <c r="UIA13" s="46"/>
      <c r="UIB13" s="46"/>
      <c r="UIC13" s="46"/>
      <c r="UID13" s="46"/>
      <c r="UIE13" s="46"/>
      <c r="UIF13" s="46"/>
      <c r="UIG13" s="46"/>
      <c r="UIH13" s="46"/>
      <c r="UII13" s="46"/>
      <c r="UIJ13" s="46"/>
      <c r="UIK13" s="46"/>
      <c r="UIL13" s="46"/>
      <c r="UIM13" s="46"/>
      <c r="UIN13" s="46"/>
      <c r="UIO13" s="46"/>
      <c r="UIP13" s="46"/>
      <c r="UIQ13" s="46"/>
      <c r="UIR13" s="46"/>
      <c r="UIS13" s="46"/>
      <c r="UIT13" s="46"/>
      <c r="UIU13" s="46"/>
      <c r="UIV13" s="46"/>
      <c r="UIW13" s="46"/>
      <c r="UIX13" s="46"/>
      <c r="UIY13" s="46"/>
      <c r="UIZ13" s="46"/>
      <c r="UJA13" s="46"/>
      <c r="UJB13" s="46"/>
      <c r="UJC13" s="46"/>
      <c r="UJD13" s="46"/>
      <c r="UJE13" s="46"/>
      <c r="UJF13" s="46"/>
      <c r="UJG13" s="46"/>
      <c r="UJH13" s="46"/>
      <c r="UJI13" s="46"/>
      <c r="UJJ13" s="46"/>
      <c r="UJK13" s="46"/>
      <c r="UJL13" s="46"/>
      <c r="UJM13" s="46"/>
      <c r="UJN13" s="46"/>
      <c r="UJO13" s="46"/>
      <c r="UJP13" s="46"/>
      <c r="UJQ13" s="46"/>
      <c r="UJR13" s="46"/>
      <c r="UJS13" s="46"/>
      <c r="UJT13" s="46"/>
      <c r="UJU13" s="46"/>
      <c r="UJV13" s="46"/>
      <c r="UJW13" s="46"/>
      <c r="UJX13" s="46"/>
      <c r="UJY13" s="46"/>
      <c r="UJZ13" s="46"/>
      <c r="UKA13" s="46"/>
      <c r="UKB13" s="46"/>
      <c r="UKC13" s="46"/>
      <c r="UKD13" s="46"/>
      <c r="UKE13" s="46"/>
      <c r="UKF13" s="46"/>
      <c r="UKG13" s="46"/>
      <c r="UKH13" s="46"/>
      <c r="UKI13" s="46"/>
      <c r="UKJ13" s="46"/>
      <c r="UKK13" s="46"/>
      <c r="UKL13" s="46"/>
      <c r="UKM13" s="46"/>
      <c r="UKN13" s="46"/>
      <c r="UKO13" s="46"/>
      <c r="UKP13" s="46"/>
      <c r="UKQ13" s="46"/>
      <c r="UKR13" s="46"/>
      <c r="UKS13" s="46"/>
      <c r="UKT13" s="46"/>
      <c r="UKU13" s="46"/>
      <c r="UKV13" s="46"/>
      <c r="UKW13" s="46"/>
      <c r="UKX13" s="46"/>
      <c r="UKY13" s="46"/>
      <c r="UKZ13" s="46"/>
      <c r="ULA13" s="46"/>
      <c r="ULB13" s="46"/>
      <c r="ULC13" s="46"/>
      <c r="ULD13" s="46"/>
      <c r="ULE13" s="46"/>
      <c r="ULF13" s="46"/>
      <c r="ULG13" s="46"/>
      <c r="ULH13" s="46"/>
      <c r="ULI13" s="46"/>
      <c r="ULJ13" s="46"/>
      <c r="ULK13" s="46"/>
      <c r="ULL13" s="46"/>
      <c r="ULM13" s="46"/>
      <c r="ULN13" s="46"/>
      <c r="ULO13" s="46"/>
      <c r="ULP13" s="46"/>
      <c r="ULQ13" s="46"/>
      <c r="ULR13" s="46"/>
      <c r="ULS13" s="46"/>
      <c r="ULT13" s="46"/>
      <c r="ULU13" s="46"/>
      <c r="ULV13" s="46"/>
      <c r="ULW13" s="46"/>
      <c r="ULX13" s="46"/>
      <c r="ULY13" s="46"/>
      <c r="ULZ13" s="46"/>
      <c r="UMA13" s="46"/>
      <c r="UMB13" s="46"/>
      <c r="UMC13" s="46"/>
      <c r="UMD13" s="46"/>
      <c r="UME13" s="46"/>
      <c r="UMF13" s="46"/>
      <c r="UMG13" s="46"/>
      <c r="UMH13" s="46"/>
      <c r="UMI13" s="46"/>
      <c r="UMJ13" s="46"/>
      <c r="UMK13" s="46"/>
      <c r="UML13" s="46"/>
      <c r="UMM13" s="46"/>
      <c r="UMN13" s="46"/>
      <c r="UMO13" s="46"/>
      <c r="UMP13" s="46"/>
      <c r="UMQ13" s="46"/>
      <c r="UMR13" s="46"/>
      <c r="UMS13" s="46"/>
      <c r="UMT13" s="46"/>
      <c r="UMU13" s="46"/>
      <c r="UMV13" s="46"/>
      <c r="UMW13" s="46"/>
      <c r="UMX13" s="46"/>
      <c r="UMY13" s="46"/>
      <c r="UMZ13" s="46"/>
      <c r="UNA13" s="46"/>
      <c r="UNB13" s="46"/>
      <c r="UNC13" s="46"/>
      <c r="UND13" s="46"/>
      <c r="UNE13" s="46"/>
      <c r="UNF13" s="46"/>
      <c r="UNG13" s="46"/>
      <c r="UNH13" s="46"/>
      <c r="UNI13" s="46"/>
      <c r="UNJ13" s="46"/>
      <c r="UNK13" s="46"/>
      <c r="UNL13" s="46"/>
      <c r="UNM13" s="46"/>
      <c r="UNN13" s="46"/>
      <c r="UNO13" s="46"/>
      <c r="UNP13" s="46"/>
      <c r="UNQ13" s="46"/>
      <c r="UNR13" s="46"/>
      <c r="UNS13" s="46"/>
      <c r="UNT13" s="46"/>
      <c r="UNU13" s="46"/>
      <c r="UNV13" s="46"/>
      <c r="UNW13" s="46"/>
      <c r="UNX13" s="46"/>
      <c r="UNY13" s="46"/>
      <c r="UNZ13" s="46"/>
      <c r="UOA13" s="46"/>
      <c r="UOB13" s="46"/>
      <c r="UOC13" s="46"/>
      <c r="UOD13" s="46"/>
      <c r="UOE13" s="46"/>
      <c r="UOF13" s="46"/>
      <c r="UOG13" s="46"/>
      <c r="UOH13" s="46"/>
      <c r="UOI13" s="46"/>
      <c r="UOJ13" s="46"/>
      <c r="UOK13" s="46"/>
      <c r="UOL13" s="46"/>
      <c r="UOM13" s="46"/>
      <c r="UON13" s="46"/>
      <c r="UOO13" s="46"/>
      <c r="UOP13" s="46"/>
      <c r="UOQ13" s="46"/>
      <c r="UOR13" s="46"/>
      <c r="UOS13" s="46"/>
      <c r="UOT13" s="46"/>
      <c r="UOU13" s="46"/>
      <c r="UOV13" s="46"/>
      <c r="UOW13" s="46"/>
      <c r="UOX13" s="46"/>
      <c r="UOY13" s="46"/>
      <c r="UOZ13" s="46"/>
      <c r="UPA13" s="46"/>
      <c r="UPB13" s="46"/>
      <c r="UPC13" s="46"/>
      <c r="UPD13" s="46"/>
      <c r="UPE13" s="46"/>
      <c r="UPF13" s="46"/>
      <c r="UPG13" s="46"/>
      <c r="UPH13" s="46"/>
      <c r="UPI13" s="46"/>
      <c r="UPJ13" s="46"/>
      <c r="UPK13" s="46"/>
      <c r="UPL13" s="46"/>
      <c r="UPM13" s="46"/>
      <c r="UPN13" s="46"/>
      <c r="UPO13" s="46"/>
      <c r="UPP13" s="46"/>
      <c r="UPQ13" s="46"/>
      <c r="UPR13" s="46"/>
      <c r="UPS13" s="46"/>
      <c r="UPT13" s="46"/>
      <c r="UPU13" s="46"/>
      <c r="UPV13" s="46"/>
      <c r="UPW13" s="46"/>
      <c r="UPX13" s="46"/>
      <c r="UPY13" s="46"/>
      <c r="UPZ13" s="46"/>
      <c r="UQA13" s="46"/>
      <c r="UQB13" s="46"/>
      <c r="UQC13" s="46"/>
      <c r="UQD13" s="46"/>
      <c r="UQE13" s="46"/>
      <c r="UQF13" s="46"/>
      <c r="UQG13" s="46"/>
      <c r="UQH13" s="46"/>
      <c r="UQI13" s="46"/>
      <c r="UQJ13" s="46"/>
      <c r="UQK13" s="46"/>
      <c r="UQL13" s="46"/>
      <c r="UQM13" s="46"/>
      <c r="UQN13" s="46"/>
      <c r="UQO13" s="46"/>
      <c r="UQP13" s="46"/>
      <c r="UQQ13" s="46"/>
      <c r="UQR13" s="46"/>
      <c r="UQS13" s="46"/>
      <c r="UQT13" s="46"/>
      <c r="UQU13" s="46"/>
      <c r="UQV13" s="46"/>
      <c r="UQW13" s="46"/>
      <c r="UQX13" s="46"/>
      <c r="UQY13" s="46"/>
      <c r="UQZ13" s="46"/>
      <c r="URA13" s="46"/>
      <c r="URB13" s="46"/>
      <c r="URC13" s="46"/>
      <c r="URD13" s="46"/>
      <c r="URE13" s="46"/>
      <c r="URF13" s="46"/>
      <c r="URG13" s="46"/>
      <c r="URH13" s="46"/>
      <c r="URI13" s="46"/>
      <c r="URJ13" s="46"/>
      <c r="URK13" s="46"/>
      <c r="URL13" s="46"/>
      <c r="URM13" s="46"/>
      <c r="URN13" s="46"/>
      <c r="URO13" s="46"/>
      <c r="URP13" s="46"/>
      <c r="URQ13" s="46"/>
      <c r="URR13" s="46"/>
      <c r="URS13" s="46"/>
      <c r="URT13" s="46"/>
      <c r="URU13" s="46"/>
      <c r="URV13" s="46"/>
      <c r="URW13" s="46"/>
      <c r="URX13" s="46"/>
      <c r="URY13" s="46"/>
      <c r="URZ13" s="46"/>
      <c r="USA13" s="46"/>
      <c r="USB13" s="46"/>
      <c r="USC13" s="46"/>
      <c r="USD13" s="46"/>
      <c r="USE13" s="46"/>
      <c r="USF13" s="46"/>
      <c r="USG13" s="46"/>
      <c r="USH13" s="46"/>
      <c r="USI13" s="46"/>
      <c r="USJ13" s="46"/>
      <c r="USK13" s="46"/>
      <c r="USL13" s="46"/>
      <c r="USM13" s="46"/>
      <c r="USN13" s="46"/>
      <c r="USO13" s="46"/>
      <c r="USP13" s="46"/>
      <c r="USQ13" s="46"/>
      <c r="USR13" s="46"/>
      <c r="USS13" s="46"/>
      <c r="UST13" s="46"/>
      <c r="USU13" s="46"/>
      <c r="USV13" s="46"/>
      <c r="USW13" s="46"/>
      <c r="USX13" s="46"/>
      <c r="USY13" s="46"/>
      <c r="USZ13" s="46"/>
      <c r="UTA13" s="46"/>
      <c r="UTB13" s="46"/>
      <c r="UTC13" s="46"/>
      <c r="UTD13" s="46"/>
      <c r="UTE13" s="46"/>
      <c r="UTF13" s="46"/>
      <c r="UTG13" s="46"/>
      <c r="UTH13" s="46"/>
      <c r="UTI13" s="46"/>
      <c r="UTJ13" s="46"/>
      <c r="UTK13" s="46"/>
      <c r="UTL13" s="46"/>
      <c r="UTM13" s="46"/>
      <c r="UTN13" s="46"/>
      <c r="UTO13" s="46"/>
      <c r="UTP13" s="46"/>
      <c r="UTQ13" s="46"/>
      <c r="UTR13" s="46"/>
      <c r="UTS13" s="46"/>
      <c r="UTT13" s="46"/>
      <c r="UTU13" s="46"/>
      <c r="UTV13" s="46"/>
      <c r="UTW13" s="46"/>
      <c r="UTX13" s="46"/>
      <c r="UTY13" s="46"/>
      <c r="UTZ13" s="46"/>
      <c r="UUA13" s="46"/>
      <c r="UUB13" s="46"/>
      <c r="UUC13" s="46"/>
      <c r="UUD13" s="46"/>
      <c r="UUE13" s="46"/>
      <c r="UUF13" s="46"/>
      <c r="UUG13" s="46"/>
      <c r="UUH13" s="46"/>
      <c r="UUI13" s="46"/>
      <c r="UUJ13" s="46"/>
      <c r="UUK13" s="46"/>
      <c r="UUL13" s="46"/>
      <c r="UUM13" s="46"/>
      <c r="UUN13" s="46"/>
      <c r="UUO13" s="46"/>
      <c r="UUP13" s="46"/>
      <c r="UUQ13" s="46"/>
      <c r="UUR13" s="46"/>
      <c r="UUS13" s="46"/>
      <c r="UUT13" s="46"/>
      <c r="UUU13" s="46"/>
      <c r="UUV13" s="46"/>
      <c r="UUW13" s="46"/>
      <c r="UUX13" s="46"/>
      <c r="UUY13" s="46"/>
      <c r="UUZ13" s="46"/>
      <c r="UVA13" s="46"/>
      <c r="UVB13" s="46"/>
      <c r="UVC13" s="46"/>
      <c r="UVD13" s="46"/>
      <c r="UVE13" s="46"/>
      <c r="UVF13" s="46"/>
      <c r="UVG13" s="46"/>
      <c r="UVH13" s="46"/>
      <c r="UVI13" s="46"/>
      <c r="UVJ13" s="46"/>
      <c r="UVK13" s="46"/>
      <c r="UVL13" s="46"/>
      <c r="UVM13" s="46"/>
      <c r="UVN13" s="46"/>
      <c r="UVO13" s="46"/>
      <c r="UVP13" s="46"/>
      <c r="UVQ13" s="46"/>
      <c r="UVR13" s="46"/>
      <c r="UVS13" s="46"/>
      <c r="UVT13" s="46"/>
      <c r="UVU13" s="46"/>
      <c r="UVV13" s="46"/>
      <c r="UVW13" s="46"/>
      <c r="UVX13" s="46"/>
      <c r="UVY13" s="46"/>
      <c r="UVZ13" s="46"/>
      <c r="UWA13" s="46"/>
      <c r="UWB13" s="46"/>
      <c r="UWC13" s="46"/>
      <c r="UWD13" s="46"/>
      <c r="UWE13" s="46"/>
      <c r="UWF13" s="46"/>
      <c r="UWG13" s="46"/>
      <c r="UWH13" s="46"/>
      <c r="UWI13" s="46"/>
      <c r="UWJ13" s="46"/>
      <c r="UWK13" s="46"/>
      <c r="UWL13" s="46"/>
      <c r="UWM13" s="46"/>
      <c r="UWN13" s="46"/>
      <c r="UWO13" s="46"/>
      <c r="UWP13" s="46"/>
      <c r="UWQ13" s="46"/>
      <c r="UWR13" s="46"/>
      <c r="UWS13" s="46"/>
      <c r="UWT13" s="46"/>
      <c r="UWU13" s="46"/>
      <c r="UWV13" s="46"/>
      <c r="UWW13" s="46"/>
      <c r="UWX13" s="46"/>
      <c r="UWY13" s="46"/>
      <c r="UWZ13" s="46"/>
      <c r="UXA13" s="46"/>
      <c r="UXB13" s="46"/>
      <c r="UXC13" s="46"/>
      <c r="UXD13" s="46"/>
      <c r="UXE13" s="46"/>
      <c r="UXF13" s="46"/>
      <c r="UXG13" s="46"/>
      <c r="UXH13" s="46"/>
      <c r="UXI13" s="46"/>
      <c r="UXJ13" s="46"/>
      <c r="UXK13" s="46"/>
      <c r="UXL13" s="46"/>
      <c r="UXM13" s="46"/>
      <c r="UXN13" s="46"/>
      <c r="UXO13" s="46"/>
      <c r="UXP13" s="46"/>
      <c r="UXQ13" s="46"/>
      <c r="UXR13" s="46"/>
      <c r="UXS13" s="46"/>
      <c r="UXT13" s="46"/>
      <c r="UXU13" s="46"/>
      <c r="UXV13" s="46"/>
      <c r="UXW13" s="46"/>
      <c r="UXX13" s="46"/>
      <c r="UXY13" s="46"/>
      <c r="UXZ13" s="46"/>
      <c r="UYA13" s="46"/>
      <c r="UYB13" s="46"/>
      <c r="UYC13" s="46"/>
      <c r="UYD13" s="46"/>
      <c r="UYE13" s="46"/>
      <c r="UYF13" s="46"/>
      <c r="UYG13" s="46"/>
      <c r="UYH13" s="46"/>
      <c r="UYI13" s="46"/>
      <c r="UYJ13" s="46"/>
      <c r="UYK13" s="46"/>
      <c r="UYL13" s="46"/>
      <c r="UYM13" s="46"/>
      <c r="UYN13" s="46"/>
      <c r="UYO13" s="46"/>
      <c r="UYP13" s="46"/>
      <c r="UYQ13" s="46"/>
      <c r="UYR13" s="46"/>
      <c r="UYS13" s="46"/>
      <c r="UYT13" s="46"/>
      <c r="UYU13" s="46"/>
      <c r="UYV13" s="46"/>
      <c r="UYW13" s="46"/>
      <c r="UYX13" s="46"/>
      <c r="UYY13" s="46"/>
      <c r="UYZ13" s="46"/>
      <c r="UZA13" s="46"/>
      <c r="UZB13" s="46"/>
      <c r="UZC13" s="46"/>
      <c r="UZD13" s="46"/>
      <c r="UZE13" s="46"/>
      <c r="UZF13" s="46"/>
      <c r="UZG13" s="46"/>
      <c r="UZH13" s="46"/>
      <c r="UZI13" s="46"/>
      <c r="UZJ13" s="46"/>
      <c r="UZK13" s="46"/>
      <c r="UZL13" s="46"/>
      <c r="UZM13" s="46"/>
      <c r="UZN13" s="46"/>
      <c r="UZO13" s="46"/>
      <c r="UZP13" s="46"/>
      <c r="UZQ13" s="46"/>
      <c r="UZR13" s="46"/>
      <c r="UZS13" s="46"/>
      <c r="UZT13" s="46"/>
      <c r="UZU13" s="46"/>
      <c r="UZV13" s="46"/>
      <c r="UZW13" s="46"/>
      <c r="UZX13" s="46"/>
      <c r="UZY13" s="46"/>
      <c r="UZZ13" s="46"/>
      <c r="VAA13" s="46"/>
      <c r="VAB13" s="46"/>
      <c r="VAC13" s="46"/>
      <c r="VAD13" s="46"/>
      <c r="VAE13" s="46"/>
      <c r="VAF13" s="46"/>
      <c r="VAG13" s="46"/>
      <c r="VAH13" s="46"/>
      <c r="VAI13" s="46"/>
      <c r="VAJ13" s="46"/>
      <c r="VAK13" s="46"/>
      <c r="VAL13" s="46"/>
      <c r="VAM13" s="46"/>
      <c r="VAN13" s="46"/>
      <c r="VAO13" s="46"/>
      <c r="VAP13" s="46"/>
      <c r="VAQ13" s="46"/>
      <c r="VAR13" s="46"/>
      <c r="VAS13" s="46"/>
      <c r="VAT13" s="46"/>
      <c r="VAU13" s="46"/>
      <c r="VAV13" s="46"/>
      <c r="VAW13" s="46"/>
      <c r="VAX13" s="46"/>
      <c r="VAY13" s="46"/>
      <c r="VAZ13" s="46"/>
      <c r="VBA13" s="46"/>
      <c r="VBB13" s="46"/>
      <c r="VBC13" s="46"/>
      <c r="VBD13" s="46"/>
      <c r="VBE13" s="46"/>
      <c r="VBF13" s="46"/>
      <c r="VBG13" s="46"/>
      <c r="VBH13" s="46"/>
      <c r="VBI13" s="46"/>
      <c r="VBJ13" s="46"/>
      <c r="VBK13" s="46"/>
      <c r="VBL13" s="46"/>
      <c r="VBM13" s="46"/>
      <c r="VBN13" s="46"/>
      <c r="VBO13" s="46"/>
      <c r="VBP13" s="46"/>
      <c r="VBQ13" s="46"/>
      <c r="VBR13" s="46"/>
      <c r="VBS13" s="46"/>
      <c r="VBT13" s="46"/>
      <c r="VBU13" s="46"/>
      <c r="VBV13" s="46"/>
      <c r="VBW13" s="46"/>
      <c r="VBX13" s="46"/>
      <c r="VBY13" s="46"/>
      <c r="VBZ13" s="46"/>
      <c r="VCA13" s="46"/>
      <c r="VCB13" s="46"/>
      <c r="VCC13" s="46"/>
      <c r="VCD13" s="46"/>
      <c r="VCE13" s="46"/>
      <c r="VCF13" s="46"/>
      <c r="VCG13" s="46"/>
      <c r="VCH13" s="46"/>
      <c r="VCI13" s="46"/>
      <c r="VCJ13" s="46"/>
      <c r="VCK13" s="46"/>
      <c r="VCL13" s="46"/>
      <c r="VCM13" s="46"/>
      <c r="VCN13" s="46"/>
      <c r="VCO13" s="46"/>
      <c r="VCP13" s="46"/>
      <c r="VCQ13" s="46"/>
      <c r="VCR13" s="46"/>
      <c r="VCS13" s="46"/>
      <c r="VCT13" s="46"/>
      <c r="VCU13" s="46"/>
      <c r="VCV13" s="46"/>
      <c r="VCW13" s="46"/>
      <c r="VCX13" s="46"/>
      <c r="VCY13" s="46"/>
      <c r="VCZ13" s="46"/>
      <c r="VDA13" s="46"/>
      <c r="VDB13" s="46"/>
      <c r="VDC13" s="46"/>
      <c r="VDD13" s="46"/>
      <c r="VDE13" s="46"/>
      <c r="VDF13" s="46"/>
      <c r="VDG13" s="46"/>
      <c r="VDH13" s="46"/>
      <c r="VDI13" s="46"/>
      <c r="VDJ13" s="46"/>
      <c r="VDK13" s="46"/>
      <c r="VDL13" s="46"/>
      <c r="VDM13" s="46"/>
      <c r="VDN13" s="46"/>
      <c r="VDO13" s="46"/>
      <c r="VDP13" s="46"/>
      <c r="VDQ13" s="46"/>
      <c r="VDR13" s="46"/>
      <c r="VDS13" s="46"/>
      <c r="VDT13" s="46"/>
      <c r="VDU13" s="46"/>
      <c r="VDV13" s="46"/>
      <c r="VDW13" s="46"/>
      <c r="VDX13" s="46"/>
      <c r="VDY13" s="46"/>
      <c r="VDZ13" s="46"/>
      <c r="VEA13" s="46"/>
      <c r="VEB13" s="46"/>
      <c r="VEC13" s="46"/>
      <c r="VED13" s="46"/>
      <c r="VEE13" s="46"/>
      <c r="VEF13" s="46"/>
      <c r="VEG13" s="46"/>
      <c r="VEH13" s="46"/>
      <c r="VEI13" s="46"/>
      <c r="VEJ13" s="46"/>
      <c r="VEK13" s="46"/>
      <c r="VEL13" s="46"/>
      <c r="VEM13" s="46"/>
      <c r="VEN13" s="46"/>
      <c r="VEO13" s="46"/>
      <c r="VEP13" s="46"/>
      <c r="VEQ13" s="46"/>
      <c r="VER13" s="46"/>
      <c r="VES13" s="46"/>
      <c r="VET13" s="46"/>
      <c r="VEU13" s="46"/>
      <c r="VEV13" s="46"/>
      <c r="VEW13" s="46"/>
      <c r="VEX13" s="46"/>
      <c r="VEY13" s="46"/>
      <c r="VEZ13" s="46"/>
      <c r="VFA13" s="46"/>
      <c r="VFB13" s="46"/>
      <c r="VFC13" s="46"/>
      <c r="VFD13" s="46"/>
      <c r="VFE13" s="46"/>
      <c r="VFF13" s="46"/>
      <c r="VFG13" s="46"/>
      <c r="VFH13" s="46"/>
      <c r="VFI13" s="46"/>
      <c r="VFJ13" s="46"/>
      <c r="VFK13" s="46"/>
      <c r="VFL13" s="46"/>
      <c r="VFM13" s="46"/>
      <c r="VFN13" s="46"/>
      <c r="VFO13" s="46"/>
      <c r="VFP13" s="46"/>
      <c r="VFQ13" s="46"/>
      <c r="VFR13" s="46"/>
      <c r="VFS13" s="46"/>
      <c r="VFT13" s="46"/>
      <c r="VFU13" s="46"/>
      <c r="VFV13" s="46"/>
      <c r="VFW13" s="46"/>
      <c r="VFX13" s="46"/>
      <c r="VFY13" s="46"/>
      <c r="VFZ13" s="46"/>
      <c r="VGA13" s="46"/>
      <c r="VGB13" s="46"/>
      <c r="VGC13" s="46"/>
      <c r="VGD13" s="46"/>
      <c r="VGE13" s="46"/>
      <c r="VGF13" s="46"/>
      <c r="VGG13" s="46"/>
      <c r="VGH13" s="46"/>
      <c r="VGI13" s="46"/>
      <c r="VGJ13" s="46"/>
      <c r="VGK13" s="46"/>
      <c r="VGL13" s="46"/>
      <c r="VGM13" s="46"/>
      <c r="VGN13" s="46"/>
      <c r="VGO13" s="46"/>
      <c r="VGP13" s="46"/>
      <c r="VGQ13" s="46"/>
      <c r="VGR13" s="46"/>
      <c r="VGS13" s="46"/>
      <c r="VGT13" s="46"/>
      <c r="VGU13" s="46"/>
      <c r="VGV13" s="46"/>
      <c r="VGW13" s="46"/>
      <c r="VGX13" s="46"/>
      <c r="VGY13" s="46"/>
      <c r="VGZ13" s="46"/>
      <c r="VHA13" s="46"/>
      <c r="VHB13" s="46"/>
      <c r="VHC13" s="46"/>
      <c r="VHD13" s="46"/>
      <c r="VHE13" s="46"/>
      <c r="VHF13" s="46"/>
      <c r="VHG13" s="46"/>
      <c r="VHH13" s="46"/>
      <c r="VHI13" s="46"/>
      <c r="VHJ13" s="46"/>
      <c r="VHK13" s="46"/>
      <c r="VHL13" s="46"/>
      <c r="VHM13" s="46"/>
      <c r="VHN13" s="46"/>
      <c r="VHO13" s="46"/>
      <c r="VHP13" s="46"/>
      <c r="VHQ13" s="46"/>
      <c r="VHR13" s="46"/>
      <c r="VHS13" s="46"/>
      <c r="VHT13" s="46"/>
      <c r="VHU13" s="46"/>
      <c r="VHV13" s="46"/>
      <c r="VHW13" s="46"/>
      <c r="VHX13" s="46"/>
      <c r="VHY13" s="46"/>
      <c r="VHZ13" s="46"/>
      <c r="VIA13" s="46"/>
      <c r="VIB13" s="46"/>
      <c r="VIC13" s="46"/>
      <c r="VID13" s="46"/>
      <c r="VIE13" s="46"/>
      <c r="VIF13" s="46"/>
      <c r="VIG13" s="46"/>
      <c r="VIH13" s="46"/>
      <c r="VII13" s="46"/>
      <c r="VIJ13" s="46"/>
      <c r="VIK13" s="46"/>
      <c r="VIL13" s="46"/>
      <c r="VIM13" s="46"/>
      <c r="VIN13" s="46"/>
      <c r="VIO13" s="46"/>
      <c r="VIP13" s="46"/>
      <c r="VIQ13" s="46"/>
      <c r="VIR13" s="46"/>
      <c r="VIS13" s="46"/>
      <c r="VIT13" s="46"/>
      <c r="VIU13" s="46"/>
      <c r="VIV13" s="46"/>
      <c r="VIW13" s="46"/>
      <c r="VIX13" s="46"/>
      <c r="VIY13" s="46"/>
      <c r="VIZ13" s="46"/>
      <c r="VJA13" s="46"/>
      <c r="VJB13" s="46"/>
      <c r="VJC13" s="46"/>
      <c r="VJD13" s="46"/>
      <c r="VJE13" s="46"/>
      <c r="VJF13" s="46"/>
      <c r="VJG13" s="46"/>
      <c r="VJH13" s="46"/>
      <c r="VJI13" s="46"/>
      <c r="VJJ13" s="46"/>
      <c r="VJK13" s="46"/>
      <c r="VJL13" s="46"/>
      <c r="VJM13" s="46"/>
      <c r="VJN13" s="46"/>
      <c r="VJO13" s="46"/>
      <c r="VJP13" s="46"/>
      <c r="VJQ13" s="46"/>
      <c r="VJR13" s="46"/>
      <c r="VJS13" s="46"/>
      <c r="VJT13" s="46"/>
      <c r="VJU13" s="46"/>
      <c r="VJV13" s="46"/>
      <c r="VJW13" s="46"/>
      <c r="VJX13" s="46"/>
      <c r="VJY13" s="46"/>
      <c r="VJZ13" s="46"/>
      <c r="VKA13" s="46"/>
      <c r="VKB13" s="46"/>
      <c r="VKC13" s="46"/>
      <c r="VKD13" s="46"/>
      <c r="VKE13" s="46"/>
      <c r="VKF13" s="46"/>
      <c r="VKG13" s="46"/>
      <c r="VKH13" s="46"/>
      <c r="VKI13" s="46"/>
      <c r="VKJ13" s="46"/>
      <c r="VKK13" s="46"/>
      <c r="VKL13" s="46"/>
      <c r="VKM13" s="46"/>
      <c r="VKN13" s="46"/>
      <c r="VKO13" s="46"/>
      <c r="VKP13" s="46"/>
      <c r="VKQ13" s="46"/>
      <c r="VKR13" s="46"/>
      <c r="VKS13" s="46"/>
      <c r="VKT13" s="46"/>
      <c r="VKU13" s="46"/>
      <c r="VKV13" s="46"/>
      <c r="VKW13" s="46"/>
      <c r="VKX13" s="46"/>
      <c r="VKY13" s="46"/>
      <c r="VKZ13" s="46"/>
      <c r="VLA13" s="46"/>
      <c r="VLB13" s="46"/>
      <c r="VLC13" s="46"/>
      <c r="VLD13" s="46"/>
      <c r="VLE13" s="46"/>
      <c r="VLF13" s="46"/>
      <c r="VLG13" s="46"/>
      <c r="VLH13" s="46"/>
      <c r="VLI13" s="46"/>
      <c r="VLJ13" s="46"/>
      <c r="VLK13" s="46"/>
      <c r="VLL13" s="46"/>
      <c r="VLM13" s="46"/>
      <c r="VLN13" s="46"/>
      <c r="VLO13" s="46"/>
      <c r="VLP13" s="46"/>
      <c r="VLQ13" s="46"/>
      <c r="VLR13" s="46"/>
      <c r="VLS13" s="46"/>
      <c r="VLT13" s="46"/>
      <c r="VLU13" s="46"/>
      <c r="VLV13" s="46"/>
      <c r="VLW13" s="46"/>
      <c r="VLX13" s="46"/>
      <c r="VLY13" s="46"/>
      <c r="VLZ13" s="46"/>
      <c r="VMA13" s="46"/>
      <c r="VMB13" s="46"/>
      <c r="VMC13" s="46"/>
      <c r="VMD13" s="46"/>
      <c r="VME13" s="46"/>
      <c r="VMF13" s="46"/>
      <c r="VMG13" s="46"/>
      <c r="VMH13" s="46"/>
      <c r="VMI13" s="46"/>
      <c r="VMJ13" s="46"/>
      <c r="VMK13" s="46"/>
      <c r="VML13" s="46"/>
      <c r="VMM13" s="46"/>
      <c r="VMN13" s="46"/>
      <c r="VMO13" s="46"/>
      <c r="VMP13" s="46"/>
      <c r="VMQ13" s="46"/>
      <c r="VMR13" s="46"/>
      <c r="VMS13" s="46"/>
      <c r="VMT13" s="46"/>
      <c r="VMU13" s="46"/>
      <c r="VMV13" s="46"/>
      <c r="VMW13" s="46"/>
      <c r="VMX13" s="46"/>
      <c r="VMY13" s="46"/>
      <c r="VMZ13" s="46"/>
      <c r="VNA13" s="46"/>
      <c r="VNB13" s="46"/>
      <c r="VNC13" s="46"/>
      <c r="VND13" s="46"/>
      <c r="VNE13" s="46"/>
      <c r="VNF13" s="46"/>
      <c r="VNG13" s="46"/>
      <c r="VNH13" s="46"/>
      <c r="VNI13" s="46"/>
      <c r="VNJ13" s="46"/>
      <c r="VNK13" s="46"/>
      <c r="VNL13" s="46"/>
      <c r="VNM13" s="46"/>
      <c r="VNN13" s="46"/>
      <c r="VNO13" s="46"/>
      <c r="VNP13" s="46"/>
      <c r="VNQ13" s="46"/>
      <c r="VNR13" s="46"/>
      <c r="VNS13" s="46"/>
      <c r="VNT13" s="46"/>
      <c r="VNU13" s="46"/>
      <c r="VNV13" s="46"/>
      <c r="VNW13" s="46"/>
      <c r="VNX13" s="46"/>
      <c r="VNY13" s="46"/>
      <c r="VNZ13" s="46"/>
      <c r="VOA13" s="46"/>
      <c r="VOB13" s="46"/>
      <c r="VOC13" s="46"/>
      <c r="VOD13" s="46"/>
      <c r="VOE13" s="46"/>
      <c r="VOF13" s="46"/>
      <c r="VOG13" s="46"/>
      <c r="VOH13" s="46"/>
      <c r="VOI13" s="46"/>
      <c r="VOJ13" s="46"/>
      <c r="VOK13" s="46"/>
      <c r="VOL13" s="46"/>
      <c r="VOM13" s="46"/>
      <c r="VON13" s="46"/>
      <c r="VOO13" s="46"/>
      <c r="VOP13" s="46"/>
      <c r="VOQ13" s="46"/>
      <c r="VOR13" s="46"/>
      <c r="VOS13" s="46"/>
      <c r="VOT13" s="46"/>
      <c r="VOU13" s="46"/>
      <c r="VOV13" s="46"/>
      <c r="VOW13" s="46"/>
      <c r="VOX13" s="46"/>
      <c r="VOY13" s="46"/>
      <c r="VOZ13" s="46"/>
      <c r="VPA13" s="46"/>
      <c r="VPB13" s="46"/>
      <c r="VPC13" s="46"/>
      <c r="VPD13" s="46"/>
      <c r="VPE13" s="46"/>
      <c r="VPF13" s="46"/>
      <c r="VPG13" s="46"/>
      <c r="VPH13" s="46"/>
      <c r="VPI13" s="46"/>
      <c r="VPJ13" s="46"/>
      <c r="VPK13" s="46"/>
      <c r="VPL13" s="46"/>
      <c r="VPM13" s="46"/>
      <c r="VPN13" s="46"/>
      <c r="VPO13" s="46"/>
      <c r="VPP13" s="46"/>
      <c r="VPQ13" s="46"/>
      <c r="VPR13" s="46"/>
      <c r="VPS13" s="46"/>
      <c r="VPT13" s="46"/>
      <c r="VPU13" s="46"/>
      <c r="VPV13" s="46"/>
      <c r="VPW13" s="46"/>
      <c r="VPX13" s="46"/>
      <c r="VPY13" s="46"/>
      <c r="VPZ13" s="46"/>
      <c r="VQA13" s="46"/>
      <c r="VQB13" s="46"/>
      <c r="VQC13" s="46"/>
      <c r="VQD13" s="46"/>
      <c r="VQE13" s="46"/>
      <c r="VQF13" s="46"/>
      <c r="VQG13" s="46"/>
      <c r="VQH13" s="46"/>
      <c r="VQI13" s="46"/>
      <c r="VQJ13" s="46"/>
      <c r="VQK13" s="46"/>
      <c r="VQL13" s="46"/>
      <c r="VQM13" s="46"/>
      <c r="VQN13" s="46"/>
      <c r="VQO13" s="46"/>
      <c r="VQP13" s="46"/>
      <c r="VQQ13" s="46"/>
      <c r="VQR13" s="46"/>
      <c r="VQS13" s="46"/>
      <c r="VQT13" s="46"/>
      <c r="VQU13" s="46"/>
      <c r="VQV13" s="46"/>
      <c r="VQW13" s="46"/>
      <c r="VQX13" s="46"/>
      <c r="VQY13" s="46"/>
      <c r="VQZ13" s="46"/>
      <c r="VRA13" s="46"/>
      <c r="VRB13" s="46"/>
      <c r="VRC13" s="46"/>
      <c r="VRD13" s="46"/>
      <c r="VRE13" s="46"/>
      <c r="VRF13" s="46"/>
      <c r="VRG13" s="46"/>
      <c r="VRH13" s="46"/>
      <c r="VRI13" s="46"/>
      <c r="VRJ13" s="46"/>
      <c r="VRK13" s="46"/>
      <c r="VRL13" s="46"/>
      <c r="VRM13" s="46"/>
      <c r="VRN13" s="46"/>
      <c r="VRO13" s="46"/>
      <c r="VRP13" s="46"/>
      <c r="VRQ13" s="46"/>
      <c r="VRR13" s="46"/>
      <c r="VRS13" s="46"/>
      <c r="VRT13" s="46"/>
      <c r="VRU13" s="46"/>
      <c r="VRV13" s="46"/>
      <c r="VRW13" s="46"/>
      <c r="VRX13" s="46"/>
      <c r="VRY13" s="46"/>
      <c r="VRZ13" s="46"/>
      <c r="VSA13" s="46"/>
      <c r="VSB13" s="46"/>
      <c r="VSC13" s="46"/>
      <c r="VSD13" s="46"/>
      <c r="VSE13" s="46"/>
      <c r="VSF13" s="46"/>
      <c r="VSG13" s="46"/>
      <c r="VSH13" s="46"/>
      <c r="VSI13" s="46"/>
      <c r="VSJ13" s="46"/>
      <c r="VSK13" s="46"/>
      <c r="VSL13" s="46"/>
      <c r="VSM13" s="46"/>
      <c r="VSN13" s="46"/>
      <c r="VSO13" s="46"/>
      <c r="VSP13" s="46"/>
      <c r="VSQ13" s="46"/>
      <c r="VSR13" s="46"/>
      <c r="VSS13" s="46"/>
      <c r="VST13" s="46"/>
      <c r="VSU13" s="46"/>
      <c r="VSV13" s="46"/>
      <c r="VSW13" s="46"/>
      <c r="VSX13" s="46"/>
      <c r="VSY13" s="46"/>
      <c r="VSZ13" s="46"/>
      <c r="VTA13" s="46"/>
      <c r="VTB13" s="46"/>
      <c r="VTC13" s="46"/>
      <c r="VTD13" s="46"/>
      <c r="VTE13" s="46"/>
      <c r="VTF13" s="46"/>
      <c r="VTG13" s="46"/>
      <c r="VTH13" s="46"/>
      <c r="VTI13" s="46"/>
      <c r="VTJ13" s="46"/>
      <c r="VTK13" s="46"/>
      <c r="VTL13" s="46"/>
      <c r="VTM13" s="46"/>
      <c r="VTN13" s="46"/>
      <c r="VTO13" s="46"/>
      <c r="VTP13" s="46"/>
      <c r="VTQ13" s="46"/>
      <c r="VTR13" s="46"/>
      <c r="VTS13" s="46"/>
      <c r="VTT13" s="46"/>
      <c r="VTU13" s="46"/>
      <c r="VTV13" s="46"/>
      <c r="VTW13" s="46"/>
      <c r="VTX13" s="46"/>
      <c r="VTY13" s="46"/>
      <c r="VTZ13" s="46"/>
      <c r="VUA13" s="46"/>
      <c r="VUB13" s="46"/>
      <c r="VUC13" s="46"/>
      <c r="VUD13" s="46"/>
      <c r="VUE13" s="46"/>
      <c r="VUF13" s="46"/>
      <c r="VUG13" s="46"/>
      <c r="VUH13" s="46"/>
      <c r="VUI13" s="46"/>
      <c r="VUJ13" s="46"/>
      <c r="VUK13" s="46"/>
      <c r="VUL13" s="46"/>
      <c r="VUM13" s="46"/>
      <c r="VUN13" s="46"/>
      <c r="VUO13" s="46"/>
      <c r="VUP13" s="46"/>
      <c r="VUQ13" s="46"/>
      <c r="VUR13" s="46"/>
      <c r="VUS13" s="46"/>
      <c r="VUT13" s="46"/>
      <c r="VUU13" s="46"/>
      <c r="VUV13" s="46"/>
      <c r="VUW13" s="46"/>
      <c r="VUX13" s="46"/>
      <c r="VUY13" s="46"/>
      <c r="VUZ13" s="46"/>
      <c r="VVA13" s="46"/>
      <c r="VVB13" s="46"/>
      <c r="VVC13" s="46"/>
      <c r="VVD13" s="46"/>
      <c r="VVE13" s="46"/>
      <c r="VVF13" s="46"/>
      <c r="VVG13" s="46"/>
      <c r="VVH13" s="46"/>
      <c r="VVI13" s="46"/>
      <c r="VVJ13" s="46"/>
      <c r="VVK13" s="46"/>
      <c r="VVL13" s="46"/>
      <c r="VVM13" s="46"/>
      <c r="VVN13" s="46"/>
      <c r="VVO13" s="46"/>
      <c r="VVP13" s="46"/>
      <c r="VVQ13" s="46"/>
      <c r="VVR13" s="46"/>
      <c r="VVS13" s="46"/>
      <c r="VVT13" s="46"/>
      <c r="VVU13" s="46"/>
      <c r="VVV13" s="46"/>
      <c r="VVW13" s="46"/>
      <c r="VVX13" s="46"/>
      <c r="VVY13" s="46"/>
      <c r="VVZ13" s="46"/>
      <c r="VWA13" s="46"/>
      <c r="VWB13" s="46"/>
      <c r="VWC13" s="46"/>
      <c r="VWD13" s="46"/>
      <c r="VWE13" s="46"/>
      <c r="VWF13" s="46"/>
      <c r="VWG13" s="46"/>
      <c r="VWH13" s="46"/>
      <c r="VWI13" s="46"/>
      <c r="VWJ13" s="46"/>
      <c r="VWK13" s="46"/>
      <c r="VWL13" s="46"/>
      <c r="VWM13" s="46"/>
      <c r="VWN13" s="46"/>
      <c r="VWO13" s="46"/>
      <c r="VWP13" s="46"/>
      <c r="VWQ13" s="46"/>
      <c r="VWR13" s="46"/>
      <c r="VWS13" s="46"/>
      <c r="VWT13" s="46"/>
      <c r="VWU13" s="46"/>
      <c r="VWV13" s="46"/>
      <c r="VWW13" s="46"/>
      <c r="VWX13" s="46"/>
      <c r="VWY13" s="46"/>
      <c r="VWZ13" s="46"/>
      <c r="VXA13" s="46"/>
      <c r="VXB13" s="46"/>
      <c r="VXC13" s="46"/>
      <c r="VXD13" s="46"/>
      <c r="VXE13" s="46"/>
      <c r="VXF13" s="46"/>
      <c r="VXG13" s="46"/>
      <c r="VXH13" s="46"/>
      <c r="VXI13" s="46"/>
      <c r="VXJ13" s="46"/>
      <c r="VXK13" s="46"/>
      <c r="VXL13" s="46"/>
      <c r="VXM13" s="46"/>
      <c r="VXN13" s="46"/>
      <c r="VXO13" s="46"/>
      <c r="VXP13" s="46"/>
      <c r="VXQ13" s="46"/>
      <c r="VXR13" s="46"/>
      <c r="VXS13" s="46"/>
      <c r="VXT13" s="46"/>
      <c r="VXU13" s="46"/>
      <c r="VXV13" s="46"/>
      <c r="VXW13" s="46"/>
      <c r="VXX13" s="46"/>
      <c r="VXY13" s="46"/>
      <c r="VXZ13" s="46"/>
      <c r="VYA13" s="46"/>
      <c r="VYB13" s="46"/>
      <c r="VYC13" s="46"/>
      <c r="VYD13" s="46"/>
      <c r="VYE13" s="46"/>
      <c r="VYF13" s="46"/>
      <c r="VYG13" s="46"/>
      <c r="VYH13" s="46"/>
      <c r="VYI13" s="46"/>
      <c r="VYJ13" s="46"/>
      <c r="VYK13" s="46"/>
      <c r="VYL13" s="46"/>
      <c r="VYM13" s="46"/>
      <c r="VYN13" s="46"/>
      <c r="VYO13" s="46"/>
      <c r="VYP13" s="46"/>
      <c r="VYQ13" s="46"/>
      <c r="VYR13" s="46"/>
      <c r="VYS13" s="46"/>
      <c r="VYT13" s="46"/>
      <c r="VYU13" s="46"/>
      <c r="VYV13" s="46"/>
      <c r="VYW13" s="46"/>
      <c r="VYX13" s="46"/>
      <c r="VYY13" s="46"/>
      <c r="VYZ13" s="46"/>
      <c r="VZA13" s="46"/>
      <c r="VZB13" s="46"/>
      <c r="VZC13" s="46"/>
      <c r="VZD13" s="46"/>
      <c r="VZE13" s="46"/>
      <c r="VZF13" s="46"/>
      <c r="VZG13" s="46"/>
      <c r="VZH13" s="46"/>
      <c r="VZI13" s="46"/>
      <c r="VZJ13" s="46"/>
      <c r="VZK13" s="46"/>
      <c r="VZL13" s="46"/>
      <c r="VZM13" s="46"/>
      <c r="VZN13" s="46"/>
      <c r="VZO13" s="46"/>
      <c r="VZP13" s="46"/>
      <c r="VZQ13" s="46"/>
      <c r="VZR13" s="46"/>
      <c r="VZS13" s="46"/>
      <c r="VZT13" s="46"/>
      <c r="VZU13" s="46"/>
      <c r="VZV13" s="46"/>
      <c r="VZW13" s="46"/>
      <c r="VZX13" s="46"/>
      <c r="VZY13" s="46"/>
      <c r="VZZ13" s="46"/>
      <c r="WAA13" s="46"/>
      <c r="WAB13" s="46"/>
      <c r="WAC13" s="46"/>
      <c r="WAD13" s="46"/>
      <c r="WAE13" s="46"/>
      <c r="WAF13" s="46"/>
      <c r="WAG13" s="46"/>
      <c r="WAH13" s="46"/>
      <c r="WAI13" s="46"/>
      <c r="WAJ13" s="46"/>
      <c r="WAK13" s="46"/>
      <c r="WAL13" s="46"/>
      <c r="WAM13" s="46"/>
      <c r="WAN13" s="46"/>
      <c r="WAO13" s="46"/>
      <c r="WAP13" s="46"/>
      <c r="WAQ13" s="46"/>
      <c r="WAR13" s="46"/>
      <c r="WAS13" s="46"/>
      <c r="WAT13" s="46"/>
      <c r="WAU13" s="46"/>
      <c r="WAV13" s="46"/>
      <c r="WAW13" s="46"/>
      <c r="WAX13" s="46"/>
      <c r="WAY13" s="46"/>
      <c r="WAZ13" s="46"/>
      <c r="WBA13" s="46"/>
      <c r="WBB13" s="46"/>
      <c r="WBC13" s="46"/>
      <c r="WBD13" s="46"/>
      <c r="WBE13" s="46"/>
      <c r="WBF13" s="46"/>
      <c r="WBG13" s="46"/>
      <c r="WBH13" s="46"/>
      <c r="WBI13" s="46"/>
      <c r="WBJ13" s="46"/>
      <c r="WBK13" s="46"/>
      <c r="WBL13" s="46"/>
      <c r="WBM13" s="46"/>
      <c r="WBN13" s="46"/>
      <c r="WBO13" s="46"/>
      <c r="WBP13" s="46"/>
      <c r="WBQ13" s="46"/>
      <c r="WBR13" s="46"/>
      <c r="WBS13" s="46"/>
      <c r="WBT13" s="46"/>
      <c r="WBU13" s="46"/>
      <c r="WBV13" s="46"/>
      <c r="WBW13" s="46"/>
      <c r="WBX13" s="46"/>
      <c r="WBY13" s="46"/>
      <c r="WBZ13" s="46"/>
      <c r="WCA13" s="46"/>
      <c r="WCB13" s="46"/>
      <c r="WCC13" s="46"/>
      <c r="WCD13" s="46"/>
      <c r="WCE13" s="46"/>
      <c r="WCF13" s="46"/>
      <c r="WCG13" s="46"/>
      <c r="WCH13" s="46"/>
      <c r="WCI13" s="46"/>
      <c r="WCJ13" s="46"/>
      <c r="WCK13" s="46"/>
      <c r="WCL13" s="46"/>
      <c r="WCM13" s="46"/>
      <c r="WCN13" s="46"/>
      <c r="WCO13" s="46"/>
      <c r="WCP13" s="46"/>
      <c r="WCQ13" s="46"/>
      <c r="WCR13" s="46"/>
      <c r="WCS13" s="46"/>
      <c r="WCT13" s="46"/>
      <c r="WCU13" s="46"/>
      <c r="WCV13" s="46"/>
      <c r="WCW13" s="46"/>
      <c r="WCX13" s="46"/>
      <c r="WCY13" s="46"/>
      <c r="WCZ13" s="46"/>
      <c r="WDA13" s="46"/>
      <c r="WDB13" s="46"/>
      <c r="WDC13" s="46"/>
      <c r="WDD13" s="46"/>
      <c r="WDE13" s="46"/>
      <c r="WDF13" s="46"/>
      <c r="WDG13" s="46"/>
      <c r="WDH13" s="46"/>
      <c r="WDI13" s="46"/>
      <c r="WDJ13" s="46"/>
      <c r="WDK13" s="46"/>
      <c r="WDL13" s="46"/>
      <c r="WDM13" s="46"/>
      <c r="WDN13" s="46"/>
      <c r="WDO13" s="46"/>
      <c r="WDP13" s="46"/>
      <c r="WDQ13" s="46"/>
      <c r="WDR13" s="46"/>
      <c r="WDS13" s="46"/>
      <c r="WDT13" s="46"/>
      <c r="WDU13" s="46"/>
      <c r="WDV13" s="46"/>
      <c r="WDW13" s="46"/>
      <c r="WDX13" s="46"/>
      <c r="WDY13" s="46"/>
      <c r="WDZ13" s="46"/>
      <c r="WEA13" s="46"/>
      <c r="WEB13" s="46"/>
      <c r="WEC13" s="46"/>
      <c r="WED13" s="46"/>
      <c r="WEE13" s="46"/>
      <c r="WEF13" s="46"/>
      <c r="WEG13" s="46"/>
      <c r="WEH13" s="46"/>
      <c r="WEI13" s="46"/>
      <c r="WEJ13" s="46"/>
      <c r="WEK13" s="46"/>
      <c r="WEL13" s="46"/>
      <c r="WEM13" s="46"/>
      <c r="WEN13" s="46"/>
      <c r="WEO13" s="46"/>
      <c r="WEP13" s="46"/>
      <c r="WEQ13" s="46"/>
      <c r="WER13" s="46"/>
      <c r="WES13" s="46"/>
      <c r="WET13" s="46"/>
      <c r="WEU13" s="46"/>
      <c r="WEV13" s="46"/>
      <c r="WEW13" s="46"/>
      <c r="WEX13" s="46"/>
      <c r="WEY13" s="46"/>
      <c r="WEZ13" s="46"/>
      <c r="WFA13" s="46"/>
      <c r="WFB13" s="46"/>
      <c r="WFC13" s="46"/>
      <c r="WFD13" s="46"/>
      <c r="WFE13" s="46"/>
      <c r="WFF13" s="46"/>
      <c r="WFG13" s="46"/>
      <c r="WFH13" s="46"/>
      <c r="WFI13" s="46"/>
      <c r="WFJ13" s="46"/>
      <c r="WFK13" s="46"/>
      <c r="WFL13" s="46"/>
      <c r="WFM13" s="46"/>
      <c r="WFN13" s="46"/>
      <c r="WFO13" s="46"/>
      <c r="WFP13" s="46"/>
      <c r="WFQ13" s="46"/>
      <c r="WFR13" s="46"/>
      <c r="WFS13" s="46"/>
      <c r="WFT13" s="46"/>
      <c r="WFU13" s="46"/>
      <c r="WFV13" s="46"/>
      <c r="WFW13" s="46"/>
      <c r="WFX13" s="46"/>
      <c r="WFY13" s="46"/>
      <c r="WFZ13" s="46"/>
      <c r="WGA13" s="46"/>
      <c r="WGB13" s="46"/>
      <c r="WGC13" s="46"/>
      <c r="WGD13" s="46"/>
      <c r="WGE13" s="46"/>
      <c r="WGF13" s="46"/>
      <c r="WGG13" s="46"/>
      <c r="WGH13" s="46"/>
      <c r="WGI13" s="46"/>
      <c r="WGJ13" s="46"/>
      <c r="WGK13" s="46"/>
      <c r="WGL13" s="46"/>
      <c r="WGM13" s="46"/>
      <c r="WGN13" s="46"/>
      <c r="WGO13" s="46"/>
      <c r="WGP13" s="46"/>
      <c r="WGQ13" s="46"/>
      <c r="WGR13" s="46"/>
      <c r="WGS13" s="46"/>
      <c r="WGT13" s="46"/>
      <c r="WGU13" s="46"/>
      <c r="WGV13" s="46"/>
      <c r="WGW13" s="46"/>
      <c r="WGX13" s="46"/>
      <c r="WGY13" s="46"/>
      <c r="WGZ13" s="46"/>
      <c r="WHA13" s="46"/>
      <c r="WHB13" s="46"/>
      <c r="WHC13" s="46"/>
      <c r="WHD13" s="46"/>
      <c r="WHE13" s="46"/>
      <c r="WHF13" s="46"/>
      <c r="WHG13" s="46"/>
      <c r="WHH13" s="46"/>
      <c r="WHI13" s="46"/>
      <c r="WHJ13" s="46"/>
      <c r="WHK13" s="46"/>
      <c r="WHL13" s="46"/>
      <c r="WHM13" s="46"/>
      <c r="WHN13" s="46"/>
      <c r="WHO13" s="46"/>
      <c r="WHP13" s="46"/>
      <c r="WHQ13" s="46"/>
      <c r="WHR13" s="46"/>
      <c r="WHS13" s="46"/>
      <c r="WHT13" s="46"/>
      <c r="WHU13" s="46"/>
      <c r="WHV13" s="46"/>
      <c r="WHW13" s="46"/>
      <c r="WHX13" s="46"/>
      <c r="WHY13" s="46"/>
      <c r="WHZ13" s="46"/>
      <c r="WIA13" s="46"/>
      <c r="WIB13" s="46"/>
      <c r="WIC13" s="46"/>
      <c r="WID13" s="46"/>
      <c r="WIE13" s="46"/>
      <c r="WIF13" s="46"/>
      <c r="WIG13" s="46"/>
      <c r="WIH13" s="46"/>
      <c r="WII13" s="46"/>
      <c r="WIJ13" s="46"/>
      <c r="WIK13" s="46"/>
      <c r="WIL13" s="46"/>
      <c r="WIM13" s="46"/>
      <c r="WIN13" s="46"/>
      <c r="WIO13" s="46"/>
      <c r="WIP13" s="46"/>
      <c r="WIQ13" s="46"/>
      <c r="WIR13" s="46"/>
      <c r="WIS13" s="46"/>
      <c r="WIT13" s="46"/>
      <c r="WIU13" s="46"/>
      <c r="WIV13" s="46"/>
      <c r="WIW13" s="46"/>
      <c r="WIX13" s="46"/>
      <c r="WIY13" s="46"/>
      <c r="WIZ13" s="46"/>
      <c r="WJA13" s="46"/>
      <c r="WJB13" s="46"/>
      <c r="WJC13" s="46"/>
      <c r="WJD13" s="46"/>
      <c r="WJE13" s="46"/>
      <c r="WJF13" s="46"/>
      <c r="WJG13" s="46"/>
      <c r="WJH13" s="46"/>
      <c r="WJI13" s="46"/>
      <c r="WJJ13" s="46"/>
      <c r="WJK13" s="46"/>
      <c r="WJL13" s="46"/>
      <c r="WJM13" s="46"/>
      <c r="WJN13" s="46"/>
      <c r="WJO13" s="46"/>
      <c r="WJP13" s="46"/>
      <c r="WJQ13" s="46"/>
      <c r="WJR13" s="46"/>
      <c r="WJS13" s="46"/>
      <c r="WJT13" s="46"/>
      <c r="WJU13" s="46"/>
      <c r="WJV13" s="46"/>
      <c r="WJW13" s="46"/>
      <c r="WJX13" s="46"/>
      <c r="WJY13" s="46"/>
      <c r="WJZ13" s="46"/>
      <c r="WKA13" s="46"/>
      <c r="WKB13" s="46"/>
      <c r="WKC13" s="46"/>
      <c r="WKD13" s="46"/>
      <c r="WKE13" s="46"/>
      <c r="WKF13" s="46"/>
      <c r="WKG13" s="46"/>
      <c r="WKH13" s="46"/>
      <c r="WKI13" s="46"/>
      <c r="WKJ13" s="46"/>
      <c r="WKK13" s="46"/>
      <c r="WKL13" s="46"/>
      <c r="WKM13" s="46"/>
      <c r="WKN13" s="46"/>
      <c r="WKO13" s="46"/>
      <c r="WKP13" s="46"/>
      <c r="WKQ13" s="46"/>
      <c r="WKR13" s="46"/>
      <c r="WKS13" s="46"/>
      <c r="WKT13" s="46"/>
      <c r="WKU13" s="46"/>
      <c r="WKV13" s="46"/>
      <c r="WKW13" s="46"/>
      <c r="WKX13" s="46"/>
      <c r="WKY13" s="46"/>
      <c r="WKZ13" s="46"/>
      <c r="WLA13" s="46"/>
      <c r="WLB13" s="46"/>
      <c r="WLC13" s="46"/>
      <c r="WLD13" s="46"/>
      <c r="WLE13" s="46"/>
      <c r="WLF13" s="46"/>
      <c r="WLG13" s="46"/>
      <c r="WLH13" s="46"/>
      <c r="WLI13" s="46"/>
      <c r="WLJ13" s="46"/>
      <c r="WLK13" s="46"/>
      <c r="WLL13" s="46"/>
      <c r="WLM13" s="46"/>
      <c r="WLN13" s="46"/>
      <c r="WLO13" s="46"/>
      <c r="WLP13" s="46"/>
      <c r="WLQ13" s="46"/>
      <c r="WLR13" s="46"/>
      <c r="WLS13" s="46"/>
      <c r="WLT13" s="46"/>
      <c r="WLU13" s="46"/>
      <c r="WLV13" s="46"/>
      <c r="WLW13" s="46"/>
      <c r="WLX13" s="46"/>
      <c r="WLY13" s="46"/>
      <c r="WLZ13" s="46"/>
      <c r="WMA13" s="46"/>
      <c r="WMB13" s="46"/>
      <c r="WMC13" s="46"/>
      <c r="WMD13" s="46"/>
      <c r="WME13" s="46"/>
      <c r="WMF13" s="46"/>
      <c r="WMG13" s="46"/>
      <c r="WMH13" s="46"/>
      <c r="WMI13" s="46"/>
      <c r="WMJ13" s="46"/>
      <c r="WMK13" s="46"/>
      <c r="WML13" s="46"/>
      <c r="WMM13" s="46"/>
      <c r="WMN13" s="46"/>
      <c r="WMO13" s="46"/>
      <c r="WMP13" s="46"/>
      <c r="WMQ13" s="46"/>
      <c r="WMR13" s="46"/>
      <c r="WMS13" s="46"/>
      <c r="WMT13" s="46"/>
      <c r="WMU13" s="46"/>
      <c r="WMV13" s="46"/>
      <c r="WMW13" s="46"/>
      <c r="WMX13" s="46"/>
      <c r="WMY13" s="46"/>
      <c r="WMZ13" s="46"/>
      <c r="WNA13" s="46"/>
      <c r="WNB13" s="46"/>
      <c r="WNC13" s="46"/>
      <c r="WND13" s="46"/>
      <c r="WNE13" s="46"/>
      <c r="WNF13" s="46"/>
      <c r="WNG13" s="46"/>
      <c r="WNH13" s="46"/>
      <c r="WNI13" s="46"/>
      <c r="WNJ13" s="46"/>
      <c r="WNK13" s="46"/>
      <c r="WNL13" s="46"/>
      <c r="WNM13" s="46"/>
      <c r="WNN13" s="46"/>
      <c r="WNO13" s="46"/>
      <c r="WNP13" s="46"/>
      <c r="WNQ13" s="46"/>
      <c r="WNR13" s="46"/>
      <c r="WNS13" s="46"/>
      <c r="WNT13" s="46"/>
      <c r="WNU13" s="46"/>
      <c r="WNV13" s="46"/>
      <c r="WNW13" s="46"/>
      <c r="WNX13" s="46"/>
      <c r="WNY13" s="46"/>
      <c r="WNZ13" s="46"/>
      <c r="WOA13" s="46"/>
      <c r="WOB13" s="46"/>
      <c r="WOC13" s="46"/>
      <c r="WOD13" s="46"/>
      <c r="WOE13" s="46"/>
      <c r="WOF13" s="46"/>
      <c r="WOG13" s="46"/>
      <c r="WOH13" s="46"/>
      <c r="WOI13" s="46"/>
      <c r="WOJ13" s="46"/>
      <c r="WOK13" s="46"/>
      <c r="WOL13" s="46"/>
      <c r="WOM13" s="46"/>
      <c r="WON13" s="46"/>
      <c r="WOO13" s="46"/>
      <c r="WOP13" s="46"/>
      <c r="WOQ13" s="46"/>
      <c r="WOR13" s="46"/>
      <c r="WOS13" s="46"/>
      <c r="WOT13" s="46"/>
      <c r="WOU13" s="46"/>
      <c r="WOV13" s="46"/>
      <c r="WOW13" s="46"/>
      <c r="WOX13" s="46"/>
      <c r="WOY13" s="46"/>
      <c r="WOZ13" s="46"/>
      <c r="WPA13" s="46"/>
      <c r="WPB13" s="46"/>
      <c r="WPC13" s="46"/>
      <c r="WPD13" s="46"/>
      <c r="WPE13" s="46"/>
      <c r="WPF13" s="46"/>
      <c r="WPG13" s="46"/>
      <c r="WPH13" s="46"/>
      <c r="WPI13" s="46"/>
      <c r="WPJ13" s="46"/>
      <c r="WPK13" s="46"/>
      <c r="WPL13" s="46"/>
      <c r="WPM13" s="46"/>
      <c r="WPN13" s="46"/>
      <c r="WPO13" s="46"/>
      <c r="WPP13" s="46"/>
      <c r="WPQ13" s="46"/>
      <c r="WPR13" s="46"/>
      <c r="WPS13" s="46"/>
      <c r="WPT13" s="46"/>
      <c r="WPU13" s="46"/>
      <c r="WPV13" s="46"/>
      <c r="WPW13" s="46"/>
      <c r="WPX13" s="46"/>
      <c r="WPY13" s="46"/>
      <c r="WPZ13" s="46"/>
      <c r="WQA13" s="46"/>
      <c r="WQB13" s="46"/>
      <c r="WQC13" s="46"/>
      <c r="WQD13" s="46"/>
      <c r="WQE13" s="46"/>
      <c r="WQF13" s="46"/>
      <c r="WQG13" s="46"/>
      <c r="WQH13" s="46"/>
      <c r="WQI13" s="46"/>
      <c r="WQJ13" s="46"/>
      <c r="WQK13" s="46"/>
      <c r="WQL13" s="46"/>
      <c r="WQM13" s="46"/>
      <c r="WQN13" s="46"/>
      <c r="WQO13" s="46"/>
      <c r="WQP13" s="46"/>
      <c r="WQQ13" s="46"/>
      <c r="WQR13" s="46"/>
      <c r="WQS13" s="46"/>
      <c r="WQT13" s="46"/>
      <c r="WQU13" s="46"/>
      <c r="WQV13" s="46"/>
      <c r="WQW13" s="46"/>
      <c r="WQX13" s="46"/>
      <c r="WQY13" s="46"/>
      <c r="WQZ13" s="46"/>
      <c r="WRA13" s="46"/>
      <c r="WRB13" s="46"/>
      <c r="WRC13" s="46"/>
      <c r="WRD13" s="46"/>
      <c r="WRE13" s="46"/>
      <c r="WRF13" s="46"/>
      <c r="WRG13" s="46"/>
      <c r="WRH13" s="46"/>
      <c r="WRI13" s="46"/>
      <c r="WRJ13" s="46"/>
      <c r="WRK13" s="46"/>
      <c r="WRL13" s="46"/>
      <c r="WRM13" s="46"/>
      <c r="WRN13" s="46"/>
      <c r="WRO13" s="46"/>
      <c r="WRP13" s="46"/>
      <c r="WRQ13" s="46"/>
      <c r="WRR13" s="46"/>
      <c r="WRS13" s="46"/>
      <c r="WRT13" s="46"/>
      <c r="WRU13" s="46"/>
      <c r="WRV13" s="46"/>
      <c r="WRW13" s="46"/>
      <c r="WRX13" s="46"/>
      <c r="WRY13" s="46"/>
      <c r="WRZ13" s="46"/>
      <c r="WSA13" s="46"/>
      <c r="WSB13" s="46"/>
      <c r="WSC13" s="46"/>
      <c r="WSD13" s="46"/>
      <c r="WSE13" s="46"/>
      <c r="WSF13" s="46"/>
      <c r="WSG13" s="46"/>
      <c r="WSH13" s="46"/>
      <c r="WSI13" s="46"/>
      <c r="WSJ13" s="46"/>
      <c r="WSK13" s="46"/>
      <c r="WSL13" s="46"/>
      <c r="WSM13" s="46"/>
      <c r="WSN13" s="46"/>
      <c r="WSO13" s="46"/>
      <c r="WSP13" s="46"/>
      <c r="WSQ13" s="46"/>
      <c r="WSR13" s="46"/>
      <c r="WSS13" s="46"/>
      <c r="WST13" s="46"/>
      <c r="WSU13" s="46"/>
      <c r="WSV13" s="46"/>
      <c r="WSW13" s="46"/>
      <c r="WSX13" s="46"/>
      <c r="WSY13" s="46"/>
      <c r="WSZ13" s="46"/>
      <c r="WTA13" s="46"/>
      <c r="WTB13" s="46"/>
      <c r="WTC13" s="46"/>
      <c r="WTD13" s="46"/>
      <c r="WTE13" s="46"/>
      <c r="WTF13" s="46"/>
      <c r="WTG13" s="46"/>
      <c r="WTH13" s="46"/>
      <c r="WTI13" s="46"/>
      <c r="WTJ13" s="46"/>
      <c r="WTK13" s="46"/>
      <c r="WTL13" s="46"/>
      <c r="WTM13" s="46"/>
      <c r="WTN13" s="46"/>
      <c r="WTO13" s="46"/>
      <c r="WTP13" s="46"/>
      <c r="WTQ13" s="46"/>
      <c r="WTR13" s="46"/>
      <c r="WTS13" s="46"/>
      <c r="WTT13" s="46"/>
      <c r="WTU13" s="46"/>
      <c r="WTV13" s="46"/>
      <c r="WTW13" s="46"/>
      <c r="WTX13" s="46"/>
      <c r="WTY13" s="46"/>
      <c r="WTZ13" s="46"/>
      <c r="WUA13" s="46"/>
      <c r="WUB13" s="46"/>
      <c r="WUC13" s="46"/>
      <c r="WUD13" s="46"/>
      <c r="WUE13" s="46"/>
      <c r="WUF13" s="46"/>
      <c r="WUG13" s="46"/>
      <c r="WUH13" s="46"/>
      <c r="WUI13" s="46"/>
      <c r="WUJ13" s="46"/>
      <c r="WUK13" s="46"/>
      <c r="WUL13" s="46"/>
      <c r="WUM13" s="46"/>
      <c r="WUN13" s="46"/>
      <c r="WUO13" s="46"/>
      <c r="WUP13" s="46"/>
      <c r="WUQ13" s="46"/>
      <c r="WUR13" s="46"/>
      <c r="WUS13" s="46"/>
      <c r="WUT13" s="46"/>
      <c r="WUU13" s="46"/>
      <c r="WUV13" s="46"/>
      <c r="WUW13" s="46"/>
      <c r="WUX13" s="46"/>
      <c r="WUY13" s="46"/>
      <c r="WUZ13" s="46"/>
      <c r="WVA13" s="46"/>
      <c r="WVB13" s="46"/>
      <c r="WVC13" s="46"/>
      <c r="WVD13" s="46"/>
      <c r="WVE13" s="46"/>
      <c r="WVF13" s="46"/>
      <c r="WVG13" s="46"/>
      <c r="WVH13" s="46"/>
      <c r="WVI13" s="46"/>
      <c r="WVJ13" s="46"/>
      <c r="WVK13" s="46"/>
      <c r="WVL13" s="46"/>
      <c r="WVM13" s="46"/>
      <c r="WVN13" s="46"/>
      <c r="WVO13" s="46"/>
      <c r="WVP13" s="46"/>
      <c r="WVQ13" s="46"/>
      <c r="WVR13" s="46"/>
      <c r="WVS13" s="46"/>
      <c r="WVT13" s="46"/>
      <c r="WVU13" s="46"/>
      <c r="WVV13" s="46"/>
      <c r="WVW13" s="46"/>
      <c r="WVX13" s="46"/>
      <c r="WVY13" s="46"/>
      <c r="WVZ13" s="46"/>
      <c r="WWA13" s="46"/>
      <c r="WWB13" s="46"/>
      <c r="WWC13" s="46"/>
      <c r="WWD13" s="46"/>
      <c r="WWE13" s="46"/>
      <c r="WWF13" s="46"/>
      <c r="WWG13" s="46"/>
      <c r="WWH13" s="46"/>
      <c r="WWI13" s="46"/>
      <c r="WWJ13" s="46"/>
      <c r="WWK13" s="46"/>
      <c r="WWL13" s="46"/>
      <c r="WWM13" s="46"/>
      <c r="WWN13" s="46"/>
      <c r="WWO13" s="46"/>
      <c r="WWP13" s="46"/>
      <c r="WWQ13" s="46"/>
      <c r="WWR13" s="46"/>
      <c r="WWS13" s="46"/>
      <c r="WWT13" s="46"/>
      <c r="WWU13" s="46"/>
      <c r="WWV13" s="46"/>
      <c r="WWW13" s="46"/>
      <c r="WWX13" s="46"/>
      <c r="WWY13" s="46"/>
      <c r="WWZ13" s="46"/>
      <c r="WXA13" s="46"/>
      <c r="WXB13" s="46"/>
      <c r="WXC13" s="46"/>
      <c r="WXD13" s="46"/>
      <c r="WXE13" s="46"/>
      <c r="WXF13" s="46"/>
      <c r="WXG13" s="46"/>
      <c r="WXH13" s="46"/>
      <c r="WXI13" s="46"/>
      <c r="WXJ13" s="46"/>
      <c r="WXK13" s="46"/>
      <c r="WXL13" s="46"/>
      <c r="WXM13" s="46"/>
      <c r="WXN13" s="46"/>
      <c r="WXO13" s="46"/>
      <c r="WXP13" s="46"/>
      <c r="WXQ13" s="46"/>
      <c r="WXR13" s="46"/>
      <c r="WXS13" s="46"/>
      <c r="WXT13" s="46"/>
      <c r="WXU13" s="46"/>
      <c r="WXV13" s="46"/>
      <c r="WXW13" s="46"/>
      <c r="WXX13" s="46"/>
      <c r="WXY13" s="46"/>
      <c r="WXZ13" s="46"/>
      <c r="WYA13" s="46"/>
      <c r="WYB13" s="46"/>
      <c r="WYC13" s="46"/>
      <c r="WYD13" s="46"/>
      <c r="WYE13" s="46"/>
      <c r="WYF13" s="46"/>
      <c r="WYG13" s="46"/>
      <c r="WYH13" s="46"/>
      <c r="WYI13" s="46"/>
      <c r="WYJ13" s="46"/>
      <c r="WYK13" s="46"/>
      <c r="WYL13" s="46"/>
      <c r="WYM13" s="46"/>
      <c r="WYN13" s="46"/>
      <c r="WYO13" s="46"/>
      <c r="WYP13" s="46"/>
      <c r="WYQ13" s="46"/>
      <c r="WYR13" s="46"/>
      <c r="WYS13" s="46"/>
      <c r="WYT13" s="46"/>
      <c r="WYU13" s="46"/>
      <c r="WYV13" s="46"/>
      <c r="WYW13" s="46"/>
      <c r="WYX13" s="46"/>
      <c r="WYY13" s="46"/>
      <c r="WYZ13" s="46"/>
      <c r="WZA13" s="46"/>
      <c r="WZB13" s="46"/>
      <c r="WZC13" s="46"/>
      <c r="WZD13" s="46"/>
      <c r="WZE13" s="46"/>
      <c r="WZF13" s="46"/>
      <c r="WZG13" s="46"/>
      <c r="WZH13" s="46"/>
      <c r="WZI13" s="46"/>
      <c r="WZJ13" s="46"/>
      <c r="WZK13" s="46"/>
      <c r="WZL13" s="46"/>
      <c r="WZM13" s="46"/>
      <c r="WZN13" s="46"/>
      <c r="WZO13" s="46"/>
      <c r="WZP13" s="46"/>
      <c r="WZQ13" s="46"/>
      <c r="WZR13" s="46"/>
      <c r="WZS13" s="46"/>
      <c r="WZT13" s="46"/>
      <c r="WZU13" s="46"/>
      <c r="WZV13" s="46"/>
      <c r="WZW13" s="46"/>
      <c r="WZX13" s="46"/>
      <c r="WZY13" s="46"/>
      <c r="WZZ13" s="46"/>
      <c r="XAA13" s="46"/>
      <c r="XAB13" s="46"/>
      <c r="XAC13" s="46"/>
      <c r="XAD13" s="46"/>
      <c r="XAE13" s="46"/>
      <c r="XAF13" s="46"/>
      <c r="XAG13" s="46"/>
      <c r="XAH13" s="46"/>
      <c r="XAI13" s="46"/>
      <c r="XAJ13" s="46"/>
      <c r="XAK13" s="46"/>
      <c r="XAL13" s="46"/>
      <c r="XAM13" s="46"/>
      <c r="XAN13" s="46"/>
      <c r="XAO13" s="46"/>
      <c r="XAP13" s="46"/>
      <c r="XAQ13" s="46"/>
      <c r="XAR13" s="46"/>
      <c r="XAS13" s="46"/>
      <c r="XAT13" s="46"/>
      <c r="XAU13" s="46"/>
      <c r="XAV13" s="46"/>
      <c r="XAW13" s="46"/>
      <c r="XAX13" s="46"/>
      <c r="XAY13" s="46"/>
      <c r="XAZ13" s="46"/>
      <c r="XBA13" s="46"/>
      <c r="XBB13" s="46"/>
      <c r="XBC13" s="46"/>
      <c r="XBD13" s="46"/>
      <c r="XBE13" s="46"/>
      <c r="XBF13" s="46"/>
      <c r="XBG13" s="46"/>
      <c r="XBH13" s="46"/>
      <c r="XBI13" s="46"/>
      <c r="XBJ13" s="46"/>
      <c r="XBK13" s="46"/>
      <c r="XBL13" s="46"/>
      <c r="XBM13" s="46"/>
      <c r="XBN13" s="46"/>
      <c r="XBO13" s="46"/>
      <c r="XBP13" s="46"/>
      <c r="XBQ13" s="46"/>
      <c r="XBR13" s="46"/>
      <c r="XBS13" s="46"/>
      <c r="XBT13" s="46"/>
      <c r="XBU13" s="46"/>
      <c r="XBV13" s="46"/>
      <c r="XBW13" s="46"/>
      <c r="XBX13" s="46"/>
      <c r="XBY13" s="46"/>
      <c r="XBZ13" s="46"/>
      <c r="XCA13" s="46"/>
      <c r="XCB13" s="46"/>
      <c r="XCC13" s="46"/>
      <c r="XCD13" s="46"/>
      <c r="XCE13" s="46"/>
      <c r="XCF13" s="46"/>
      <c r="XCG13" s="46"/>
      <c r="XCH13" s="46"/>
      <c r="XCI13" s="46"/>
      <c r="XCJ13" s="46"/>
      <c r="XCK13" s="46"/>
      <c r="XCL13" s="46"/>
      <c r="XCM13" s="46"/>
      <c r="XCN13" s="46"/>
      <c r="XCO13" s="46"/>
      <c r="XCP13" s="46"/>
      <c r="XCQ13" s="46"/>
      <c r="XCR13" s="46"/>
      <c r="XCS13" s="46"/>
      <c r="XCT13" s="46"/>
      <c r="XCU13" s="46"/>
      <c r="XCV13" s="46"/>
      <c r="XCW13" s="46"/>
      <c r="XCX13" s="46"/>
      <c r="XCY13" s="46"/>
      <c r="XCZ13" s="46"/>
      <c r="XDA13" s="46"/>
      <c r="XDB13" s="46"/>
      <c r="XDC13" s="46"/>
      <c r="XDD13" s="46"/>
      <c r="XDE13" s="46"/>
      <c r="XDF13" s="46"/>
      <c r="XDG13" s="46"/>
      <c r="XDH13" s="46"/>
      <c r="XDI13" s="46"/>
      <c r="XDJ13" s="46"/>
      <c r="XDK13" s="46"/>
      <c r="XDL13" s="46"/>
      <c r="XDM13" s="46"/>
      <c r="XDN13" s="46"/>
      <c r="XDO13" s="46"/>
      <c r="XDP13" s="46"/>
      <c r="XDQ13" s="46"/>
      <c r="XDR13" s="46"/>
      <c r="XDS13" s="46"/>
    </row>
    <row r="14" spans="1:16347" ht="13.5" thickTop="1" x14ac:dyDescent="0.2"/>
  </sheetData>
  <phoneticPr fontId="0" type="noConversion"/>
  <printOptions gridLines="1" gridLinesSet="0"/>
  <pageMargins left="0.75" right="0.75" top="1" bottom="1" header="0.5" footer="0.5"/>
  <pageSetup orientation="portrait"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fitToPage="1"/>
  </sheetPr>
  <dimension ref="A1:FB332"/>
  <sheetViews>
    <sheetView tabSelected="1" topLeftCell="A33" workbookViewId="0">
      <selection activeCell="CZ19" sqref="CZ19"/>
    </sheetView>
  </sheetViews>
  <sheetFormatPr defaultRowHeight="12.75" x14ac:dyDescent="0.2"/>
  <cols>
    <col min="1" max="1" width="12.42578125" customWidth="1"/>
    <col min="2" max="2" width="25.140625" customWidth="1"/>
    <col min="3" max="3" width="12.5703125" customWidth="1"/>
    <col min="5" max="5" width="25.140625" customWidth="1"/>
    <col min="6" max="6" width="11.85546875" customWidth="1"/>
    <col min="7" max="10" width="15" customWidth="1"/>
    <col min="11" max="93" width="13.7109375" customWidth="1"/>
    <col min="94" max="94" width="12.140625" customWidth="1"/>
    <col min="95" max="95" width="14.140625" customWidth="1"/>
    <col min="96" max="96" width="16.7109375" customWidth="1"/>
    <col min="97" max="97" width="13.140625" customWidth="1"/>
    <col min="99" max="100" width="21.85546875" customWidth="1"/>
    <col min="101" max="101" width="44" customWidth="1"/>
    <col min="102" max="102" width="14.85546875" customWidth="1"/>
    <col min="103" max="103" width="7.5703125" customWidth="1"/>
    <col min="104" max="104" width="18.85546875" customWidth="1"/>
    <col min="105" max="105" width="9" customWidth="1"/>
    <col min="106" max="106" width="8.28515625" customWidth="1"/>
    <col min="107" max="107" width="20.140625" customWidth="1"/>
    <col min="108" max="108" width="13.85546875" customWidth="1"/>
    <col min="109" max="109" width="13.140625" customWidth="1"/>
    <col min="110" max="110" width="18" customWidth="1"/>
    <col min="111" max="111" width="14.7109375" customWidth="1"/>
    <col min="112" max="112" width="16.28515625" customWidth="1"/>
    <col min="113" max="113" width="14.140625" customWidth="1"/>
    <col min="114" max="114" width="15.28515625" customWidth="1"/>
    <col min="115" max="115" width="17.7109375" customWidth="1"/>
  </cols>
  <sheetData>
    <row r="1" spans="1:158" ht="16.5" thickTop="1" x14ac:dyDescent="0.25">
      <c r="A1" s="37" t="s">
        <v>264</v>
      </c>
      <c r="B1" s="37"/>
      <c r="C1" s="37"/>
      <c r="D1" s="37" t="s">
        <v>402</v>
      </c>
      <c r="E1" s="37"/>
      <c r="F1" s="37"/>
      <c r="G1" s="37" t="s">
        <v>300</v>
      </c>
      <c r="H1" s="37"/>
      <c r="I1" s="37"/>
      <c r="J1" s="37" t="s">
        <v>310</v>
      </c>
      <c r="K1" s="37"/>
      <c r="L1" s="37"/>
      <c r="M1" s="37" t="s">
        <v>313</v>
      </c>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35" t="s">
        <v>94</v>
      </c>
      <c r="CQ1" s="333"/>
      <c r="CS1" s="35" t="s">
        <v>92</v>
      </c>
      <c r="CU1" s="37" t="s">
        <v>154</v>
      </c>
      <c r="CV1" s="37"/>
      <c r="CW1" t="s">
        <v>155</v>
      </c>
      <c r="CX1" s="51">
        <f>SUM(DD6:DD11)</f>
        <v>0</v>
      </c>
      <c r="CY1" s="52" t="s">
        <v>156</v>
      </c>
      <c r="DA1" s="36"/>
      <c r="DD1" s="36"/>
      <c r="DE1" t="s">
        <v>157</v>
      </c>
      <c r="DG1" s="36"/>
      <c r="DN1" s="328" t="s">
        <v>259</v>
      </c>
      <c r="DO1" s="334" t="s">
        <v>260</v>
      </c>
      <c r="DP1" s="331"/>
      <c r="DQ1" s="331"/>
      <c r="DR1" s="331"/>
      <c r="DS1" s="331"/>
      <c r="DT1" s="331"/>
      <c r="DU1" s="331"/>
      <c r="DV1" s="331"/>
      <c r="DW1" s="331"/>
      <c r="DX1" s="331"/>
      <c r="DY1" s="331"/>
      <c r="DZ1" s="331"/>
      <c r="EA1" s="331"/>
      <c r="EB1" s="332"/>
      <c r="EE1" s="328" t="s">
        <v>259</v>
      </c>
      <c r="EF1" s="97"/>
      <c r="EG1" s="97"/>
      <c r="EH1" s="118"/>
      <c r="EI1" s="97"/>
      <c r="EJ1" s="97"/>
      <c r="EK1" s="97"/>
      <c r="EL1" s="97"/>
      <c r="EM1" s="97"/>
      <c r="EN1" s="101"/>
      <c r="EO1" s="330" t="s">
        <v>260</v>
      </c>
      <c r="EP1" s="331"/>
      <c r="EQ1" s="331"/>
      <c r="ER1" s="331"/>
      <c r="ES1" s="331"/>
      <c r="ET1" s="331"/>
      <c r="EU1" s="331"/>
      <c r="EV1" s="331"/>
      <c r="EW1" s="331"/>
      <c r="EX1" s="331"/>
      <c r="EY1" s="331"/>
      <c r="EZ1" s="331"/>
      <c r="FA1" s="331"/>
      <c r="FB1" s="332"/>
    </row>
    <row r="2" spans="1:158" ht="16.5" thickBot="1" x14ac:dyDescent="0.3">
      <c r="CS2" s="36"/>
      <c r="CW2" t="s">
        <v>158</v>
      </c>
      <c r="CX2" s="53">
        <f>CX1*200</f>
        <v>0</v>
      </c>
      <c r="CY2" s="52" t="s">
        <v>159</v>
      </c>
      <c r="DA2" s="36"/>
      <c r="DK2" t="s">
        <v>262</v>
      </c>
      <c r="DN2" s="329"/>
      <c r="DO2" s="75" t="s">
        <v>261</v>
      </c>
      <c r="DP2" s="75">
        <v>1992</v>
      </c>
      <c r="DQ2" s="75">
        <v>1993</v>
      </c>
      <c r="DR2" s="75">
        <v>1994</v>
      </c>
      <c r="DS2" s="75">
        <v>1995</v>
      </c>
      <c r="DT2" s="75">
        <v>1996</v>
      </c>
      <c r="DU2" s="75">
        <v>1997</v>
      </c>
      <c r="DV2" s="75">
        <v>1998</v>
      </c>
      <c r="DW2" s="75">
        <v>1999</v>
      </c>
      <c r="DX2" s="75">
        <v>2000</v>
      </c>
      <c r="DY2" s="75">
        <v>2001</v>
      </c>
      <c r="DZ2" s="75">
        <v>2002</v>
      </c>
      <c r="EA2" s="75">
        <v>2003</v>
      </c>
      <c r="EB2" s="76">
        <v>2004</v>
      </c>
      <c r="EE2" s="329"/>
      <c r="EF2" s="120">
        <v>1982</v>
      </c>
      <c r="EG2" s="123">
        <v>1983</v>
      </c>
      <c r="EH2" s="120">
        <v>1984</v>
      </c>
      <c r="EI2" s="121">
        <v>1985</v>
      </c>
      <c r="EJ2" s="121">
        <v>1986</v>
      </c>
      <c r="EK2" s="121">
        <v>1987</v>
      </c>
      <c r="EL2" s="121">
        <v>1988</v>
      </c>
      <c r="EM2" s="119">
        <v>1989</v>
      </c>
      <c r="EN2" s="121">
        <v>1990</v>
      </c>
      <c r="EO2" s="106" t="s">
        <v>261</v>
      </c>
      <c r="EP2" s="75">
        <v>1992</v>
      </c>
      <c r="EQ2" s="75">
        <v>1993</v>
      </c>
      <c r="ER2" s="75">
        <v>1994</v>
      </c>
      <c r="ES2" s="75">
        <v>1995</v>
      </c>
      <c r="ET2" s="75">
        <v>1996</v>
      </c>
      <c r="EU2" s="75">
        <v>1997</v>
      </c>
      <c r="EV2" s="75">
        <v>1998</v>
      </c>
      <c r="EW2" s="75">
        <v>1999</v>
      </c>
      <c r="EX2" s="75">
        <v>2000</v>
      </c>
      <c r="EY2" s="75">
        <v>2001</v>
      </c>
      <c r="EZ2" s="75">
        <v>2002</v>
      </c>
      <c r="FA2" s="75">
        <v>2003</v>
      </c>
      <c r="FB2" s="76">
        <v>2004</v>
      </c>
    </row>
    <row r="3" spans="1:158" ht="17.25" thickTop="1" thickBot="1" x14ac:dyDescent="0.3">
      <c r="A3" s="35"/>
      <c r="B3" s="35"/>
      <c r="C3" s="35"/>
      <c r="D3" s="35"/>
      <c r="E3" s="35"/>
      <c r="F3" s="35"/>
      <c r="G3" s="146" t="s">
        <v>238</v>
      </c>
      <c r="H3" s="151" t="s">
        <v>301</v>
      </c>
      <c r="I3" s="35"/>
      <c r="J3" s="146" t="s">
        <v>308</v>
      </c>
      <c r="K3" s="151" t="s">
        <v>309</v>
      </c>
      <c r="L3" s="35"/>
      <c r="M3" s="146" t="s">
        <v>311</v>
      </c>
      <c r="N3" s="151" t="s">
        <v>312</v>
      </c>
      <c r="O3" s="35"/>
      <c r="P3" s="35"/>
      <c r="Q3" s="35"/>
      <c r="R3" s="158" t="s">
        <v>314</v>
      </c>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c r="BS3" s="35"/>
      <c r="BT3" s="35"/>
      <c r="BU3" s="35"/>
      <c r="BV3" s="35"/>
      <c r="BW3" s="35"/>
      <c r="BX3" s="35"/>
      <c r="BY3" s="35"/>
      <c r="BZ3" s="35"/>
      <c r="CA3" s="35"/>
      <c r="CB3" s="35"/>
      <c r="CC3" s="35"/>
      <c r="CD3" s="35"/>
      <c r="CE3" s="35"/>
      <c r="CF3" s="35"/>
      <c r="CG3" s="35"/>
      <c r="CH3" s="35"/>
      <c r="CI3" s="35"/>
      <c r="CJ3" s="35"/>
      <c r="CK3" s="35"/>
      <c r="CL3" s="35"/>
      <c r="CM3" s="35"/>
      <c r="CN3" s="35"/>
      <c r="CO3" s="35"/>
      <c r="CP3" s="335"/>
      <c r="CQ3" s="335"/>
      <c r="CS3" s="39">
        <v>39753</v>
      </c>
      <c r="CU3" t="s">
        <v>69</v>
      </c>
      <c r="CW3" t="s">
        <v>160</v>
      </c>
      <c r="CX3" s="54">
        <f>SUM(DF22:DF27)</f>
        <v>0</v>
      </c>
      <c r="CY3" s="52" t="s">
        <v>161</v>
      </c>
      <c r="DA3" s="36"/>
      <c r="DE3" s="42" t="s">
        <v>162</v>
      </c>
      <c r="DF3" s="42" t="s">
        <v>163</v>
      </c>
      <c r="DG3" s="42"/>
      <c r="DH3" s="42" t="s">
        <v>164</v>
      </c>
      <c r="DJ3" s="51"/>
      <c r="DN3" s="77">
        <v>1907</v>
      </c>
      <c r="DO3" s="78">
        <v>4488</v>
      </c>
      <c r="DP3" s="78">
        <v>4488</v>
      </c>
      <c r="DQ3" s="78">
        <v>4488</v>
      </c>
      <c r="DR3" s="78">
        <v>4488</v>
      </c>
      <c r="DS3" s="78">
        <v>4488</v>
      </c>
      <c r="DT3" s="78">
        <v>4488</v>
      </c>
      <c r="DU3" s="78">
        <v>4488</v>
      </c>
      <c r="DV3" s="78">
        <v>4488</v>
      </c>
      <c r="DW3" s="78">
        <v>4488</v>
      </c>
      <c r="DX3" s="78">
        <v>4488</v>
      </c>
      <c r="DY3" s="78">
        <v>4488</v>
      </c>
      <c r="DZ3" s="78">
        <v>4488</v>
      </c>
      <c r="EA3" s="78">
        <v>4488</v>
      </c>
      <c r="EB3" s="79">
        <v>4488</v>
      </c>
      <c r="EE3" s="114">
        <v>1907</v>
      </c>
      <c r="EF3" s="124"/>
      <c r="EG3" s="102"/>
      <c r="EH3" s="99"/>
      <c r="EI3" s="104"/>
      <c r="EJ3" s="104"/>
      <c r="EK3" s="104"/>
      <c r="EL3" s="104"/>
      <c r="EM3" s="110">
        <v>4488</v>
      </c>
      <c r="EN3" s="102">
        <v>4704</v>
      </c>
      <c r="EO3" s="107">
        <v>4488</v>
      </c>
      <c r="EP3" s="78">
        <v>4488</v>
      </c>
      <c r="EQ3" s="78">
        <v>4488</v>
      </c>
      <c r="ER3" s="78">
        <v>4488</v>
      </c>
      <c r="ES3" s="78">
        <v>4488</v>
      </c>
      <c r="ET3" s="78">
        <v>4488</v>
      </c>
      <c r="EU3" s="78">
        <v>4488</v>
      </c>
      <c r="EV3" s="78">
        <v>4488</v>
      </c>
      <c r="EW3" s="78">
        <v>4488</v>
      </c>
      <c r="EX3" s="78">
        <v>4488</v>
      </c>
      <c r="EY3" s="78">
        <v>4488</v>
      </c>
      <c r="EZ3" s="78">
        <v>4488</v>
      </c>
      <c r="FA3" s="78">
        <v>4488</v>
      </c>
      <c r="FB3" s="79">
        <v>4488</v>
      </c>
    </row>
    <row r="4" spans="1:158" ht="27" thickBot="1" x14ac:dyDescent="0.3">
      <c r="A4" s="35" t="s">
        <v>266</v>
      </c>
      <c r="B4" s="35" t="s">
        <v>150</v>
      </c>
      <c r="C4" s="35"/>
      <c r="D4" s="212" t="s">
        <v>311</v>
      </c>
      <c r="E4" s="35" t="s">
        <v>150</v>
      </c>
      <c r="F4" s="35"/>
      <c r="G4" s="144">
        <v>0</v>
      </c>
      <c r="H4" s="145">
        <v>0</v>
      </c>
      <c r="I4" s="152"/>
      <c r="J4" s="132">
        <v>0</v>
      </c>
      <c r="K4" s="134">
        <v>1</v>
      </c>
      <c r="L4" s="73"/>
      <c r="M4" s="157">
        <v>0</v>
      </c>
      <c r="N4" s="134">
        <v>1</v>
      </c>
      <c r="O4" s="73"/>
      <c r="P4" s="73"/>
      <c r="Q4" s="73"/>
      <c r="R4" s="165">
        <v>1</v>
      </c>
      <c r="S4" s="166">
        <v>2</v>
      </c>
      <c r="T4" s="166">
        <v>3</v>
      </c>
      <c r="U4" s="166">
        <v>4</v>
      </c>
      <c r="V4" s="166">
        <v>5</v>
      </c>
      <c r="W4" s="166">
        <v>6</v>
      </c>
      <c r="X4" s="166">
        <v>7</v>
      </c>
      <c r="Y4" s="166">
        <v>8</v>
      </c>
      <c r="Z4" s="166">
        <v>9</v>
      </c>
      <c r="AA4" s="166">
        <v>10</v>
      </c>
      <c r="AB4" s="166">
        <v>11</v>
      </c>
      <c r="AC4" s="166">
        <v>12</v>
      </c>
      <c r="AD4" s="166">
        <v>13</v>
      </c>
      <c r="AE4" s="166">
        <v>14</v>
      </c>
      <c r="AF4" s="166">
        <v>15</v>
      </c>
      <c r="AG4" s="166">
        <v>16</v>
      </c>
      <c r="AH4" s="166">
        <v>17</v>
      </c>
      <c r="AI4" s="166">
        <v>18</v>
      </c>
      <c r="AJ4" s="166">
        <v>19</v>
      </c>
      <c r="AK4" s="166">
        <v>20</v>
      </c>
      <c r="AL4" s="166">
        <v>21</v>
      </c>
      <c r="AM4" s="166">
        <v>22</v>
      </c>
      <c r="AN4" s="166">
        <v>23</v>
      </c>
      <c r="AO4" s="166">
        <v>24</v>
      </c>
      <c r="AP4" s="166">
        <v>25</v>
      </c>
      <c r="AQ4" s="166">
        <v>26</v>
      </c>
      <c r="AR4" s="166">
        <v>27</v>
      </c>
      <c r="AS4" s="166">
        <v>28</v>
      </c>
      <c r="AT4" s="166">
        <v>29</v>
      </c>
      <c r="AU4" s="166">
        <v>30</v>
      </c>
      <c r="AV4" s="166">
        <v>31</v>
      </c>
      <c r="AW4" s="166">
        <v>32</v>
      </c>
      <c r="AX4" s="166">
        <v>33</v>
      </c>
      <c r="AY4" s="166">
        <v>34</v>
      </c>
      <c r="AZ4" s="166">
        <v>35</v>
      </c>
      <c r="BA4" s="166">
        <v>36</v>
      </c>
      <c r="BB4" s="166">
        <v>37</v>
      </c>
      <c r="BC4" s="166">
        <v>38</v>
      </c>
      <c r="BD4" s="166">
        <v>39</v>
      </c>
      <c r="BE4" s="166">
        <v>40</v>
      </c>
      <c r="BF4" s="166">
        <v>41</v>
      </c>
      <c r="BG4" s="166">
        <v>42</v>
      </c>
      <c r="BH4" s="166">
        <v>43</v>
      </c>
      <c r="BI4" s="166">
        <v>44</v>
      </c>
      <c r="BJ4" s="166">
        <v>45</v>
      </c>
      <c r="BK4" s="166">
        <v>46</v>
      </c>
      <c r="BL4" s="166">
        <v>47</v>
      </c>
      <c r="BM4" s="166">
        <v>48</v>
      </c>
      <c r="BN4" s="166">
        <v>49</v>
      </c>
      <c r="BO4" s="166">
        <v>50</v>
      </c>
      <c r="BP4" s="166">
        <v>51</v>
      </c>
      <c r="BQ4" s="166">
        <v>52</v>
      </c>
      <c r="BR4" s="166">
        <v>53</v>
      </c>
      <c r="BS4" s="166">
        <v>54</v>
      </c>
      <c r="BT4" s="166">
        <v>55</v>
      </c>
      <c r="BU4" s="166">
        <v>56</v>
      </c>
      <c r="BV4" s="166">
        <v>57</v>
      </c>
      <c r="BW4" s="166">
        <v>58</v>
      </c>
      <c r="BX4" s="166">
        <v>59</v>
      </c>
      <c r="BY4" s="166">
        <v>60</v>
      </c>
      <c r="BZ4" s="166">
        <v>61</v>
      </c>
      <c r="CA4" s="166">
        <v>62</v>
      </c>
      <c r="CB4" s="166">
        <v>63</v>
      </c>
      <c r="CC4" s="166">
        <v>64</v>
      </c>
      <c r="CD4" s="166">
        <v>65</v>
      </c>
      <c r="CE4" s="166">
        <v>66</v>
      </c>
      <c r="CF4" s="166">
        <v>67</v>
      </c>
      <c r="CG4" s="166">
        <v>68</v>
      </c>
      <c r="CH4" s="166">
        <v>69</v>
      </c>
      <c r="CI4" s="166">
        <v>70</v>
      </c>
      <c r="CJ4" s="166">
        <v>71</v>
      </c>
      <c r="CK4" s="166">
        <v>72</v>
      </c>
      <c r="CL4" s="166">
        <v>73</v>
      </c>
      <c r="CM4" s="166">
        <v>74</v>
      </c>
      <c r="CN4" s="167">
        <v>75</v>
      </c>
      <c r="CO4" s="73"/>
      <c r="CP4" s="41"/>
      <c r="CS4" s="35"/>
      <c r="CU4" t="str">
        <f>"A"</f>
        <v>A</v>
      </c>
      <c r="CW4" t="s">
        <v>165</v>
      </c>
      <c r="CX4" s="55">
        <f>ROUND(MIN(10000,0.05*CX3),0)</f>
        <v>0</v>
      </c>
      <c r="CY4" s="52" t="s">
        <v>166</v>
      </c>
      <c r="DA4" s="35"/>
      <c r="DD4" t="s">
        <v>167</v>
      </c>
      <c r="DE4" s="42" t="s">
        <v>168</v>
      </c>
      <c r="DF4" s="42" t="s">
        <v>169</v>
      </c>
      <c r="DG4" s="42" t="s">
        <v>170</v>
      </c>
      <c r="DH4" s="42" t="s">
        <v>171</v>
      </c>
      <c r="DJ4" s="51"/>
      <c r="DN4" s="80">
        <v>1908</v>
      </c>
      <c r="DO4" s="81">
        <v>4704</v>
      </c>
      <c r="DP4" s="81">
        <v>4704</v>
      </c>
      <c r="DQ4" s="81">
        <v>4704</v>
      </c>
      <c r="DR4" s="81">
        <v>4704</v>
      </c>
      <c r="DS4" s="81">
        <v>4704</v>
      </c>
      <c r="DT4" s="81">
        <v>4704</v>
      </c>
      <c r="DU4" s="81">
        <v>4704</v>
      </c>
      <c r="DV4" s="81">
        <v>4704</v>
      </c>
      <c r="DW4" s="81">
        <v>4704</v>
      </c>
      <c r="DX4" s="81">
        <v>4704</v>
      </c>
      <c r="DY4" s="81">
        <v>4704</v>
      </c>
      <c r="DZ4" s="81">
        <v>4704</v>
      </c>
      <c r="EA4" s="81">
        <v>4704</v>
      </c>
      <c r="EB4" s="82">
        <v>4704</v>
      </c>
      <c r="EE4" s="88">
        <v>1908</v>
      </c>
      <c r="EF4" s="125"/>
      <c r="EG4" s="103"/>
      <c r="EH4" s="98"/>
      <c r="EI4" s="103"/>
      <c r="EJ4" s="103"/>
      <c r="EK4" s="103"/>
      <c r="EL4" s="103"/>
      <c r="EM4" s="111">
        <v>4704</v>
      </c>
      <c r="EN4" s="103">
        <v>4704</v>
      </c>
      <c r="EO4" s="108">
        <v>4704</v>
      </c>
      <c r="EP4" s="81">
        <v>4704</v>
      </c>
      <c r="EQ4" s="81">
        <v>4704</v>
      </c>
      <c r="ER4" s="81">
        <v>4704</v>
      </c>
      <c r="ES4" s="81">
        <v>4704</v>
      </c>
      <c r="ET4" s="81">
        <v>4704</v>
      </c>
      <c r="EU4" s="81">
        <v>4704</v>
      </c>
      <c r="EV4" s="81">
        <v>4704</v>
      </c>
      <c r="EW4" s="81">
        <v>4704</v>
      </c>
      <c r="EX4" s="81">
        <v>4704</v>
      </c>
      <c r="EY4" s="81">
        <v>4704</v>
      </c>
      <c r="EZ4" s="81">
        <v>4704</v>
      </c>
      <c r="FA4" s="81">
        <v>4704</v>
      </c>
      <c r="FB4" s="82">
        <v>4704</v>
      </c>
    </row>
    <row r="5" spans="1:158" ht="16.5" thickTop="1" x14ac:dyDescent="0.25">
      <c r="A5" s="47">
        <v>65</v>
      </c>
      <c r="B5" s="129">
        <v>1</v>
      </c>
      <c r="C5" s="73"/>
      <c r="D5" s="213">
        <v>0</v>
      </c>
      <c r="E5" s="214">
        <f>[1]!PBGCLRF(65+D5/12)</f>
        <v>1</v>
      </c>
      <c r="F5" s="73"/>
      <c r="G5" s="147">
        <v>2</v>
      </c>
      <c r="H5" s="148">
        <v>0.2</v>
      </c>
      <c r="I5" s="153"/>
      <c r="J5" s="48">
        <v>1</v>
      </c>
      <c r="K5" s="49">
        <v>0.995</v>
      </c>
      <c r="L5" s="73"/>
      <c r="M5" s="155">
        <v>1</v>
      </c>
      <c r="N5" s="49">
        <v>1.01</v>
      </c>
      <c r="O5" s="73"/>
      <c r="P5" s="73"/>
      <c r="Q5" s="73"/>
      <c r="R5" s="163">
        <v>0.81379999999999997</v>
      </c>
      <c r="S5" s="164">
        <v>0.81469999999999998</v>
      </c>
      <c r="T5" s="164">
        <v>0.81559999999999999</v>
      </c>
      <c r="U5" s="164">
        <v>0.81659999999999999</v>
      </c>
      <c r="V5" s="164">
        <v>0.81759999999999999</v>
      </c>
      <c r="W5" s="164">
        <v>0.81869999999999998</v>
      </c>
      <c r="X5" s="164">
        <v>0.81979999999999997</v>
      </c>
      <c r="Y5" s="164">
        <v>0.82089999999999996</v>
      </c>
      <c r="Z5" s="164">
        <v>0.82210000000000005</v>
      </c>
      <c r="AA5" s="164">
        <v>0.82340000000000002</v>
      </c>
      <c r="AB5" s="164">
        <v>0.82469999999999999</v>
      </c>
      <c r="AC5" s="164">
        <v>0.82609999999999995</v>
      </c>
      <c r="AD5" s="164">
        <v>0.82750000000000001</v>
      </c>
      <c r="AE5" s="164">
        <v>0.82899999999999996</v>
      </c>
      <c r="AF5" s="164">
        <v>0.8306</v>
      </c>
      <c r="AG5" s="164">
        <v>0.83220000000000005</v>
      </c>
      <c r="AH5" s="164">
        <v>0.8337</v>
      </c>
      <c r="AI5" s="164">
        <v>0.83520000000000005</v>
      </c>
      <c r="AJ5" s="164">
        <v>0.83679999999999999</v>
      </c>
      <c r="AK5" s="164">
        <v>0.83850000000000002</v>
      </c>
      <c r="AL5" s="164">
        <v>0.84030000000000005</v>
      </c>
      <c r="AM5" s="164">
        <v>0.84219999999999995</v>
      </c>
      <c r="AN5" s="164">
        <v>0.84419999999999995</v>
      </c>
      <c r="AO5" s="164">
        <v>0.84619999999999995</v>
      </c>
      <c r="AP5" s="164">
        <v>0.84840000000000004</v>
      </c>
      <c r="AQ5" s="164">
        <v>0.85070000000000001</v>
      </c>
      <c r="AR5" s="164">
        <v>0.85299999999999998</v>
      </c>
      <c r="AS5" s="164">
        <v>0.85550000000000004</v>
      </c>
      <c r="AT5" s="164">
        <v>0.85809999999999997</v>
      </c>
      <c r="AU5" s="164">
        <v>0.86070000000000002</v>
      </c>
      <c r="AV5" s="164">
        <v>0.86350000000000005</v>
      </c>
      <c r="AW5" s="164">
        <v>0.86629999999999996</v>
      </c>
      <c r="AX5" s="164">
        <v>0.86929999999999996</v>
      </c>
      <c r="AY5" s="164">
        <v>0.87239999999999995</v>
      </c>
      <c r="AZ5" s="164">
        <v>0.87549999999999994</v>
      </c>
      <c r="BA5" s="164">
        <v>0.87870000000000004</v>
      </c>
      <c r="BB5" s="164">
        <v>0.8821</v>
      </c>
      <c r="BC5" s="164">
        <v>0.88549999999999995</v>
      </c>
      <c r="BD5" s="164">
        <v>0.88900000000000001</v>
      </c>
      <c r="BE5" s="164">
        <v>0.89259999999999995</v>
      </c>
      <c r="BF5" s="164">
        <v>0.8962</v>
      </c>
      <c r="BG5" s="164">
        <v>0.89990000000000003</v>
      </c>
      <c r="BH5" s="164">
        <v>0.90369999999999995</v>
      </c>
      <c r="BI5" s="164">
        <v>0.90759999999999996</v>
      </c>
      <c r="BJ5" s="164">
        <v>0.91149999999999998</v>
      </c>
      <c r="BK5" s="164">
        <v>0.91539999999999999</v>
      </c>
      <c r="BL5" s="164">
        <v>0.9194</v>
      </c>
      <c r="BM5" s="164">
        <v>0.9234</v>
      </c>
      <c r="BN5" s="164">
        <v>0.9274</v>
      </c>
      <c r="BO5" s="164">
        <v>0.93149999999999999</v>
      </c>
      <c r="BP5" s="164">
        <v>0.9355</v>
      </c>
      <c r="BQ5" s="164">
        <v>0.9395</v>
      </c>
      <c r="BR5" s="164">
        <v>0.94350000000000001</v>
      </c>
      <c r="BS5" s="164">
        <v>0.94750000000000001</v>
      </c>
      <c r="BT5" s="164">
        <v>0.95150000000000001</v>
      </c>
      <c r="BU5" s="164">
        <v>0.95540000000000003</v>
      </c>
      <c r="BV5" s="164">
        <v>0.95920000000000005</v>
      </c>
      <c r="BW5" s="164">
        <v>0.96299999999999997</v>
      </c>
      <c r="BX5" s="164">
        <v>0.96679999999999999</v>
      </c>
      <c r="BY5" s="164">
        <v>0.97040000000000004</v>
      </c>
      <c r="BZ5" s="164">
        <v>0.97399999999999998</v>
      </c>
      <c r="CA5" s="164">
        <v>0.97740000000000005</v>
      </c>
      <c r="CB5" s="164">
        <v>0.98080000000000001</v>
      </c>
      <c r="CC5" s="164">
        <v>0.98399999999999999</v>
      </c>
      <c r="CD5" s="164">
        <v>0.98719999999999997</v>
      </c>
      <c r="CE5" s="164">
        <v>0.99019999999999997</v>
      </c>
      <c r="CF5" s="164">
        <v>0.99309999999999998</v>
      </c>
      <c r="CG5" s="164">
        <v>0.99580000000000002</v>
      </c>
      <c r="CH5" s="164">
        <v>0.99839999999999995</v>
      </c>
      <c r="CI5" s="164">
        <v>1.0009999999999999</v>
      </c>
      <c r="CJ5" s="164">
        <v>1.0034000000000001</v>
      </c>
      <c r="CK5" s="164">
        <v>1.0056</v>
      </c>
      <c r="CL5" s="164">
        <v>1.0078</v>
      </c>
      <c r="CM5" s="164">
        <v>1.0098</v>
      </c>
      <c r="CN5" s="134">
        <v>1.0117</v>
      </c>
      <c r="CO5" s="73"/>
      <c r="CP5" s="41"/>
      <c r="CS5" s="37" t="s">
        <v>93</v>
      </c>
      <c r="CW5" t="s">
        <v>172</v>
      </c>
      <c r="CX5" s="53">
        <f>CX2+CX4</f>
        <v>0</v>
      </c>
      <c r="CY5" s="52" t="s">
        <v>173</v>
      </c>
      <c r="CZ5" s="56"/>
      <c r="DJ5" s="51"/>
      <c r="DN5" s="83">
        <v>1909</v>
      </c>
      <c r="DO5" s="84">
        <v>5004</v>
      </c>
      <c r="DP5" s="81">
        <v>5004</v>
      </c>
      <c r="DQ5" s="81">
        <v>5004</v>
      </c>
      <c r="DR5" s="81">
        <v>5004</v>
      </c>
      <c r="DS5" s="81">
        <v>5004</v>
      </c>
      <c r="DT5" s="81">
        <v>5004</v>
      </c>
      <c r="DU5" s="81">
        <v>5004</v>
      </c>
      <c r="DV5" s="81">
        <v>5004</v>
      </c>
      <c r="DW5" s="81">
        <v>5004</v>
      </c>
      <c r="DX5" s="81">
        <v>5004</v>
      </c>
      <c r="DY5" s="81">
        <v>5004</v>
      </c>
      <c r="DZ5" s="81">
        <v>5004</v>
      </c>
      <c r="EA5" s="81">
        <v>5004</v>
      </c>
      <c r="EB5" s="82">
        <v>5004</v>
      </c>
      <c r="EE5" s="115">
        <v>1909</v>
      </c>
      <c r="EF5" s="126"/>
      <c r="EG5" s="104"/>
      <c r="EH5" s="99"/>
      <c r="EI5" s="104"/>
      <c r="EJ5" s="104"/>
      <c r="EK5" s="104"/>
      <c r="EL5" s="104"/>
      <c r="EM5" s="112">
        <v>5004</v>
      </c>
      <c r="EN5" s="104">
        <v>5004</v>
      </c>
      <c r="EO5" s="108">
        <v>5004</v>
      </c>
      <c r="EP5" s="81">
        <v>5004</v>
      </c>
      <c r="EQ5" s="81">
        <v>5004</v>
      </c>
      <c r="ER5" s="81">
        <v>5004</v>
      </c>
      <c r="ES5" s="81">
        <v>5004</v>
      </c>
      <c r="ET5" s="81">
        <v>5004</v>
      </c>
      <c r="EU5" s="81">
        <v>5004</v>
      </c>
      <c r="EV5" s="81">
        <v>5004</v>
      </c>
      <c r="EW5" s="81">
        <v>5004</v>
      </c>
      <c r="EX5" s="81">
        <v>5004</v>
      </c>
      <c r="EY5" s="81">
        <v>5004</v>
      </c>
      <c r="EZ5" s="81">
        <v>5004</v>
      </c>
      <c r="FA5" s="81">
        <v>5004</v>
      </c>
      <c r="FB5" s="82">
        <v>5004</v>
      </c>
    </row>
    <row r="6" spans="1:158" ht="15.75" x14ac:dyDescent="0.25">
      <c r="A6" s="48">
        <v>64</v>
      </c>
      <c r="B6" s="49">
        <v>0.93</v>
      </c>
      <c r="C6" s="73"/>
      <c r="D6" s="215">
        <f>D5+1</f>
        <v>1</v>
      </c>
      <c r="E6" s="216">
        <f>[1]!PBGCLRF(65+D6/12)</f>
        <v>1.0083</v>
      </c>
      <c r="F6" s="73"/>
      <c r="G6" s="147">
        <v>3</v>
      </c>
      <c r="H6" s="148">
        <v>0.4</v>
      </c>
      <c r="I6" s="153"/>
      <c r="J6" s="48">
        <v>2</v>
      </c>
      <c r="K6" s="49">
        <v>0.99</v>
      </c>
      <c r="L6" s="73"/>
      <c r="M6" s="155">
        <v>2</v>
      </c>
      <c r="N6" s="49">
        <v>1.0201</v>
      </c>
      <c r="O6" s="73"/>
      <c r="P6" s="73"/>
      <c r="Q6" s="73"/>
      <c r="R6" s="161">
        <v>0.80640000000000001</v>
      </c>
      <c r="S6" s="159">
        <v>0.80730000000000002</v>
      </c>
      <c r="T6" s="159">
        <v>0.80820000000000003</v>
      </c>
      <c r="U6" s="159">
        <v>0.80920000000000003</v>
      </c>
      <c r="V6" s="159">
        <v>0.81030000000000002</v>
      </c>
      <c r="W6" s="159">
        <v>0.81130000000000002</v>
      </c>
      <c r="X6" s="159">
        <v>0.81240000000000001</v>
      </c>
      <c r="Y6" s="159">
        <v>0.81359999999999999</v>
      </c>
      <c r="Z6" s="159">
        <v>0.81479999999999997</v>
      </c>
      <c r="AA6" s="159">
        <v>0.81610000000000005</v>
      </c>
      <c r="AB6" s="159">
        <v>0.81740000000000002</v>
      </c>
      <c r="AC6" s="159">
        <v>0.81879999999999997</v>
      </c>
      <c r="AD6" s="159">
        <v>0.82030000000000003</v>
      </c>
      <c r="AE6" s="159">
        <v>0.82179999999999997</v>
      </c>
      <c r="AF6" s="159">
        <v>0.82340000000000002</v>
      </c>
      <c r="AG6" s="159">
        <v>0.82499999999999996</v>
      </c>
      <c r="AH6" s="159">
        <v>0.82650000000000001</v>
      </c>
      <c r="AI6" s="159">
        <v>0.82799999999999996</v>
      </c>
      <c r="AJ6" s="159">
        <v>0.8296</v>
      </c>
      <c r="AK6" s="159">
        <v>0.83130000000000004</v>
      </c>
      <c r="AL6" s="159">
        <v>0.83309999999999995</v>
      </c>
      <c r="AM6" s="159">
        <v>0.83499999999999996</v>
      </c>
      <c r="AN6" s="159">
        <v>0.83699999999999997</v>
      </c>
      <c r="AO6" s="159">
        <v>0.83909999999999996</v>
      </c>
      <c r="AP6" s="159">
        <v>0.84130000000000005</v>
      </c>
      <c r="AQ6" s="159">
        <v>0.84360000000000002</v>
      </c>
      <c r="AR6" s="159">
        <v>0.84599999999999997</v>
      </c>
      <c r="AS6" s="159">
        <v>0.84850000000000003</v>
      </c>
      <c r="AT6" s="159">
        <v>0.85109999999999997</v>
      </c>
      <c r="AU6" s="159">
        <v>0.8538</v>
      </c>
      <c r="AV6" s="159">
        <v>0.85660000000000003</v>
      </c>
      <c r="AW6" s="159">
        <v>0.85950000000000004</v>
      </c>
      <c r="AX6" s="159">
        <v>0.86250000000000004</v>
      </c>
      <c r="AY6" s="159">
        <v>0.86570000000000003</v>
      </c>
      <c r="AZ6" s="159">
        <v>0.86890000000000001</v>
      </c>
      <c r="BA6" s="159">
        <v>0.87219999999999998</v>
      </c>
      <c r="BB6" s="159">
        <v>0.87560000000000004</v>
      </c>
      <c r="BC6" s="159">
        <v>0.87909999999999999</v>
      </c>
      <c r="BD6" s="159">
        <v>0.88270000000000004</v>
      </c>
      <c r="BE6" s="159">
        <v>0.88639999999999997</v>
      </c>
      <c r="BF6" s="159">
        <v>0.89019999999999999</v>
      </c>
      <c r="BG6" s="159">
        <v>0.89400000000000002</v>
      </c>
      <c r="BH6" s="159">
        <v>0.89800000000000002</v>
      </c>
      <c r="BI6" s="159">
        <v>0.90190000000000003</v>
      </c>
      <c r="BJ6" s="159">
        <v>0.90600000000000003</v>
      </c>
      <c r="BK6" s="159">
        <v>0.91010000000000002</v>
      </c>
      <c r="BL6" s="159">
        <v>0.9143</v>
      </c>
      <c r="BM6" s="159">
        <v>0.91839999999999999</v>
      </c>
      <c r="BN6" s="159">
        <v>0.92269999999999996</v>
      </c>
      <c r="BO6" s="159">
        <v>0.92689999999999995</v>
      </c>
      <c r="BP6" s="159">
        <v>0.93110000000000004</v>
      </c>
      <c r="BQ6" s="159">
        <v>0.93540000000000001</v>
      </c>
      <c r="BR6" s="159">
        <v>0.93959999999999999</v>
      </c>
      <c r="BS6" s="159">
        <v>0.94379999999999997</v>
      </c>
      <c r="BT6" s="159">
        <v>0.94799999999999995</v>
      </c>
      <c r="BU6" s="159">
        <v>0.95220000000000005</v>
      </c>
      <c r="BV6" s="159">
        <v>0.95630000000000004</v>
      </c>
      <c r="BW6" s="159">
        <v>0.96030000000000004</v>
      </c>
      <c r="BX6" s="159">
        <v>0.96430000000000005</v>
      </c>
      <c r="BY6" s="159">
        <v>0.96819999999999995</v>
      </c>
      <c r="BZ6" s="159">
        <v>0.97209999999999996</v>
      </c>
      <c r="CA6" s="159">
        <v>0.9758</v>
      </c>
      <c r="CB6" s="159">
        <v>0.97940000000000005</v>
      </c>
      <c r="CC6" s="159">
        <v>0.9829</v>
      </c>
      <c r="CD6" s="159">
        <v>0.98629999999999995</v>
      </c>
      <c r="CE6" s="159">
        <v>0.98960000000000004</v>
      </c>
      <c r="CF6" s="159">
        <v>0.99270000000000003</v>
      </c>
      <c r="CG6" s="159">
        <v>0.99570000000000003</v>
      </c>
      <c r="CH6" s="159">
        <v>0.99860000000000004</v>
      </c>
      <c r="CI6" s="159">
        <v>1.0013000000000001</v>
      </c>
      <c r="CJ6" s="159">
        <v>1.004</v>
      </c>
      <c r="CK6" s="159">
        <v>1.0064</v>
      </c>
      <c r="CL6" s="159">
        <v>1.0087999999999999</v>
      </c>
      <c r="CM6" s="159">
        <v>1.0109999999999999</v>
      </c>
      <c r="CN6" s="49">
        <v>1.0130999999999999</v>
      </c>
      <c r="CO6" s="73"/>
      <c r="CP6" s="336" t="s">
        <v>151</v>
      </c>
      <c r="CQ6" s="335"/>
      <c r="CW6" t="s">
        <v>174</v>
      </c>
      <c r="CX6" s="55">
        <f>MAX(0,CX3-200000)</f>
        <v>0</v>
      </c>
      <c r="CY6" s="52" t="s">
        <v>175</v>
      </c>
      <c r="DB6" t="s">
        <v>176</v>
      </c>
      <c r="DC6" t="s">
        <v>405</v>
      </c>
      <c r="DE6" t="s">
        <v>177</v>
      </c>
      <c r="DF6" s="57"/>
      <c r="DG6" s="226"/>
      <c r="DH6" s="57"/>
      <c r="DN6" s="85">
        <v>1910</v>
      </c>
      <c r="DO6" s="84">
        <v>5316</v>
      </c>
      <c r="DP6" s="81">
        <v>5316</v>
      </c>
      <c r="DQ6" s="81">
        <v>5316</v>
      </c>
      <c r="DR6" s="81">
        <v>5316</v>
      </c>
      <c r="DS6" s="81">
        <v>5316</v>
      </c>
      <c r="DT6" s="81">
        <v>5316</v>
      </c>
      <c r="DU6" s="81">
        <v>5316</v>
      </c>
      <c r="DV6" s="81">
        <v>5316</v>
      </c>
      <c r="DW6" s="81">
        <v>5316</v>
      </c>
      <c r="DX6" s="81">
        <v>5316</v>
      </c>
      <c r="DY6" s="81">
        <v>5316</v>
      </c>
      <c r="DZ6" s="81">
        <v>5316</v>
      </c>
      <c r="EA6" s="81">
        <v>5316</v>
      </c>
      <c r="EB6" s="82">
        <v>5316</v>
      </c>
      <c r="EE6" s="116">
        <v>1910</v>
      </c>
      <c r="EF6" s="127"/>
      <c r="EG6" s="105"/>
      <c r="EH6" s="100"/>
      <c r="EI6" s="105"/>
      <c r="EJ6" s="105"/>
      <c r="EK6" s="105"/>
      <c r="EL6" s="105"/>
      <c r="EM6" s="113">
        <v>5316</v>
      </c>
      <c r="EN6" s="105">
        <v>5316</v>
      </c>
      <c r="EO6" s="108">
        <v>5316</v>
      </c>
      <c r="EP6" s="81">
        <v>5316</v>
      </c>
      <c r="EQ6" s="81">
        <v>5316</v>
      </c>
      <c r="ER6" s="81">
        <v>5316</v>
      </c>
      <c r="ES6" s="81">
        <v>5316</v>
      </c>
      <c r="ET6" s="81">
        <v>5316</v>
      </c>
      <c r="EU6" s="81">
        <v>5316</v>
      </c>
      <c r="EV6" s="81">
        <v>5316</v>
      </c>
      <c r="EW6" s="81">
        <v>5316</v>
      </c>
      <c r="EX6" s="81">
        <v>5316</v>
      </c>
      <c r="EY6" s="81">
        <v>5316</v>
      </c>
      <c r="EZ6" s="81">
        <v>5316</v>
      </c>
      <c r="FA6" s="81">
        <v>5316</v>
      </c>
      <c r="FB6" s="82">
        <v>5316</v>
      </c>
    </row>
    <row r="7" spans="1:158" ht="15.75" x14ac:dyDescent="0.25">
      <c r="A7" s="132">
        <v>63</v>
      </c>
      <c r="B7" s="134">
        <v>0.86</v>
      </c>
      <c r="C7" s="73"/>
      <c r="D7" s="215">
        <f t="shared" ref="D7:D70" si="0">D6+1</f>
        <v>2</v>
      </c>
      <c r="E7" s="216">
        <f>[1]!PBGCLRF(65+D7/12)</f>
        <v>1.0166999999999999</v>
      </c>
      <c r="F7" s="73"/>
      <c r="G7" s="147">
        <v>4</v>
      </c>
      <c r="H7" s="148">
        <v>0.6</v>
      </c>
      <c r="I7" s="153"/>
      <c r="J7" s="48">
        <v>3</v>
      </c>
      <c r="K7" s="49">
        <v>0.98499999999999999</v>
      </c>
      <c r="L7" s="73"/>
      <c r="M7" s="155">
        <v>3</v>
      </c>
      <c r="N7" s="49">
        <v>1.0303</v>
      </c>
      <c r="O7" s="73"/>
      <c r="P7" s="73"/>
      <c r="Q7" s="73"/>
      <c r="R7" s="161">
        <v>0.79890000000000005</v>
      </c>
      <c r="S7" s="159">
        <v>0.79979999999999996</v>
      </c>
      <c r="T7" s="159">
        <v>0.80079999999999996</v>
      </c>
      <c r="U7" s="159">
        <v>0.80179999999999996</v>
      </c>
      <c r="V7" s="159">
        <v>0.80279999999999996</v>
      </c>
      <c r="W7" s="159">
        <v>0.80389999999999995</v>
      </c>
      <c r="X7" s="159">
        <v>0.80500000000000005</v>
      </c>
      <c r="Y7" s="159">
        <v>0.80620000000000003</v>
      </c>
      <c r="Z7" s="159">
        <v>0.80740000000000001</v>
      </c>
      <c r="AA7" s="159">
        <v>0.80869999999999997</v>
      </c>
      <c r="AB7" s="159">
        <v>0.81010000000000004</v>
      </c>
      <c r="AC7" s="159">
        <v>0.8115</v>
      </c>
      <c r="AD7" s="159">
        <v>0.81289999999999996</v>
      </c>
      <c r="AE7" s="159">
        <v>0.81440000000000001</v>
      </c>
      <c r="AF7" s="159">
        <v>0.81599999999999995</v>
      </c>
      <c r="AG7" s="159">
        <v>0.81769999999999998</v>
      </c>
      <c r="AH7" s="159">
        <v>0.81910000000000005</v>
      </c>
      <c r="AI7" s="159">
        <v>0.82069999999999999</v>
      </c>
      <c r="AJ7" s="159">
        <v>0.82230000000000003</v>
      </c>
      <c r="AK7" s="159">
        <v>0.82410000000000005</v>
      </c>
      <c r="AL7" s="159">
        <v>0.82589999999999997</v>
      </c>
      <c r="AM7" s="159">
        <v>0.82779999999999998</v>
      </c>
      <c r="AN7" s="159">
        <v>0.82979999999999998</v>
      </c>
      <c r="AO7" s="159">
        <v>0.83189999999999997</v>
      </c>
      <c r="AP7" s="159">
        <v>0.83409999999999995</v>
      </c>
      <c r="AQ7" s="159">
        <v>0.83640000000000003</v>
      </c>
      <c r="AR7" s="159">
        <v>0.83889999999999998</v>
      </c>
      <c r="AS7" s="159">
        <v>0.84140000000000004</v>
      </c>
      <c r="AT7" s="159">
        <v>0.84399999999999997</v>
      </c>
      <c r="AU7" s="159">
        <v>0.8468</v>
      </c>
      <c r="AV7" s="159">
        <v>0.84960000000000002</v>
      </c>
      <c r="AW7" s="159">
        <v>0.85260000000000002</v>
      </c>
      <c r="AX7" s="159">
        <v>0.85570000000000002</v>
      </c>
      <c r="AY7" s="159">
        <v>0.8589</v>
      </c>
      <c r="AZ7" s="159">
        <v>0.86219999999999997</v>
      </c>
      <c r="BA7" s="159">
        <v>0.86560000000000004</v>
      </c>
      <c r="BB7" s="159">
        <v>0.86909999999999998</v>
      </c>
      <c r="BC7" s="159">
        <v>0.87270000000000003</v>
      </c>
      <c r="BD7" s="159">
        <v>0.87639999999999996</v>
      </c>
      <c r="BE7" s="159">
        <v>0.88009999999999999</v>
      </c>
      <c r="BF7" s="159">
        <v>0.88400000000000001</v>
      </c>
      <c r="BG7" s="159">
        <v>0.88800000000000001</v>
      </c>
      <c r="BH7" s="159">
        <v>0.8921</v>
      </c>
      <c r="BI7" s="159">
        <v>0.8962</v>
      </c>
      <c r="BJ7" s="159">
        <v>0.90039999999999998</v>
      </c>
      <c r="BK7" s="159">
        <v>0.90469999999999995</v>
      </c>
      <c r="BL7" s="159">
        <v>0.90900000000000003</v>
      </c>
      <c r="BM7" s="159">
        <v>0.9133</v>
      </c>
      <c r="BN7" s="159">
        <v>0.91779999999999995</v>
      </c>
      <c r="BO7" s="159">
        <v>0.92220000000000002</v>
      </c>
      <c r="BP7" s="159">
        <v>0.92659999999999998</v>
      </c>
      <c r="BQ7" s="159">
        <v>0.93110000000000004</v>
      </c>
      <c r="BR7" s="159">
        <v>0.93559999999999999</v>
      </c>
      <c r="BS7" s="159">
        <v>0.94</v>
      </c>
      <c r="BT7" s="159">
        <v>0.94450000000000001</v>
      </c>
      <c r="BU7" s="159">
        <v>0.94889999999999997</v>
      </c>
      <c r="BV7" s="159">
        <v>0.95320000000000005</v>
      </c>
      <c r="BW7" s="159">
        <v>0.95760000000000001</v>
      </c>
      <c r="BX7" s="159">
        <v>0.96179999999999999</v>
      </c>
      <c r="BY7" s="159">
        <v>0.96599999999999997</v>
      </c>
      <c r="BZ7" s="159">
        <v>0.97009999999999996</v>
      </c>
      <c r="CA7" s="159">
        <v>0.97409999999999997</v>
      </c>
      <c r="CB7" s="159">
        <v>0.97799999999999998</v>
      </c>
      <c r="CC7" s="159">
        <v>0.98180000000000001</v>
      </c>
      <c r="CD7" s="159">
        <v>0.98550000000000004</v>
      </c>
      <c r="CE7" s="159">
        <v>0.98899999999999999</v>
      </c>
      <c r="CF7" s="159">
        <v>0.99239999999999995</v>
      </c>
      <c r="CG7" s="159">
        <v>0.99570000000000003</v>
      </c>
      <c r="CH7" s="159">
        <v>0.99880000000000002</v>
      </c>
      <c r="CI7" s="159">
        <v>1.0018</v>
      </c>
      <c r="CJ7" s="159">
        <v>1.0046999999999999</v>
      </c>
      <c r="CK7" s="159">
        <v>1.0074000000000001</v>
      </c>
      <c r="CL7" s="159">
        <v>1.01</v>
      </c>
      <c r="CM7" s="159">
        <v>1.0124</v>
      </c>
      <c r="CN7" s="49">
        <v>1.0146999999999999</v>
      </c>
      <c r="CO7" s="73"/>
      <c r="CP7" s="41">
        <v>0.03</v>
      </c>
      <c r="CQ7">
        <v>0.05</v>
      </c>
      <c r="CS7" s="40">
        <v>40026</v>
      </c>
      <c r="CU7" s="37" t="s">
        <v>178</v>
      </c>
      <c r="CV7" s="37"/>
      <c r="CW7" t="s">
        <v>179</v>
      </c>
      <c r="CX7" s="41">
        <f>Initial_Annuity_Interest_Rate</f>
        <v>5.3100000000000001E-2</v>
      </c>
      <c r="CY7" s="52" t="s">
        <v>180</v>
      </c>
      <c r="DF7" s="57"/>
      <c r="DG7" s="226"/>
      <c r="DH7" s="57"/>
      <c r="DN7" s="80">
        <v>1911</v>
      </c>
      <c r="DO7" s="84">
        <v>5664</v>
      </c>
      <c r="DP7" s="81">
        <v>5664</v>
      </c>
      <c r="DQ7" s="81">
        <v>5664</v>
      </c>
      <c r="DR7" s="81">
        <v>5664</v>
      </c>
      <c r="DS7" s="81">
        <v>5664</v>
      </c>
      <c r="DT7" s="81">
        <v>5664</v>
      </c>
      <c r="DU7" s="81">
        <v>5664</v>
      </c>
      <c r="DV7" s="81">
        <v>5664</v>
      </c>
      <c r="DW7" s="81">
        <v>5664</v>
      </c>
      <c r="DX7" s="81">
        <v>5664</v>
      </c>
      <c r="DY7" s="81">
        <v>5664</v>
      </c>
      <c r="DZ7" s="81">
        <v>5664</v>
      </c>
      <c r="EA7" s="81">
        <v>5664</v>
      </c>
      <c r="EB7" s="82">
        <v>5664</v>
      </c>
      <c r="EE7" s="88">
        <v>1911</v>
      </c>
      <c r="EF7" s="125"/>
      <c r="EG7" s="103"/>
      <c r="EH7" s="98"/>
      <c r="EI7" s="103"/>
      <c r="EJ7" s="103"/>
      <c r="EK7" s="103"/>
      <c r="EL7" s="103"/>
      <c r="EM7" s="111">
        <v>5664</v>
      </c>
      <c r="EN7" s="103">
        <v>5664</v>
      </c>
      <c r="EO7" s="108">
        <v>5664</v>
      </c>
      <c r="EP7" s="81">
        <v>5664</v>
      </c>
      <c r="EQ7" s="81">
        <v>5664</v>
      </c>
      <c r="ER7" s="81">
        <v>5664</v>
      </c>
      <c r="ES7" s="81">
        <v>5664</v>
      </c>
      <c r="ET7" s="81">
        <v>5664</v>
      </c>
      <c r="EU7" s="81">
        <v>5664</v>
      </c>
      <c r="EV7" s="81">
        <v>5664</v>
      </c>
      <c r="EW7" s="81">
        <v>5664</v>
      </c>
      <c r="EX7" s="81">
        <v>5664</v>
      </c>
      <c r="EY7" s="81">
        <v>5664</v>
      </c>
      <c r="EZ7" s="81">
        <v>5664</v>
      </c>
      <c r="FA7" s="81">
        <v>5664</v>
      </c>
      <c r="FB7" s="82">
        <v>5664</v>
      </c>
    </row>
    <row r="8" spans="1:158" ht="15.75" x14ac:dyDescent="0.25">
      <c r="A8" s="48">
        <v>62</v>
      </c>
      <c r="B8" s="49">
        <v>0.79</v>
      </c>
      <c r="C8" s="73"/>
      <c r="D8" s="215">
        <f t="shared" si="0"/>
        <v>3</v>
      </c>
      <c r="E8" s="216">
        <f>[1]!PBGCLRF(65+D8/12)</f>
        <v>1.0249999999999999</v>
      </c>
      <c r="F8" s="73"/>
      <c r="G8" s="147">
        <v>5</v>
      </c>
      <c r="H8" s="148">
        <v>0.8</v>
      </c>
      <c r="I8" s="153"/>
      <c r="J8" s="48">
        <v>4</v>
      </c>
      <c r="K8" s="49">
        <v>0.98</v>
      </c>
      <c r="L8" s="73"/>
      <c r="M8" s="155">
        <v>4</v>
      </c>
      <c r="N8" s="49">
        <v>1.0406</v>
      </c>
      <c r="O8" s="73"/>
      <c r="P8" s="73"/>
      <c r="Q8" s="73"/>
      <c r="R8" s="161">
        <v>0.79139999999999999</v>
      </c>
      <c r="S8" s="159">
        <v>0.7923</v>
      </c>
      <c r="T8" s="159">
        <v>0.79330000000000001</v>
      </c>
      <c r="U8" s="159">
        <v>0.79430000000000001</v>
      </c>
      <c r="V8" s="159">
        <v>0.79530000000000001</v>
      </c>
      <c r="W8" s="159">
        <v>0.7964</v>
      </c>
      <c r="X8" s="159">
        <v>0.79759999999999998</v>
      </c>
      <c r="Y8" s="159">
        <v>0.79869999999999997</v>
      </c>
      <c r="Z8" s="159">
        <v>0.8</v>
      </c>
      <c r="AA8" s="159">
        <v>0.80130000000000001</v>
      </c>
      <c r="AB8" s="159">
        <v>0.80259999999999998</v>
      </c>
      <c r="AC8" s="159">
        <v>0.80400000000000005</v>
      </c>
      <c r="AD8" s="159">
        <v>0.80549999999999999</v>
      </c>
      <c r="AE8" s="159">
        <v>0.80700000000000005</v>
      </c>
      <c r="AF8" s="159">
        <v>0.80859999999999999</v>
      </c>
      <c r="AG8" s="159">
        <v>0.81030000000000002</v>
      </c>
      <c r="AH8" s="159">
        <v>0.81179999999999997</v>
      </c>
      <c r="AI8" s="159">
        <v>0.81330000000000002</v>
      </c>
      <c r="AJ8" s="159">
        <v>0.81499999999999995</v>
      </c>
      <c r="AK8" s="159">
        <v>0.81669999999999998</v>
      </c>
      <c r="AL8" s="159">
        <v>0.81850000000000001</v>
      </c>
      <c r="AM8" s="159">
        <v>0.82050000000000001</v>
      </c>
      <c r="AN8" s="159">
        <v>0.82250000000000001</v>
      </c>
      <c r="AO8" s="159">
        <v>0.8246</v>
      </c>
      <c r="AP8" s="159">
        <v>0.82689999999999997</v>
      </c>
      <c r="AQ8" s="159">
        <v>0.82920000000000005</v>
      </c>
      <c r="AR8" s="159">
        <v>0.83160000000000001</v>
      </c>
      <c r="AS8" s="159">
        <v>0.83420000000000005</v>
      </c>
      <c r="AT8" s="159">
        <v>0.83689999999999998</v>
      </c>
      <c r="AU8" s="159">
        <v>0.8397</v>
      </c>
      <c r="AV8" s="159">
        <v>0.84260000000000002</v>
      </c>
      <c r="AW8" s="159">
        <v>0.84560000000000002</v>
      </c>
      <c r="AX8" s="159">
        <v>0.84870000000000001</v>
      </c>
      <c r="AY8" s="159">
        <v>0.85199999999999998</v>
      </c>
      <c r="AZ8" s="159">
        <v>0.85529999999999995</v>
      </c>
      <c r="BA8" s="159">
        <v>0.85880000000000001</v>
      </c>
      <c r="BB8" s="159">
        <v>0.86240000000000006</v>
      </c>
      <c r="BC8" s="159">
        <v>0.86609999999999998</v>
      </c>
      <c r="BD8" s="159">
        <v>0.86990000000000001</v>
      </c>
      <c r="BE8" s="159">
        <v>0.87380000000000002</v>
      </c>
      <c r="BF8" s="159">
        <v>0.87780000000000002</v>
      </c>
      <c r="BG8" s="159">
        <v>0.88190000000000002</v>
      </c>
      <c r="BH8" s="159">
        <v>0.88600000000000001</v>
      </c>
      <c r="BI8" s="159">
        <v>0.89029999999999998</v>
      </c>
      <c r="BJ8" s="159">
        <v>0.89470000000000005</v>
      </c>
      <c r="BK8" s="159">
        <v>0.89910000000000001</v>
      </c>
      <c r="BL8" s="159">
        <v>0.90359999999999996</v>
      </c>
      <c r="BM8" s="159">
        <v>0.90810000000000002</v>
      </c>
      <c r="BN8" s="159">
        <v>0.91269999999999996</v>
      </c>
      <c r="BO8" s="159">
        <v>0.91739999999999999</v>
      </c>
      <c r="BP8" s="159">
        <v>0.92200000000000004</v>
      </c>
      <c r="BQ8" s="159">
        <v>0.92669999999999997</v>
      </c>
      <c r="BR8" s="159">
        <v>0.93140000000000001</v>
      </c>
      <c r="BS8" s="159">
        <v>0.93610000000000004</v>
      </c>
      <c r="BT8" s="159">
        <v>0.94079999999999997</v>
      </c>
      <c r="BU8" s="159">
        <v>0.94550000000000001</v>
      </c>
      <c r="BV8" s="159">
        <v>0.95009999999999994</v>
      </c>
      <c r="BW8" s="159">
        <v>0.95469999999999999</v>
      </c>
      <c r="BX8" s="159">
        <v>0.95920000000000005</v>
      </c>
      <c r="BY8" s="159">
        <v>0.9637</v>
      </c>
      <c r="BZ8" s="159">
        <v>0.96809999999999996</v>
      </c>
      <c r="CA8" s="159">
        <v>0.97240000000000004</v>
      </c>
      <c r="CB8" s="159">
        <v>0.97660000000000002</v>
      </c>
      <c r="CC8" s="159">
        <v>0.98070000000000002</v>
      </c>
      <c r="CD8" s="159">
        <v>0.98470000000000002</v>
      </c>
      <c r="CE8" s="159">
        <v>0.98850000000000005</v>
      </c>
      <c r="CF8" s="159">
        <v>0.99219999999999997</v>
      </c>
      <c r="CG8" s="159">
        <v>0.99570000000000003</v>
      </c>
      <c r="CH8" s="159">
        <v>0.99909999999999999</v>
      </c>
      <c r="CI8" s="159">
        <v>1.0024</v>
      </c>
      <c r="CJ8" s="159">
        <v>1.0055000000000001</v>
      </c>
      <c r="CK8" s="159">
        <v>1.0085</v>
      </c>
      <c r="CL8" s="159">
        <v>1.0114000000000001</v>
      </c>
      <c r="CM8" s="159">
        <v>1.0141</v>
      </c>
      <c r="CN8" s="49">
        <v>1.0165999999999999</v>
      </c>
      <c r="CO8" s="73"/>
      <c r="CP8" s="41">
        <v>1.04</v>
      </c>
      <c r="CQ8">
        <v>7</v>
      </c>
      <c r="CW8" t="s">
        <v>181</v>
      </c>
      <c r="CX8" s="58">
        <f>ROUND(0.01+(CX7-0.075)/10,4)</f>
        <v>7.7999999999999996E-3</v>
      </c>
      <c r="CY8" s="52" t="s">
        <v>182</v>
      </c>
      <c r="DC8" t="s">
        <v>458</v>
      </c>
      <c r="DD8">
        <f>DCOUNT(Active_Vesteds,"PVPBL_ANN_RATES",All_Criteria)</f>
        <v>0</v>
      </c>
      <c r="DE8" t="s">
        <v>177</v>
      </c>
      <c r="DF8" s="57">
        <f>DSUM(Active_Vesteds,"PVMB_TITLE_IV_NO_LOAD",All_Criteria)</f>
        <v>0</v>
      </c>
      <c r="DG8" s="226">
        <f>DSUM(Active_Vesteds,"TITLE_IV_LOAD",All_Criteria)</f>
        <v>0</v>
      </c>
      <c r="DH8" s="57">
        <f t="shared" ref="DH8:DH9" si="1">DF8 + DG8</f>
        <v>0</v>
      </c>
      <c r="DN8" s="80">
        <v>1912</v>
      </c>
      <c r="DO8" s="84">
        <v>6060</v>
      </c>
      <c r="DP8" s="81">
        <v>6060</v>
      </c>
      <c r="DQ8" s="81">
        <v>6060</v>
      </c>
      <c r="DR8" s="81">
        <v>6060</v>
      </c>
      <c r="DS8" s="81">
        <v>6060</v>
      </c>
      <c r="DT8" s="81">
        <v>6060</v>
      </c>
      <c r="DU8" s="81">
        <v>6060</v>
      </c>
      <c r="DV8" s="81">
        <v>6060</v>
      </c>
      <c r="DW8" s="81">
        <v>6060</v>
      </c>
      <c r="DX8" s="81">
        <v>6060</v>
      </c>
      <c r="DY8" s="81">
        <v>6060</v>
      </c>
      <c r="DZ8" s="81">
        <v>6060</v>
      </c>
      <c r="EA8" s="81">
        <v>6060</v>
      </c>
      <c r="EB8" s="82">
        <v>6060</v>
      </c>
      <c r="EE8" s="88">
        <v>1912</v>
      </c>
      <c r="EF8" s="125"/>
      <c r="EG8" s="103"/>
      <c r="EH8" s="98"/>
      <c r="EI8" s="103"/>
      <c r="EJ8" s="103"/>
      <c r="EK8" s="103"/>
      <c r="EL8" s="103"/>
      <c r="EM8" s="111">
        <v>6060</v>
      </c>
      <c r="EN8" s="103">
        <v>6060</v>
      </c>
      <c r="EO8" s="108">
        <v>6060</v>
      </c>
      <c r="EP8" s="81">
        <v>6060</v>
      </c>
      <c r="EQ8" s="81">
        <v>6060</v>
      </c>
      <c r="ER8" s="81">
        <v>6060</v>
      </c>
      <c r="ES8" s="81">
        <v>6060</v>
      </c>
      <c r="ET8" s="81">
        <v>6060</v>
      </c>
      <c r="EU8" s="81">
        <v>6060</v>
      </c>
      <c r="EV8" s="81">
        <v>6060</v>
      </c>
      <c r="EW8" s="81">
        <v>6060</v>
      </c>
      <c r="EX8" s="81">
        <v>6060</v>
      </c>
      <c r="EY8" s="81">
        <v>6060</v>
      </c>
      <c r="EZ8" s="81">
        <v>6060</v>
      </c>
      <c r="FA8" s="81">
        <v>6060</v>
      </c>
      <c r="FB8" s="82">
        <v>6060</v>
      </c>
    </row>
    <row r="9" spans="1:158" ht="16.5" thickBot="1" x14ac:dyDescent="0.3">
      <c r="A9" s="132">
        <v>61</v>
      </c>
      <c r="B9" s="134">
        <v>0.72</v>
      </c>
      <c r="C9" s="73"/>
      <c r="D9" s="215">
        <f t="shared" si="0"/>
        <v>4</v>
      </c>
      <c r="E9" s="216">
        <f>[1]!PBGCLRF(65+D9/12)</f>
        <v>1.0333000000000001</v>
      </c>
      <c r="F9" s="73"/>
      <c r="G9" s="149">
        <v>6</v>
      </c>
      <c r="H9" s="150">
        <v>1</v>
      </c>
      <c r="I9" s="153"/>
      <c r="J9" s="48">
        <v>5</v>
      </c>
      <c r="K9" s="49">
        <v>0.97499999999999998</v>
      </c>
      <c r="L9" s="73"/>
      <c r="M9" s="155">
        <v>5</v>
      </c>
      <c r="N9" s="49">
        <v>1.0509999999999999</v>
      </c>
      <c r="O9" s="73"/>
      <c r="P9" s="73"/>
      <c r="Q9" s="73"/>
      <c r="R9" s="161">
        <v>0.78390000000000004</v>
      </c>
      <c r="S9" s="159">
        <v>0.78480000000000005</v>
      </c>
      <c r="T9" s="159">
        <v>0.78569999999999995</v>
      </c>
      <c r="U9" s="159">
        <v>0.78669999999999995</v>
      </c>
      <c r="V9" s="159">
        <v>0.78779999999999994</v>
      </c>
      <c r="W9" s="159">
        <v>0.78890000000000005</v>
      </c>
      <c r="X9" s="159">
        <v>0.79</v>
      </c>
      <c r="Y9" s="159">
        <v>0.79120000000000001</v>
      </c>
      <c r="Z9" s="159">
        <v>0.79249999999999998</v>
      </c>
      <c r="AA9" s="159">
        <v>0.79379999999999995</v>
      </c>
      <c r="AB9" s="159">
        <v>0.79510000000000003</v>
      </c>
      <c r="AC9" s="159">
        <v>0.79649999999999999</v>
      </c>
      <c r="AD9" s="159">
        <v>0.79800000000000004</v>
      </c>
      <c r="AE9" s="159">
        <v>0.79959999999999998</v>
      </c>
      <c r="AF9" s="159">
        <v>0.80120000000000002</v>
      </c>
      <c r="AG9" s="159">
        <v>0.80289999999999995</v>
      </c>
      <c r="AH9" s="159">
        <v>0.80430000000000001</v>
      </c>
      <c r="AI9" s="159">
        <v>0.80589999999999995</v>
      </c>
      <c r="AJ9" s="159">
        <v>0.80759999999999998</v>
      </c>
      <c r="AK9" s="159">
        <v>0.80930000000000002</v>
      </c>
      <c r="AL9" s="159">
        <v>0.81110000000000004</v>
      </c>
      <c r="AM9" s="159">
        <v>0.81310000000000004</v>
      </c>
      <c r="AN9" s="159">
        <v>0.81510000000000005</v>
      </c>
      <c r="AO9" s="159">
        <v>0.81730000000000003</v>
      </c>
      <c r="AP9" s="159">
        <v>0.81950000000000001</v>
      </c>
      <c r="AQ9" s="159">
        <v>0.82189999999999996</v>
      </c>
      <c r="AR9" s="159">
        <v>0.82440000000000002</v>
      </c>
      <c r="AS9" s="159">
        <v>0.82699999999999996</v>
      </c>
      <c r="AT9" s="159">
        <v>0.82969999999999999</v>
      </c>
      <c r="AU9" s="159">
        <v>0.83250000000000002</v>
      </c>
      <c r="AV9" s="159">
        <v>0.83550000000000002</v>
      </c>
      <c r="AW9" s="159">
        <v>0.83850000000000002</v>
      </c>
      <c r="AX9" s="159">
        <v>0.8417</v>
      </c>
      <c r="AY9" s="159">
        <v>0.84499999999999997</v>
      </c>
      <c r="AZ9" s="159">
        <v>0.84840000000000004</v>
      </c>
      <c r="BA9" s="159">
        <v>0.85199999999999998</v>
      </c>
      <c r="BB9" s="159">
        <v>0.85560000000000003</v>
      </c>
      <c r="BC9" s="159">
        <v>0.85940000000000005</v>
      </c>
      <c r="BD9" s="159">
        <v>0.86329999999999996</v>
      </c>
      <c r="BE9" s="159">
        <v>0.86729999999999996</v>
      </c>
      <c r="BF9" s="159">
        <v>0.87139999999999995</v>
      </c>
      <c r="BG9" s="159">
        <v>0.87560000000000004</v>
      </c>
      <c r="BH9" s="159">
        <v>0.87990000000000002</v>
      </c>
      <c r="BI9" s="159">
        <v>0.88439999999999996</v>
      </c>
      <c r="BJ9" s="159">
        <v>0.88890000000000002</v>
      </c>
      <c r="BK9" s="159">
        <v>0.89339999999999997</v>
      </c>
      <c r="BL9" s="159">
        <v>0.89810000000000001</v>
      </c>
      <c r="BM9" s="159">
        <v>0.90280000000000005</v>
      </c>
      <c r="BN9" s="159">
        <v>0.90759999999999996</v>
      </c>
      <c r="BO9" s="159">
        <v>0.91249999999999998</v>
      </c>
      <c r="BP9" s="159">
        <v>0.91739999999999999</v>
      </c>
      <c r="BQ9" s="159">
        <v>0.92230000000000001</v>
      </c>
      <c r="BR9" s="159">
        <v>0.92720000000000002</v>
      </c>
      <c r="BS9" s="159">
        <v>0.93210000000000004</v>
      </c>
      <c r="BT9" s="159">
        <v>0.93710000000000004</v>
      </c>
      <c r="BU9" s="159">
        <v>0.94199999999999995</v>
      </c>
      <c r="BV9" s="159">
        <v>0.94689999999999996</v>
      </c>
      <c r="BW9" s="159">
        <v>0.95179999999999998</v>
      </c>
      <c r="BX9" s="159">
        <v>0.95660000000000001</v>
      </c>
      <c r="BY9" s="159">
        <v>0.96140000000000003</v>
      </c>
      <c r="BZ9" s="159">
        <v>0.96609999999999996</v>
      </c>
      <c r="CA9" s="159">
        <v>0.97070000000000001</v>
      </c>
      <c r="CB9" s="159">
        <v>0.97519999999999996</v>
      </c>
      <c r="CC9" s="159">
        <v>0.97960000000000003</v>
      </c>
      <c r="CD9" s="159">
        <v>0.9839</v>
      </c>
      <c r="CE9" s="159">
        <v>0.98799999999999999</v>
      </c>
      <c r="CF9" s="159">
        <v>0.99199999999999999</v>
      </c>
      <c r="CG9" s="159">
        <v>0.99590000000000001</v>
      </c>
      <c r="CH9" s="159">
        <v>0.99960000000000004</v>
      </c>
      <c r="CI9" s="159">
        <v>1.0031000000000001</v>
      </c>
      <c r="CJ9" s="159">
        <v>1.0065999999999999</v>
      </c>
      <c r="CK9" s="159">
        <v>1.0098</v>
      </c>
      <c r="CL9" s="159">
        <v>1.0128999999999999</v>
      </c>
      <c r="CM9" s="159">
        <v>1.0159</v>
      </c>
      <c r="CN9" s="49">
        <v>1.0186999999999999</v>
      </c>
      <c r="CO9" s="73"/>
      <c r="CP9" s="41">
        <v>1.04</v>
      </c>
      <c r="CQ9">
        <v>8</v>
      </c>
      <c r="CS9" s="37" t="s">
        <v>280</v>
      </c>
      <c r="CU9" t="s">
        <v>3</v>
      </c>
      <c r="CW9" t="s">
        <v>183</v>
      </c>
      <c r="CX9" s="53">
        <f>ROUND(CX6*CX8,0)</f>
        <v>0</v>
      </c>
      <c r="CY9" s="52" t="s">
        <v>184</v>
      </c>
      <c r="DC9" t="s">
        <v>429</v>
      </c>
      <c r="DD9">
        <f>DCOUNT(Separated_Vesteds,"PVPBL_ANN_RATES",All_Criteria)</f>
        <v>0</v>
      </c>
      <c r="DE9" t="s">
        <v>177</v>
      </c>
      <c r="DF9" s="57">
        <f>DSUM(Separated_Vesteds,"PVMB_TITLE_IV_NO_LOAD",All_Criteria)</f>
        <v>0</v>
      </c>
      <c r="DG9" s="226">
        <f>DSUM(Separated_Vesteds,"TITLE_IV_LOAD",All_Criteria)</f>
        <v>0</v>
      </c>
      <c r="DH9" s="57">
        <f t="shared" si="1"/>
        <v>0</v>
      </c>
      <c r="DN9" s="80">
        <v>1913</v>
      </c>
      <c r="DO9" s="84">
        <v>6480</v>
      </c>
      <c r="DP9" s="81">
        <v>6480</v>
      </c>
      <c r="DQ9" s="81">
        <v>6480</v>
      </c>
      <c r="DR9" s="81">
        <v>6480</v>
      </c>
      <c r="DS9" s="81">
        <v>6480</v>
      </c>
      <c r="DT9" s="81">
        <v>6480</v>
      </c>
      <c r="DU9" s="81">
        <v>6480</v>
      </c>
      <c r="DV9" s="81">
        <v>6480</v>
      </c>
      <c r="DW9" s="81">
        <v>6480</v>
      </c>
      <c r="DX9" s="81">
        <v>6480</v>
      </c>
      <c r="DY9" s="81">
        <v>6480</v>
      </c>
      <c r="DZ9" s="81">
        <v>6480</v>
      </c>
      <c r="EA9" s="81">
        <v>6480</v>
      </c>
      <c r="EB9" s="82">
        <v>6480</v>
      </c>
      <c r="EE9" s="88">
        <v>1913</v>
      </c>
      <c r="EF9" s="125"/>
      <c r="EG9" s="103"/>
      <c r="EH9" s="98"/>
      <c r="EI9" s="103"/>
      <c r="EJ9" s="103"/>
      <c r="EK9" s="103"/>
      <c r="EL9" s="103"/>
      <c r="EM9" s="111">
        <v>6480</v>
      </c>
      <c r="EN9" s="103">
        <v>6480</v>
      </c>
      <c r="EO9" s="108">
        <v>6480</v>
      </c>
      <c r="EP9" s="81">
        <v>6480</v>
      </c>
      <c r="EQ9" s="81">
        <v>6480</v>
      </c>
      <c r="ER9" s="81">
        <v>6480</v>
      </c>
      <c r="ES9" s="81">
        <v>6480</v>
      </c>
      <c r="ET9" s="81">
        <v>6480</v>
      </c>
      <c r="EU9" s="81">
        <v>6480</v>
      </c>
      <c r="EV9" s="81">
        <v>6480</v>
      </c>
      <c r="EW9" s="81">
        <v>6480</v>
      </c>
      <c r="EX9" s="81">
        <v>6480</v>
      </c>
      <c r="EY9" s="81">
        <v>6480</v>
      </c>
      <c r="EZ9" s="81">
        <v>6480</v>
      </c>
      <c r="FA9" s="81">
        <v>6480</v>
      </c>
      <c r="FB9" s="82">
        <v>6480</v>
      </c>
    </row>
    <row r="10" spans="1:158" ht="15.75" x14ac:dyDescent="0.25">
      <c r="A10" s="48">
        <v>60</v>
      </c>
      <c r="B10" s="49">
        <v>0.65</v>
      </c>
      <c r="C10" s="73"/>
      <c r="D10" s="215">
        <f t="shared" si="0"/>
        <v>5</v>
      </c>
      <c r="E10" s="216">
        <f>[1]!PBGCLRF(65+D10/12)</f>
        <v>1.0417000000000001</v>
      </c>
      <c r="F10" s="73"/>
      <c r="G10" s="73"/>
      <c r="H10" s="73"/>
      <c r="I10" s="73"/>
      <c r="J10" s="48">
        <v>6</v>
      </c>
      <c r="K10" s="49">
        <v>0.97</v>
      </c>
      <c r="L10" s="73"/>
      <c r="M10" s="155">
        <v>6</v>
      </c>
      <c r="N10" s="49">
        <v>1.0615000000000001</v>
      </c>
      <c r="O10" s="73"/>
      <c r="P10" s="73"/>
      <c r="Q10" s="73"/>
      <c r="R10" s="161">
        <v>0.77629999999999999</v>
      </c>
      <c r="S10" s="159">
        <v>0.7772</v>
      </c>
      <c r="T10" s="159">
        <v>0.7782</v>
      </c>
      <c r="U10" s="159">
        <v>0.7792</v>
      </c>
      <c r="V10" s="159">
        <v>0.7802</v>
      </c>
      <c r="W10" s="159">
        <v>0.78129999999999999</v>
      </c>
      <c r="X10" s="159">
        <v>0.78249999999999997</v>
      </c>
      <c r="Y10" s="159">
        <v>0.78369999999999995</v>
      </c>
      <c r="Z10" s="159">
        <v>0.78490000000000004</v>
      </c>
      <c r="AA10" s="159">
        <v>0.7863</v>
      </c>
      <c r="AB10" s="159">
        <v>0.78759999999999997</v>
      </c>
      <c r="AC10" s="159">
        <v>0.78900000000000003</v>
      </c>
      <c r="AD10" s="159">
        <v>0.79049999999999998</v>
      </c>
      <c r="AE10" s="159">
        <v>0.79210000000000003</v>
      </c>
      <c r="AF10" s="159">
        <v>0.79369999999999996</v>
      </c>
      <c r="AG10" s="159">
        <v>0.7954</v>
      </c>
      <c r="AH10" s="159">
        <v>0.79690000000000005</v>
      </c>
      <c r="AI10" s="159">
        <v>0.79849999999999999</v>
      </c>
      <c r="AJ10" s="159">
        <v>0.80010000000000003</v>
      </c>
      <c r="AK10" s="159">
        <v>0.80189999999999995</v>
      </c>
      <c r="AL10" s="159">
        <v>0.80369999999999997</v>
      </c>
      <c r="AM10" s="159">
        <v>0.80569999999999997</v>
      </c>
      <c r="AN10" s="159">
        <v>0.80769999999999997</v>
      </c>
      <c r="AO10" s="159">
        <v>0.80989999999999995</v>
      </c>
      <c r="AP10" s="159">
        <v>0.81220000000000003</v>
      </c>
      <c r="AQ10" s="159">
        <v>0.81459999999999999</v>
      </c>
      <c r="AR10" s="159">
        <v>0.81710000000000005</v>
      </c>
      <c r="AS10" s="159">
        <v>0.81969999999999998</v>
      </c>
      <c r="AT10" s="159">
        <v>0.82240000000000002</v>
      </c>
      <c r="AU10" s="159">
        <v>0.82530000000000003</v>
      </c>
      <c r="AV10" s="159">
        <v>0.82830000000000004</v>
      </c>
      <c r="AW10" s="159">
        <v>0.83140000000000003</v>
      </c>
      <c r="AX10" s="159">
        <v>0.83460000000000001</v>
      </c>
      <c r="AY10" s="159">
        <v>0.83799999999999997</v>
      </c>
      <c r="AZ10" s="159">
        <v>0.84150000000000003</v>
      </c>
      <c r="BA10" s="159">
        <v>0.84509999999999996</v>
      </c>
      <c r="BB10" s="159">
        <v>0.84889999999999999</v>
      </c>
      <c r="BC10" s="159">
        <v>0.85270000000000001</v>
      </c>
      <c r="BD10" s="159">
        <v>0.85670000000000002</v>
      </c>
      <c r="BE10" s="159">
        <v>0.86080000000000001</v>
      </c>
      <c r="BF10" s="159">
        <v>0.86499999999999999</v>
      </c>
      <c r="BG10" s="159">
        <v>0.86929999999999996</v>
      </c>
      <c r="BH10" s="159">
        <v>0.87380000000000002</v>
      </c>
      <c r="BI10" s="159">
        <v>0.87829999999999997</v>
      </c>
      <c r="BJ10" s="159">
        <v>0.88300000000000001</v>
      </c>
      <c r="BK10" s="159">
        <v>0.88770000000000004</v>
      </c>
      <c r="BL10" s="159">
        <v>0.89259999999999995</v>
      </c>
      <c r="BM10" s="159">
        <v>0.89749999999999996</v>
      </c>
      <c r="BN10" s="159">
        <v>0.90239999999999998</v>
      </c>
      <c r="BO10" s="159">
        <v>0.90749999999999997</v>
      </c>
      <c r="BP10" s="159">
        <v>0.91259999999999997</v>
      </c>
      <c r="BQ10" s="159">
        <v>0.91769999999999996</v>
      </c>
      <c r="BR10" s="159">
        <v>0.92290000000000005</v>
      </c>
      <c r="BS10" s="159">
        <v>0.92810000000000004</v>
      </c>
      <c r="BT10" s="159">
        <v>0.93330000000000002</v>
      </c>
      <c r="BU10" s="159">
        <v>0.9385</v>
      </c>
      <c r="BV10" s="159">
        <v>0.94369999999999998</v>
      </c>
      <c r="BW10" s="159">
        <v>0.94889999999999997</v>
      </c>
      <c r="BX10" s="159">
        <v>0.95399999999999996</v>
      </c>
      <c r="BY10" s="159">
        <v>0.95909999999999995</v>
      </c>
      <c r="BZ10" s="159">
        <v>0.96409999999999996</v>
      </c>
      <c r="CA10" s="159">
        <v>0.96899999999999997</v>
      </c>
      <c r="CB10" s="159">
        <v>0.97389999999999999</v>
      </c>
      <c r="CC10" s="159">
        <v>0.97860000000000003</v>
      </c>
      <c r="CD10" s="159">
        <v>0.98319999999999996</v>
      </c>
      <c r="CE10" s="159">
        <v>0.98770000000000002</v>
      </c>
      <c r="CF10" s="159">
        <v>0.99199999999999999</v>
      </c>
      <c r="CG10" s="159">
        <v>0.99619999999999997</v>
      </c>
      <c r="CH10" s="159">
        <v>1.0002</v>
      </c>
      <c r="CI10" s="159">
        <v>1.0041</v>
      </c>
      <c r="CJ10" s="159">
        <v>1.0078</v>
      </c>
      <c r="CK10" s="159">
        <v>1.0114000000000001</v>
      </c>
      <c r="CL10" s="159">
        <v>1.0147999999999999</v>
      </c>
      <c r="CM10" s="159">
        <v>1.018</v>
      </c>
      <c r="CN10" s="49">
        <v>1.0210999999999999</v>
      </c>
      <c r="CO10" s="73"/>
      <c r="CP10" s="41">
        <v>1.04</v>
      </c>
      <c r="CQ10">
        <v>999</v>
      </c>
      <c r="CU10" t="s">
        <v>185</v>
      </c>
      <c r="CW10" t="s">
        <v>186</v>
      </c>
      <c r="CX10" s="53">
        <f>CX5+CX9</f>
        <v>0</v>
      </c>
      <c r="CY10" s="52" t="s">
        <v>187</v>
      </c>
      <c r="DC10" t="s">
        <v>414</v>
      </c>
      <c r="DE10" t="s">
        <v>177</v>
      </c>
      <c r="DF10" s="57"/>
      <c r="DG10" s="226"/>
      <c r="DH10" s="57"/>
      <c r="DN10" s="80">
        <v>1914</v>
      </c>
      <c r="DO10" s="84">
        <v>7044</v>
      </c>
      <c r="DP10" s="81">
        <v>7044</v>
      </c>
      <c r="DQ10" s="81">
        <v>7044</v>
      </c>
      <c r="DR10" s="81">
        <v>7044</v>
      </c>
      <c r="DS10" s="81">
        <v>7044</v>
      </c>
      <c r="DT10" s="81">
        <v>7044</v>
      </c>
      <c r="DU10" s="81">
        <v>7044</v>
      </c>
      <c r="DV10" s="81">
        <v>7044</v>
      </c>
      <c r="DW10" s="81">
        <v>7044</v>
      </c>
      <c r="DX10" s="81">
        <v>7044</v>
      </c>
      <c r="DY10" s="81">
        <v>7044</v>
      </c>
      <c r="DZ10" s="81">
        <v>7044</v>
      </c>
      <c r="EA10" s="81">
        <v>7044</v>
      </c>
      <c r="EB10" s="82">
        <v>7044</v>
      </c>
      <c r="EE10" s="88">
        <v>1914</v>
      </c>
      <c r="EF10" s="125"/>
      <c r="EG10" s="103"/>
      <c r="EH10" s="98"/>
      <c r="EI10" s="103"/>
      <c r="EJ10" s="103"/>
      <c r="EK10" s="103"/>
      <c r="EL10" s="103"/>
      <c r="EM10" s="111">
        <v>7044</v>
      </c>
      <c r="EN10" s="103">
        <v>7044</v>
      </c>
      <c r="EO10" s="108">
        <v>7044</v>
      </c>
      <c r="EP10" s="81">
        <v>7044</v>
      </c>
      <c r="EQ10" s="81">
        <v>7044</v>
      </c>
      <c r="ER10" s="81">
        <v>7044</v>
      </c>
      <c r="ES10" s="81">
        <v>7044</v>
      </c>
      <c r="ET10" s="81">
        <v>7044</v>
      </c>
      <c r="EU10" s="81">
        <v>7044</v>
      </c>
      <c r="EV10" s="81">
        <v>7044</v>
      </c>
      <c r="EW10" s="81">
        <v>7044</v>
      </c>
      <c r="EX10" s="81">
        <v>7044</v>
      </c>
      <c r="EY10" s="81">
        <v>7044</v>
      </c>
      <c r="EZ10" s="81">
        <v>7044</v>
      </c>
      <c r="FA10" s="81">
        <v>7044</v>
      </c>
      <c r="FB10" s="82">
        <v>7044</v>
      </c>
    </row>
    <row r="11" spans="1:158" ht="15.75" x14ac:dyDescent="0.25">
      <c r="A11" s="132">
        <v>59</v>
      </c>
      <c r="B11" s="49">
        <v>0.61</v>
      </c>
      <c r="C11" s="73"/>
      <c r="D11" s="215">
        <f t="shared" si="0"/>
        <v>6</v>
      </c>
      <c r="E11" s="216">
        <f>[1]!PBGCLRF(65+D11/12)</f>
        <v>1.05</v>
      </c>
      <c r="F11" s="73"/>
      <c r="G11" s="73"/>
      <c r="H11" s="73"/>
      <c r="I11" s="73"/>
      <c r="J11" s="48">
        <v>7</v>
      </c>
      <c r="K11" s="49">
        <v>0.96499999999999997</v>
      </c>
      <c r="L11" s="73"/>
      <c r="M11" s="155">
        <v>7</v>
      </c>
      <c r="N11" s="49">
        <v>1.0722</v>
      </c>
      <c r="O11" s="73"/>
      <c r="P11" s="73"/>
      <c r="Q11" s="73"/>
      <c r="R11" s="161">
        <v>0.76870000000000005</v>
      </c>
      <c r="S11" s="159">
        <v>0.76959999999999995</v>
      </c>
      <c r="T11" s="159">
        <v>0.77059999999999995</v>
      </c>
      <c r="U11" s="159">
        <v>0.77159999999999995</v>
      </c>
      <c r="V11" s="159">
        <v>0.77270000000000005</v>
      </c>
      <c r="W11" s="159">
        <v>0.77380000000000004</v>
      </c>
      <c r="X11" s="159">
        <v>0.77490000000000003</v>
      </c>
      <c r="Y11" s="159">
        <v>0.77610000000000001</v>
      </c>
      <c r="Z11" s="159">
        <v>0.77739999999999998</v>
      </c>
      <c r="AA11" s="159">
        <v>0.77869999999999995</v>
      </c>
      <c r="AB11" s="159">
        <v>0.78010000000000002</v>
      </c>
      <c r="AC11" s="159">
        <v>0.78149999999999997</v>
      </c>
      <c r="AD11" s="159">
        <v>0.78300000000000003</v>
      </c>
      <c r="AE11" s="159">
        <v>0.78459999999999996</v>
      </c>
      <c r="AF11" s="159">
        <v>0.78620000000000001</v>
      </c>
      <c r="AG11" s="159">
        <v>0.78800000000000003</v>
      </c>
      <c r="AH11" s="159">
        <v>0.78939999999999999</v>
      </c>
      <c r="AI11" s="159">
        <v>0.79100000000000004</v>
      </c>
      <c r="AJ11" s="159">
        <v>0.79269999999999996</v>
      </c>
      <c r="AK11" s="159">
        <v>0.7944</v>
      </c>
      <c r="AL11" s="159">
        <v>0.79630000000000001</v>
      </c>
      <c r="AM11" s="159">
        <v>0.79830000000000001</v>
      </c>
      <c r="AN11" s="159">
        <v>0.80030000000000001</v>
      </c>
      <c r="AO11" s="159">
        <v>0.80249999999999999</v>
      </c>
      <c r="AP11" s="159">
        <v>0.80479999999999996</v>
      </c>
      <c r="AQ11" s="159">
        <v>0.80720000000000003</v>
      </c>
      <c r="AR11" s="159">
        <v>0.80969999999999998</v>
      </c>
      <c r="AS11" s="159">
        <v>0.81240000000000001</v>
      </c>
      <c r="AT11" s="159">
        <v>0.81520000000000004</v>
      </c>
      <c r="AU11" s="159">
        <v>0.81810000000000005</v>
      </c>
      <c r="AV11" s="159">
        <v>0.82110000000000005</v>
      </c>
      <c r="AW11" s="159">
        <v>0.82430000000000003</v>
      </c>
      <c r="AX11" s="159">
        <v>0.8276</v>
      </c>
      <c r="AY11" s="159">
        <v>0.83099999999999996</v>
      </c>
      <c r="AZ11" s="159">
        <v>0.83450000000000002</v>
      </c>
      <c r="BA11" s="159">
        <v>0.83819999999999995</v>
      </c>
      <c r="BB11" s="159">
        <v>0.84199999999999997</v>
      </c>
      <c r="BC11" s="159">
        <v>0.84599999999999997</v>
      </c>
      <c r="BD11" s="159">
        <v>0.85</v>
      </c>
      <c r="BE11" s="159">
        <v>0.85419999999999996</v>
      </c>
      <c r="BF11" s="159">
        <v>0.85860000000000003</v>
      </c>
      <c r="BG11" s="159">
        <v>0.86299999999999999</v>
      </c>
      <c r="BH11" s="159">
        <v>0.86760000000000004</v>
      </c>
      <c r="BI11" s="159">
        <v>0.87229999999999996</v>
      </c>
      <c r="BJ11" s="159">
        <v>0.877</v>
      </c>
      <c r="BK11" s="159">
        <v>0.88200000000000001</v>
      </c>
      <c r="BL11" s="159">
        <v>0.88700000000000001</v>
      </c>
      <c r="BM11" s="159">
        <v>0.89200000000000002</v>
      </c>
      <c r="BN11" s="159">
        <v>0.8972</v>
      </c>
      <c r="BO11" s="159">
        <v>0.90249999999999997</v>
      </c>
      <c r="BP11" s="159">
        <v>0.90780000000000005</v>
      </c>
      <c r="BQ11" s="159">
        <v>0.91320000000000001</v>
      </c>
      <c r="BR11" s="159">
        <v>0.91859999999999997</v>
      </c>
      <c r="BS11" s="159">
        <v>0.92400000000000004</v>
      </c>
      <c r="BT11" s="159">
        <v>0.92949999999999999</v>
      </c>
      <c r="BU11" s="159">
        <v>0.93500000000000005</v>
      </c>
      <c r="BV11" s="159">
        <v>0.9405</v>
      </c>
      <c r="BW11" s="159">
        <v>0.94589999999999996</v>
      </c>
      <c r="BX11" s="159">
        <v>0.95140000000000002</v>
      </c>
      <c r="BY11" s="159">
        <v>0.95679999999999998</v>
      </c>
      <c r="BZ11" s="159">
        <v>0.96209999999999996</v>
      </c>
      <c r="CA11" s="159">
        <v>0.96740000000000004</v>
      </c>
      <c r="CB11" s="159">
        <v>0.97260000000000002</v>
      </c>
      <c r="CC11" s="159">
        <v>0.97760000000000002</v>
      </c>
      <c r="CD11" s="159">
        <v>0.98260000000000003</v>
      </c>
      <c r="CE11" s="159">
        <v>0.98740000000000006</v>
      </c>
      <c r="CF11" s="159">
        <v>0.99209999999999998</v>
      </c>
      <c r="CG11" s="159">
        <v>0.99660000000000004</v>
      </c>
      <c r="CH11" s="159">
        <v>1.0008999999999999</v>
      </c>
      <c r="CI11" s="159">
        <v>1.0052000000000001</v>
      </c>
      <c r="CJ11" s="159">
        <v>1.0092000000000001</v>
      </c>
      <c r="CK11" s="159">
        <v>1.0130999999999999</v>
      </c>
      <c r="CL11" s="159">
        <v>1.0168999999999999</v>
      </c>
      <c r="CM11" s="159">
        <v>1.0204</v>
      </c>
      <c r="CN11" s="49">
        <v>1.0238</v>
      </c>
      <c r="CO11" s="73"/>
      <c r="CP11" s="41"/>
      <c r="CS11" s="40">
        <v>38930</v>
      </c>
      <c r="CW11" t="s">
        <v>188</v>
      </c>
      <c r="CX11" s="41" t="e">
        <f>ROUND(CX10/CX3,4)</f>
        <v>#DIV/0!</v>
      </c>
      <c r="CY11" s="52" t="s">
        <v>189</v>
      </c>
      <c r="DC11" t="s">
        <v>459</v>
      </c>
      <c r="DE11" t="s">
        <v>177</v>
      </c>
      <c r="DF11" s="57"/>
      <c r="DG11" s="226"/>
      <c r="DH11" s="57"/>
      <c r="DN11" s="80">
        <v>1915</v>
      </c>
      <c r="DO11" s="84">
        <v>7692</v>
      </c>
      <c r="DP11" s="81">
        <v>7692</v>
      </c>
      <c r="DQ11" s="81">
        <v>7692</v>
      </c>
      <c r="DR11" s="81">
        <v>7692</v>
      </c>
      <c r="DS11" s="81">
        <v>7692</v>
      </c>
      <c r="DT11" s="81">
        <v>7692</v>
      </c>
      <c r="DU11" s="81">
        <v>7692</v>
      </c>
      <c r="DV11" s="81">
        <v>7692</v>
      </c>
      <c r="DW11" s="81">
        <v>7692</v>
      </c>
      <c r="DX11" s="81">
        <v>7692</v>
      </c>
      <c r="DY11" s="81">
        <v>7692</v>
      </c>
      <c r="DZ11" s="81">
        <v>7692</v>
      </c>
      <c r="EA11" s="81">
        <v>7692</v>
      </c>
      <c r="EB11" s="82">
        <v>7692</v>
      </c>
      <c r="EE11" s="88">
        <v>1915</v>
      </c>
      <c r="EF11" s="125"/>
      <c r="EG11" s="103"/>
      <c r="EH11" s="98"/>
      <c r="EI11" s="103"/>
      <c r="EJ11" s="103"/>
      <c r="EK11" s="103"/>
      <c r="EL11" s="103"/>
      <c r="EM11" s="111">
        <v>7692</v>
      </c>
      <c r="EN11" s="103">
        <v>7692</v>
      </c>
      <c r="EO11" s="108">
        <v>7692</v>
      </c>
      <c r="EP11" s="81">
        <v>7692</v>
      </c>
      <c r="EQ11" s="81">
        <v>7692</v>
      </c>
      <c r="ER11" s="81">
        <v>7692</v>
      </c>
      <c r="ES11" s="81">
        <v>7692</v>
      </c>
      <c r="ET11" s="81">
        <v>7692</v>
      </c>
      <c r="EU11" s="81">
        <v>7692</v>
      </c>
      <c r="EV11" s="81">
        <v>7692</v>
      </c>
      <c r="EW11" s="81">
        <v>7692</v>
      </c>
      <c r="EX11" s="81">
        <v>7692</v>
      </c>
      <c r="EY11" s="81">
        <v>7692</v>
      </c>
      <c r="EZ11" s="81">
        <v>7692</v>
      </c>
      <c r="FA11" s="81">
        <v>7692</v>
      </c>
      <c r="FB11" s="82">
        <v>7692</v>
      </c>
    </row>
    <row r="12" spans="1:158" ht="15.75" x14ac:dyDescent="0.25">
      <c r="A12" s="48">
        <v>58</v>
      </c>
      <c r="B12" s="49">
        <v>0.56999999999999995</v>
      </c>
      <c r="C12" s="73"/>
      <c r="D12" s="215">
        <f t="shared" si="0"/>
        <v>7</v>
      </c>
      <c r="E12" s="216">
        <f>[1]!PBGCLRF(65+D12/12)</f>
        <v>1.0583</v>
      </c>
      <c r="F12" s="73"/>
      <c r="G12" s="37" t="s">
        <v>682</v>
      </c>
      <c r="H12" s="73"/>
      <c r="I12" s="73"/>
      <c r="J12" s="48">
        <v>8</v>
      </c>
      <c r="K12" s="49">
        <v>0.96</v>
      </c>
      <c r="L12" s="73"/>
      <c r="M12" s="155">
        <v>8</v>
      </c>
      <c r="N12" s="49">
        <v>1.0829</v>
      </c>
      <c r="O12" s="73"/>
      <c r="P12" s="73"/>
      <c r="Q12" s="73"/>
      <c r="R12" s="161">
        <v>0.7611</v>
      </c>
      <c r="S12" s="159">
        <v>0.7621</v>
      </c>
      <c r="T12" s="159">
        <v>0.76300000000000001</v>
      </c>
      <c r="U12" s="159">
        <v>0.7641</v>
      </c>
      <c r="V12" s="159">
        <v>0.7651</v>
      </c>
      <c r="W12" s="159">
        <v>0.76619999999999999</v>
      </c>
      <c r="X12" s="159">
        <v>0.76739999999999997</v>
      </c>
      <c r="Y12" s="159">
        <v>0.76859999999999995</v>
      </c>
      <c r="Z12" s="159">
        <v>0.76990000000000003</v>
      </c>
      <c r="AA12" s="159">
        <v>0.7712</v>
      </c>
      <c r="AB12" s="159">
        <v>0.77259999999999995</v>
      </c>
      <c r="AC12" s="159">
        <v>0.77410000000000001</v>
      </c>
      <c r="AD12" s="159">
        <v>0.77559999999999996</v>
      </c>
      <c r="AE12" s="159">
        <v>0.77710000000000001</v>
      </c>
      <c r="AF12" s="159">
        <v>0.77880000000000005</v>
      </c>
      <c r="AG12" s="159">
        <v>0.78049999999999997</v>
      </c>
      <c r="AH12" s="159">
        <v>0.78200000000000003</v>
      </c>
      <c r="AI12" s="159">
        <v>0.78359999999999996</v>
      </c>
      <c r="AJ12" s="159">
        <v>0.7853</v>
      </c>
      <c r="AK12" s="159">
        <v>0.78700000000000003</v>
      </c>
      <c r="AL12" s="159">
        <v>0.78890000000000005</v>
      </c>
      <c r="AM12" s="159">
        <v>0.79090000000000005</v>
      </c>
      <c r="AN12" s="159">
        <v>0.79290000000000005</v>
      </c>
      <c r="AO12" s="159">
        <v>0.79510000000000003</v>
      </c>
      <c r="AP12" s="159">
        <v>0.79749999999999999</v>
      </c>
      <c r="AQ12" s="159">
        <v>0.79990000000000006</v>
      </c>
      <c r="AR12" s="159">
        <v>0.8024</v>
      </c>
      <c r="AS12" s="159">
        <v>0.80510000000000004</v>
      </c>
      <c r="AT12" s="159">
        <v>0.80789999999999995</v>
      </c>
      <c r="AU12" s="159">
        <v>0.81089999999999995</v>
      </c>
      <c r="AV12" s="159">
        <v>0.81389999999999996</v>
      </c>
      <c r="AW12" s="159">
        <v>0.81710000000000005</v>
      </c>
      <c r="AX12" s="159">
        <v>0.82050000000000001</v>
      </c>
      <c r="AY12" s="159">
        <v>0.82399999999999995</v>
      </c>
      <c r="AZ12" s="159">
        <v>0.8276</v>
      </c>
      <c r="BA12" s="159">
        <v>0.83130000000000004</v>
      </c>
      <c r="BB12" s="159">
        <v>0.83520000000000005</v>
      </c>
      <c r="BC12" s="159">
        <v>0.83919999999999995</v>
      </c>
      <c r="BD12" s="159">
        <v>0.84340000000000004</v>
      </c>
      <c r="BE12" s="159">
        <v>0.84770000000000001</v>
      </c>
      <c r="BF12" s="159">
        <v>0.85209999999999997</v>
      </c>
      <c r="BG12" s="159">
        <v>0.85660000000000003</v>
      </c>
      <c r="BH12" s="159">
        <v>0.86129999999999995</v>
      </c>
      <c r="BI12" s="159">
        <v>0.86619999999999997</v>
      </c>
      <c r="BJ12" s="159">
        <v>0.87109999999999999</v>
      </c>
      <c r="BK12" s="159">
        <v>0.87619999999999998</v>
      </c>
      <c r="BL12" s="159">
        <v>0.88129999999999997</v>
      </c>
      <c r="BM12" s="159">
        <v>0.88660000000000005</v>
      </c>
      <c r="BN12" s="159">
        <v>0.89200000000000002</v>
      </c>
      <c r="BO12" s="159">
        <v>0.89739999999999998</v>
      </c>
      <c r="BP12" s="159">
        <v>0.90290000000000004</v>
      </c>
      <c r="BQ12" s="159">
        <v>0.90849999999999997</v>
      </c>
      <c r="BR12" s="159">
        <v>0.91420000000000001</v>
      </c>
      <c r="BS12" s="159">
        <v>0.91990000000000005</v>
      </c>
      <c r="BT12" s="159">
        <v>0.92559999999999998</v>
      </c>
      <c r="BU12" s="159">
        <v>0.93140000000000001</v>
      </c>
      <c r="BV12" s="159">
        <v>0.93720000000000003</v>
      </c>
      <c r="BW12" s="159">
        <v>0.94299999999999995</v>
      </c>
      <c r="BX12" s="159">
        <v>0.94869999999999999</v>
      </c>
      <c r="BY12" s="159">
        <v>0.95450000000000002</v>
      </c>
      <c r="BZ12" s="159">
        <v>0.96020000000000005</v>
      </c>
      <c r="CA12" s="159">
        <v>0.96579999999999999</v>
      </c>
      <c r="CB12" s="159">
        <v>0.97130000000000005</v>
      </c>
      <c r="CC12" s="159">
        <v>0.97670000000000001</v>
      </c>
      <c r="CD12" s="159">
        <v>0.98209999999999997</v>
      </c>
      <c r="CE12" s="159">
        <v>0.98719999999999997</v>
      </c>
      <c r="CF12" s="159">
        <v>0.99229999999999996</v>
      </c>
      <c r="CG12" s="159">
        <v>0.99719999999999998</v>
      </c>
      <c r="CH12" s="159">
        <v>1.0019</v>
      </c>
      <c r="CI12" s="159">
        <v>1.0065</v>
      </c>
      <c r="CJ12" s="159">
        <v>1.0108999999999999</v>
      </c>
      <c r="CK12" s="159">
        <v>1.0152000000000001</v>
      </c>
      <c r="CL12" s="159">
        <v>1.0192000000000001</v>
      </c>
      <c r="CM12" s="159">
        <v>1.0230999999999999</v>
      </c>
      <c r="CN12" s="49">
        <v>1.0267999999999999</v>
      </c>
      <c r="CO12" s="73"/>
      <c r="CP12" s="336" t="s">
        <v>152</v>
      </c>
      <c r="CQ12" s="335"/>
      <c r="CY12" s="42"/>
      <c r="DH12" s="297">
        <f>SUM(DH6:DH11)</f>
        <v>0</v>
      </c>
      <c r="DN12" s="80">
        <v>1916</v>
      </c>
      <c r="DO12" s="84">
        <v>8460</v>
      </c>
      <c r="DP12" s="81">
        <v>8460</v>
      </c>
      <c r="DQ12" s="81">
        <v>8460</v>
      </c>
      <c r="DR12" s="81">
        <v>8460</v>
      </c>
      <c r="DS12" s="81">
        <v>8460</v>
      </c>
      <c r="DT12" s="81">
        <v>8460</v>
      </c>
      <c r="DU12" s="81">
        <v>8460</v>
      </c>
      <c r="DV12" s="81">
        <v>8460</v>
      </c>
      <c r="DW12" s="81">
        <v>8460</v>
      </c>
      <c r="DX12" s="81">
        <v>8460</v>
      </c>
      <c r="DY12" s="81">
        <v>8460</v>
      </c>
      <c r="DZ12" s="81">
        <v>8460</v>
      </c>
      <c r="EA12" s="81">
        <v>8460</v>
      </c>
      <c r="EB12" s="82">
        <v>8460</v>
      </c>
      <c r="EE12" s="88">
        <v>1916</v>
      </c>
      <c r="EF12" s="125"/>
      <c r="EG12" s="103"/>
      <c r="EH12" s="98"/>
      <c r="EI12" s="103"/>
      <c r="EJ12" s="103"/>
      <c r="EK12" s="103"/>
      <c r="EL12" s="103"/>
      <c r="EM12" s="111">
        <v>8460</v>
      </c>
      <c r="EN12" s="103">
        <v>8460</v>
      </c>
      <c r="EO12" s="108">
        <v>8460</v>
      </c>
      <c r="EP12" s="81">
        <v>8460</v>
      </c>
      <c r="EQ12" s="81">
        <v>8460</v>
      </c>
      <c r="ER12" s="81">
        <v>8460</v>
      </c>
      <c r="ES12" s="81">
        <v>8460</v>
      </c>
      <c r="ET12" s="81">
        <v>8460</v>
      </c>
      <c r="EU12" s="81">
        <v>8460</v>
      </c>
      <c r="EV12" s="81">
        <v>8460</v>
      </c>
      <c r="EW12" s="81">
        <v>8460</v>
      </c>
      <c r="EX12" s="81">
        <v>8460</v>
      </c>
      <c r="EY12" s="81">
        <v>8460</v>
      </c>
      <c r="EZ12" s="81">
        <v>8460</v>
      </c>
      <c r="FA12" s="81">
        <v>8460</v>
      </c>
      <c r="FB12" s="82">
        <v>8460</v>
      </c>
    </row>
    <row r="13" spans="1:158" ht="16.5" thickBot="1" x14ac:dyDescent="0.3">
      <c r="A13" s="132">
        <v>57</v>
      </c>
      <c r="B13" s="49">
        <v>0.53</v>
      </c>
      <c r="C13" s="73"/>
      <c r="D13" s="215">
        <f t="shared" si="0"/>
        <v>8</v>
      </c>
      <c r="E13" s="216">
        <f>[1]!PBGCLRF(65+D13/12)</f>
        <v>1.0667</v>
      </c>
      <c r="F13" s="73"/>
      <c r="G13" s="73"/>
      <c r="H13" s="73"/>
      <c r="I13" s="73"/>
      <c r="J13" s="48">
        <v>9</v>
      </c>
      <c r="K13" s="49">
        <v>0.95499999999999996</v>
      </c>
      <c r="L13" s="73"/>
      <c r="M13" s="155">
        <v>9</v>
      </c>
      <c r="N13" s="49">
        <v>1.0938000000000001</v>
      </c>
      <c r="O13" s="73"/>
      <c r="P13" s="73"/>
      <c r="Q13" s="73"/>
      <c r="R13" s="161">
        <v>0.75360000000000005</v>
      </c>
      <c r="S13" s="159">
        <v>0.75449999999999995</v>
      </c>
      <c r="T13" s="159">
        <v>0.75549999999999995</v>
      </c>
      <c r="U13" s="159">
        <v>0.75660000000000005</v>
      </c>
      <c r="V13" s="159">
        <v>0.75760000000000005</v>
      </c>
      <c r="W13" s="159">
        <v>0.75880000000000003</v>
      </c>
      <c r="X13" s="159">
        <v>0.75990000000000002</v>
      </c>
      <c r="Y13" s="159">
        <v>0.7611</v>
      </c>
      <c r="Z13" s="159">
        <v>0.76239999999999997</v>
      </c>
      <c r="AA13" s="159">
        <v>0.76380000000000003</v>
      </c>
      <c r="AB13" s="159">
        <v>0.76519999999999999</v>
      </c>
      <c r="AC13" s="159">
        <v>0.76659999999999995</v>
      </c>
      <c r="AD13" s="159">
        <v>0.7681</v>
      </c>
      <c r="AE13" s="159">
        <v>0.76970000000000005</v>
      </c>
      <c r="AF13" s="159">
        <v>0.77139999999999997</v>
      </c>
      <c r="AG13" s="159">
        <v>0.77310000000000001</v>
      </c>
      <c r="AH13" s="159">
        <v>0.77459999999999996</v>
      </c>
      <c r="AI13" s="159">
        <v>0.7762</v>
      </c>
      <c r="AJ13" s="159">
        <v>0.77790000000000004</v>
      </c>
      <c r="AK13" s="159">
        <v>0.77959999999999996</v>
      </c>
      <c r="AL13" s="159">
        <v>0.78149999999999997</v>
      </c>
      <c r="AM13" s="159">
        <v>0.78349999999999997</v>
      </c>
      <c r="AN13" s="159">
        <v>0.78559999999999997</v>
      </c>
      <c r="AO13" s="159">
        <v>0.78779999999999994</v>
      </c>
      <c r="AP13" s="159">
        <v>0.79010000000000002</v>
      </c>
      <c r="AQ13" s="159">
        <v>0.79259999999999997</v>
      </c>
      <c r="AR13" s="159">
        <v>0.79520000000000002</v>
      </c>
      <c r="AS13" s="159">
        <v>0.79790000000000005</v>
      </c>
      <c r="AT13" s="159">
        <v>0.80069999999999997</v>
      </c>
      <c r="AU13" s="159">
        <v>0.80369999999999997</v>
      </c>
      <c r="AV13" s="159">
        <v>0.80679999999999996</v>
      </c>
      <c r="AW13" s="159">
        <v>0.81</v>
      </c>
      <c r="AX13" s="159">
        <v>0.81340000000000001</v>
      </c>
      <c r="AY13" s="159">
        <v>0.81689999999999996</v>
      </c>
      <c r="AZ13" s="159">
        <v>0.8206</v>
      </c>
      <c r="BA13" s="159">
        <v>0.82440000000000002</v>
      </c>
      <c r="BB13" s="159">
        <v>0.82840000000000003</v>
      </c>
      <c r="BC13" s="159">
        <v>0.83250000000000002</v>
      </c>
      <c r="BD13" s="159">
        <v>0.8367</v>
      </c>
      <c r="BE13" s="159">
        <v>0.84109999999999996</v>
      </c>
      <c r="BF13" s="159">
        <v>0.84560000000000002</v>
      </c>
      <c r="BG13" s="159">
        <v>0.85029999999999994</v>
      </c>
      <c r="BH13" s="159">
        <v>0.85509999999999997</v>
      </c>
      <c r="BI13" s="159">
        <v>0.86009999999999998</v>
      </c>
      <c r="BJ13" s="159">
        <v>0.86509999999999998</v>
      </c>
      <c r="BK13" s="159">
        <v>0.87039999999999995</v>
      </c>
      <c r="BL13" s="159">
        <v>0.87570000000000003</v>
      </c>
      <c r="BM13" s="159">
        <v>0.88109999999999999</v>
      </c>
      <c r="BN13" s="159">
        <v>0.88670000000000004</v>
      </c>
      <c r="BO13" s="159">
        <v>0.89229999999999998</v>
      </c>
      <c r="BP13" s="159">
        <v>0.89810000000000001</v>
      </c>
      <c r="BQ13" s="159">
        <v>0.90390000000000004</v>
      </c>
      <c r="BR13" s="159">
        <v>0.90980000000000005</v>
      </c>
      <c r="BS13" s="159">
        <v>0.91579999999999995</v>
      </c>
      <c r="BT13" s="159">
        <v>0.92179999999999995</v>
      </c>
      <c r="BU13" s="159">
        <v>0.92789999999999995</v>
      </c>
      <c r="BV13" s="159">
        <v>0.93400000000000005</v>
      </c>
      <c r="BW13" s="159">
        <v>0.94</v>
      </c>
      <c r="BX13" s="159">
        <v>0.94610000000000005</v>
      </c>
      <c r="BY13" s="159">
        <v>0.95220000000000005</v>
      </c>
      <c r="BZ13" s="159">
        <v>0.95820000000000005</v>
      </c>
      <c r="CA13" s="159">
        <v>0.96419999999999995</v>
      </c>
      <c r="CB13" s="159">
        <v>0.97009999999999996</v>
      </c>
      <c r="CC13" s="159">
        <v>0.97589999999999999</v>
      </c>
      <c r="CD13" s="159">
        <v>0.98160000000000003</v>
      </c>
      <c r="CE13" s="159">
        <v>0.98719999999999997</v>
      </c>
      <c r="CF13" s="159">
        <v>0.99260000000000004</v>
      </c>
      <c r="CG13" s="159">
        <v>0.99790000000000001</v>
      </c>
      <c r="CH13" s="159">
        <v>1.0029999999999999</v>
      </c>
      <c r="CI13" s="159">
        <v>1.008</v>
      </c>
      <c r="CJ13" s="159">
        <v>1.0127999999999999</v>
      </c>
      <c r="CK13" s="159">
        <v>1.0174000000000001</v>
      </c>
      <c r="CL13" s="159">
        <v>1.0219</v>
      </c>
      <c r="CM13" s="159">
        <v>1.0262</v>
      </c>
      <c r="CN13" s="49">
        <v>1.0302</v>
      </c>
      <c r="CO13" s="73"/>
      <c r="CP13" s="41">
        <v>5.3100000000000001E-2</v>
      </c>
      <c r="CQ13">
        <v>20</v>
      </c>
      <c r="CS13" s="37" t="s">
        <v>263</v>
      </c>
      <c r="CU13" s="37" t="s">
        <v>191</v>
      </c>
      <c r="CV13" s="37"/>
      <c r="CW13" s="59" t="s">
        <v>192</v>
      </c>
      <c r="CX13" s="299">
        <v>1.9E-2</v>
      </c>
      <c r="CY13" s="60" t="s">
        <v>193</v>
      </c>
      <c r="CZ13" s="59" t="s">
        <v>463</v>
      </c>
      <c r="DN13" s="80">
        <v>1917</v>
      </c>
      <c r="DO13" s="84">
        <v>9300</v>
      </c>
      <c r="DP13" s="81">
        <v>9300</v>
      </c>
      <c r="DQ13" s="81">
        <v>9300</v>
      </c>
      <c r="DR13" s="81">
        <v>9300</v>
      </c>
      <c r="DS13" s="81">
        <v>9300</v>
      </c>
      <c r="DT13" s="81">
        <v>9300</v>
      </c>
      <c r="DU13" s="81">
        <v>9300</v>
      </c>
      <c r="DV13" s="81">
        <v>9300</v>
      </c>
      <c r="DW13" s="81">
        <v>9300</v>
      </c>
      <c r="DX13" s="81">
        <v>9300</v>
      </c>
      <c r="DY13" s="81">
        <v>9300</v>
      </c>
      <c r="DZ13" s="81">
        <v>9300</v>
      </c>
      <c r="EA13" s="81">
        <v>9300</v>
      </c>
      <c r="EB13" s="82">
        <v>9300</v>
      </c>
      <c r="EE13" s="88">
        <v>1917</v>
      </c>
      <c r="EF13" s="125">
        <v>11004</v>
      </c>
      <c r="EG13" s="103"/>
      <c r="EH13" s="98"/>
      <c r="EI13" s="103"/>
      <c r="EJ13" s="103"/>
      <c r="EK13" s="103"/>
      <c r="EL13" s="103"/>
      <c r="EM13" s="111">
        <v>9300</v>
      </c>
      <c r="EN13" s="103">
        <v>9300</v>
      </c>
      <c r="EO13" s="108">
        <v>9300</v>
      </c>
      <c r="EP13" s="81">
        <v>9300</v>
      </c>
      <c r="EQ13" s="81">
        <v>9300</v>
      </c>
      <c r="ER13" s="81">
        <v>9300</v>
      </c>
      <c r="ES13" s="81">
        <v>9300</v>
      </c>
      <c r="ET13" s="81">
        <v>9300</v>
      </c>
      <c r="EU13" s="81">
        <v>9300</v>
      </c>
      <c r="EV13" s="81">
        <v>9300</v>
      </c>
      <c r="EW13" s="81">
        <v>9300</v>
      </c>
      <c r="EX13" s="81">
        <v>9300</v>
      </c>
      <c r="EY13" s="81">
        <v>9300</v>
      </c>
      <c r="EZ13" s="81">
        <v>9300</v>
      </c>
      <c r="FA13" s="81">
        <v>9300</v>
      </c>
      <c r="FB13" s="82">
        <v>9300</v>
      </c>
    </row>
    <row r="14" spans="1:158" ht="16.5" thickBot="1" x14ac:dyDescent="0.3">
      <c r="A14" s="48">
        <v>56</v>
      </c>
      <c r="B14" s="49">
        <v>0.49</v>
      </c>
      <c r="C14" s="73"/>
      <c r="D14" s="215">
        <f t="shared" si="0"/>
        <v>9</v>
      </c>
      <c r="E14" s="216">
        <f>[1]!PBGCLRF(65+D14/12)</f>
        <v>1.075</v>
      </c>
      <c r="F14" s="73"/>
      <c r="G14" s="146" t="s">
        <v>238</v>
      </c>
      <c r="H14" s="151" t="s">
        <v>301</v>
      </c>
      <c r="I14" s="73"/>
      <c r="J14" s="48">
        <v>10</v>
      </c>
      <c r="K14" s="49">
        <v>0.95</v>
      </c>
      <c r="L14" s="73"/>
      <c r="M14" s="155">
        <v>10</v>
      </c>
      <c r="N14" s="49">
        <v>1.1048</v>
      </c>
      <c r="O14" s="73"/>
      <c r="P14" s="73"/>
      <c r="Q14" s="73"/>
      <c r="R14" s="161">
        <v>0.74609999999999999</v>
      </c>
      <c r="S14" s="159">
        <v>0.74709999999999999</v>
      </c>
      <c r="T14" s="159">
        <v>0.74809999999999999</v>
      </c>
      <c r="U14" s="159">
        <v>0.74909999999999999</v>
      </c>
      <c r="V14" s="159">
        <v>0.75019999999999998</v>
      </c>
      <c r="W14" s="159">
        <v>0.75129999999999997</v>
      </c>
      <c r="X14" s="159">
        <v>0.75249999999999995</v>
      </c>
      <c r="Y14" s="159">
        <v>0.75370000000000004</v>
      </c>
      <c r="Z14" s="159">
        <v>0.755</v>
      </c>
      <c r="AA14" s="159">
        <v>0.75639999999999996</v>
      </c>
      <c r="AB14" s="159">
        <v>0.75780000000000003</v>
      </c>
      <c r="AC14" s="159">
        <v>0.75919999999999999</v>
      </c>
      <c r="AD14" s="159">
        <v>0.76080000000000003</v>
      </c>
      <c r="AE14" s="159">
        <v>0.76239999999999997</v>
      </c>
      <c r="AF14" s="159">
        <v>0.76400000000000001</v>
      </c>
      <c r="AG14" s="159">
        <v>0.76580000000000004</v>
      </c>
      <c r="AH14" s="159">
        <v>0.76729999999999998</v>
      </c>
      <c r="AI14" s="159">
        <v>0.76890000000000003</v>
      </c>
      <c r="AJ14" s="159">
        <v>0.77049999999999996</v>
      </c>
      <c r="AK14" s="159">
        <v>0.77229999999999999</v>
      </c>
      <c r="AL14" s="159">
        <v>0.7742</v>
      </c>
      <c r="AM14" s="159">
        <v>0.7762</v>
      </c>
      <c r="AN14" s="159">
        <v>0.77829999999999999</v>
      </c>
      <c r="AO14" s="159">
        <v>0.78049999999999997</v>
      </c>
      <c r="AP14" s="159">
        <v>0.78290000000000004</v>
      </c>
      <c r="AQ14" s="159">
        <v>0.7853</v>
      </c>
      <c r="AR14" s="159">
        <v>0.78790000000000004</v>
      </c>
      <c r="AS14" s="159">
        <v>0.79069999999999996</v>
      </c>
      <c r="AT14" s="159">
        <v>0.79349999999999998</v>
      </c>
      <c r="AU14" s="159">
        <v>0.79659999999999997</v>
      </c>
      <c r="AV14" s="159">
        <v>0.79969999999999997</v>
      </c>
      <c r="AW14" s="159">
        <v>0.80300000000000005</v>
      </c>
      <c r="AX14" s="159">
        <v>0.80640000000000001</v>
      </c>
      <c r="AY14" s="159">
        <v>0.81</v>
      </c>
      <c r="AZ14" s="159">
        <v>0.81369999999999998</v>
      </c>
      <c r="BA14" s="159">
        <v>0.81759999999999999</v>
      </c>
      <c r="BB14" s="159">
        <v>0.8216</v>
      </c>
      <c r="BC14" s="159">
        <v>0.82579999999999998</v>
      </c>
      <c r="BD14" s="159">
        <v>0.83009999999999995</v>
      </c>
      <c r="BE14" s="159">
        <v>0.83460000000000001</v>
      </c>
      <c r="BF14" s="159">
        <v>0.83919999999999995</v>
      </c>
      <c r="BG14" s="159">
        <v>0.84399999999999997</v>
      </c>
      <c r="BH14" s="159">
        <v>0.84889999999999999</v>
      </c>
      <c r="BI14" s="159">
        <v>0.85399999999999998</v>
      </c>
      <c r="BJ14" s="159">
        <v>0.85919999999999996</v>
      </c>
      <c r="BK14" s="159">
        <v>0.86460000000000004</v>
      </c>
      <c r="BL14" s="159">
        <v>0.87009999999999998</v>
      </c>
      <c r="BM14" s="159">
        <v>0.87570000000000003</v>
      </c>
      <c r="BN14" s="159">
        <v>0.88139999999999996</v>
      </c>
      <c r="BO14" s="159">
        <v>0.88729999999999998</v>
      </c>
      <c r="BP14" s="159">
        <v>0.89329999999999998</v>
      </c>
      <c r="BQ14" s="159">
        <v>0.89929999999999999</v>
      </c>
      <c r="BR14" s="159">
        <v>0.90549999999999997</v>
      </c>
      <c r="BS14" s="159">
        <v>0.91169999999999995</v>
      </c>
      <c r="BT14" s="159">
        <v>0.91800000000000004</v>
      </c>
      <c r="BU14" s="159">
        <v>0.92430000000000001</v>
      </c>
      <c r="BV14" s="159">
        <v>0.93069999999999997</v>
      </c>
      <c r="BW14" s="159">
        <v>0.93710000000000004</v>
      </c>
      <c r="BX14" s="159">
        <v>0.94359999999999999</v>
      </c>
      <c r="BY14" s="159">
        <v>0.95</v>
      </c>
      <c r="BZ14" s="159">
        <v>0.95640000000000003</v>
      </c>
      <c r="CA14" s="159">
        <v>0.9627</v>
      </c>
      <c r="CB14" s="159">
        <v>0.96899999999999997</v>
      </c>
      <c r="CC14" s="159">
        <v>0.97519999999999996</v>
      </c>
      <c r="CD14" s="159">
        <v>0.98129999999999995</v>
      </c>
      <c r="CE14" s="159">
        <v>0.98729999999999996</v>
      </c>
      <c r="CF14" s="159">
        <v>0.99309999999999998</v>
      </c>
      <c r="CG14" s="159">
        <v>0.99880000000000002</v>
      </c>
      <c r="CH14" s="159">
        <v>1.0044</v>
      </c>
      <c r="CI14" s="159">
        <v>1.0097</v>
      </c>
      <c r="CJ14" s="159">
        <v>1.0149999999999999</v>
      </c>
      <c r="CK14" s="159">
        <v>1.02</v>
      </c>
      <c r="CL14" s="159">
        <v>1.0248999999999999</v>
      </c>
      <c r="CM14" s="159">
        <v>1.0295000000000001</v>
      </c>
      <c r="CN14" s="49">
        <v>1.034</v>
      </c>
      <c r="CO14" s="73"/>
      <c r="CP14" s="41">
        <v>5.04E-2</v>
      </c>
      <c r="CQ14">
        <v>999</v>
      </c>
      <c r="CS14" s="130">
        <v>4500</v>
      </c>
      <c r="CY14" s="42"/>
      <c r="DB14" t="s">
        <v>190</v>
      </c>
      <c r="DC14" t="s">
        <v>405</v>
      </c>
      <c r="DE14" t="s">
        <v>177</v>
      </c>
      <c r="DF14" s="57"/>
      <c r="DG14" s="226"/>
      <c r="DH14" s="57"/>
      <c r="DJ14" s="51"/>
      <c r="DN14" s="80">
        <v>1918</v>
      </c>
      <c r="DO14" s="84">
        <v>10236</v>
      </c>
      <c r="DP14" s="81">
        <v>10236</v>
      </c>
      <c r="DQ14" s="81">
        <v>10236</v>
      </c>
      <c r="DR14" s="81">
        <v>10236</v>
      </c>
      <c r="DS14" s="81">
        <v>10236</v>
      </c>
      <c r="DT14" s="81">
        <v>10236</v>
      </c>
      <c r="DU14" s="81">
        <v>10236</v>
      </c>
      <c r="DV14" s="81">
        <v>10236</v>
      </c>
      <c r="DW14" s="81">
        <v>10236</v>
      </c>
      <c r="DX14" s="81">
        <v>10236</v>
      </c>
      <c r="DY14" s="81">
        <v>10236</v>
      </c>
      <c r="DZ14" s="81">
        <v>10236</v>
      </c>
      <c r="EA14" s="81">
        <v>10236</v>
      </c>
      <c r="EB14" s="82">
        <v>10236</v>
      </c>
      <c r="EE14" s="88">
        <v>1918</v>
      </c>
      <c r="EF14" s="125">
        <v>11892</v>
      </c>
      <c r="EG14" s="103">
        <v>11892</v>
      </c>
      <c r="EH14" s="98"/>
      <c r="EI14" s="103"/>
      <c r="EJ14" s="103"/>
      <c r="EK14" s="103"/>
      <c r="EL14" s="103"/>
      <c r="EM14" s="111">
        <v>10236</v>
      </c>
      <c r="EN14" s="103">
        <v>10236</v>
      </c>
      <c r="EO14" s="108">
        <v>10236</v>
      </c>
      <c r="EP14" s="81">
        <v>10236</v>
      </c>
      <c r="EQ14" s="81">
        <v>10236</v>
      </c>
      <c r="ER14" s="81">
        <v>10236</v>
      </c>
      <c r="ES14" s="81">
        <v>10236</v>
      </c>
      <c r="ET14" s="81">
        <v>10236</v>
      </c>
      <c r="EU14" s="81">
        <v>10236</v>
      </c>
      <c r="EV14" s="81">
        <v>10236</v>
      </c>
      <c r="EW14" s="81">
        <v>10236</v>
      </c>
      <c r="EX14" s="81">
        <v>10236</v>
      </c>
      <c r="EY14" s="81">
        <v>10236</v>
      </c>
      <c r="EZ14" s="81">
        <v>10236</v>
      </c>
      <c r="FA14" s="81">
        <v>10236</v>
      </c>
      <c r="FB14" s="82">
        <v>10236</v>
      </c>
    </row>
    <row r="15" spans="1:158" ht="15.75" x14ac:dyDescent="0.25">
      <c r="A15" s="132">
        <v>55</v>
      </c>
      <c r="B15" s="49">
        <v>0.45</v>
      </c>
      <c r="C15" s="73"/>
      <c r="D15" s="215">
        <f t="shared" si="0"/>
        <v>10</v>
      </c>
      <c r="E15" s="216">
        <f>[1]!PBGCLRF(65+D15/12)</f>
        <v>1.0832999999999999</v>
      </c>
      <c r="F15" s="73"/>
      <c r="G15" s="144">
        <v>0</v>
      </c>
      <c r="H15" s="145">
        <v>0</v>
      </c>
      <c r="I15" s="73"/>
      <c r="J15" s="48">
        <v>11</v>
      </c>
      <c r="K15" s="49">
        <v>0.94499999999999995</v>
      </c>
      <c r="L15" s="73"/>
      <c r="M15" s="155">
        <v>11</v>
      </c>
      <c r="N15" s="49">
        <v>1.1158999999999999</v>
      </c>
      <c r="O15" s="73"/>
      <c r="P15" s="73"/>
      <c r="Q15" s="73"/>
      <c r="R15" s="161">
        <v>0.73880000000000001</v>
      </c>
      <c r="S15" s="159">
        <v>0.73970000000000002</v>
      </c>
      <c r="T15" s="159">
        <v>0.74070000000000003</v>
      </c>
      <c r="U15" s="159">
        <v>0.74180000000000001</v>
      </c>
      <c r="V15" s="159">
        <v>0.74280000000000002</v>
      </c>
      <c r="W15" s="159">
        <v>0.74399999999999999</v>
      </c>
      <c r="X15" s="159">
        <v>0.74519999999999997</v>
      </c>
      <c r="Y15" s="159">
        <v>0.74639999999999995</v>
      </c>
      <c r="Z15" s="159">
        <v>0.74770000000000003</v>
      </c>
      <c r="AA15" s="159">
        <v>0.74909999999999999</v>
      </c>
      <c r="AB15" s="159">
        <v>0.75049999999999994</v>
      </c>
      <c r="AC15" s="159">
        <v>0.752</v>
      </c>
      <c r="AD15" s="159">
        <v>0.75349999999999995</v>
      </c>
      <c r="AE15" s="159">
        <v>0.75509999999999999</v>
      </c>
      <c r="AF15" s="159">
        <v>0.75680000000000003</v>
      </c>
      <c r="AG15" s="159">
        <v>0.75849999999999995</v>
      </c>
      <c r="AH15" s="159">
        <v>0.76</v>
      </c>
      <c r="AI15" s="159">
        <v>0.76160000000000005</v>
      </c>
      <c r="AJ15" s="159">
        <v>0.76329999999999998</v>
      </c>
      <c r="AK15" s="159">
        <v>0.7651</v>
      </c>
      <c r="AL15" s="159">
        <v>0.76700000000000002</v>
      </c>
      <c r="AM15" s="159">
        <v>0.76900000000000002</v>
      </c>
      <c r="AN15" s="159">
        <v>0.77110000000000001</v>
      </c>
      <c r="AO15" s="159">
        <v>0.77329999999999999</v>
      </c>
      <c r="AP15" s="159">
        <v>0.77569999999999995</v>
      </c>
      <c r="AQ15" s="159">
        <v>0.7782</v>
      </c>
      <c r="AR15" s="159">
        <v>0.78080000000000005</v>
      </c>
      <c r="AS15" s="159">
        <v>0.78359999999999996</v>
      </c>
      <c r="AT15" s="159">
        <v>0.78649999999999998</v>
      </c>
      <c r="AU15" s="159">
        <v>0.78949999999999998</v>
      </c>
      <c r="AV15" s="159">
        <v>0.79269999999999996</v>
      </c>
      <c r="AW15" s="159">
        <v>0.79600000000000004</v>
      </c>
      <c r="AX15" s="159">
        <v>0.79949999999999999</v>
      </c>
      <c r="AY15" s="159">
        <v>0.80310000000000004</v>
      </c>
      <c r="AZ15" s="159">
        <v>0.80689999999999995</v>
      </c>
      <c r="BA15" s="159">
        <v>0.81079999999999997</v>
      </c>
      <c r="BB15" s="159">
        <v>0.81489999999999996</v>
      </c>
      <c r="BC15" s="159">
        <v>0.81920000000000004</v>
      </c>
      <c r="BD15" s="159">
        <v>0.8236</v>
      </c>
      <c r="BE15" s="159">
        <v>0.82809999999999995</v>
      </c>
      <c r="BF15" s="159">
        <v>0.83279999999999998</v>
      </c>
      <c r="BG15" s="159">
        <v>0.8377</v>
      </c>
      <c r="BH15" s="159">
        <v>0.84279999999999999</v>
      </c>
      <c r="BI15" s="159">
        <v>0.84799999999999998</v>
      </c>
      <c r="BJ15" s="159">
        <v>0.85329999999999995</v>
      </c>
      <c r="BK15" s="159">
        <v>0.85880000000000001</v>
      </c>
      <c r="BL15" s="159">
        <v>0.86450000000000005</v>
      </c>
      <c r="BM15" s="159">
        <v>0.87029999999999996</v>
      </c>
      <c r="BN15" s="159">
        <v>0.87619999999999998</v>
      </c>
      <c r="BO15" s="159">
        <v>0.88229999999999997</v>
      </c>
      <c r="BP15" s="159">
        <v>0.88849999999999996</v>
      </c>
      <c r="BQ15" s="159">
        <v>0.89480000000000004</v>
      </c>
      <c r="BR15" s="159">
        <v>0.90110000000000001</v>
      </c>
      <c r="BS15" s="159">
        <v>0.90759999999999996</v>
      </c>
      <c r="BT15" s="159">
        <v>0.91420000000000001</v>
      </c>
      <c r="BU15" s="159">
        <v>0.92079999999999995</v>
      </c>
      <c r="BV15" s="159">
        <v>0.92749999999999999</v>
      </c>
      <c r="BW15" s="159">
        <v>0.93430000000000002</v>
      </c>
      <c r="BX15" s="159">
        <v>0.94110000000000005</v>
      </c>
      <c r="BY15" s="159">
        <v>0.94779999999999998</v>
      </c>
      <c r="BZ15" s="159">
        <v>0.9546</v>
      </c>
      <c r="CA15" s="159">
        <v>0.96130000000000004</v>
      </c>
      <c r="CB15" s="159">
        <v>0.96799999999999997</v>
      </c>
      <c r="CC15" s="159">
        <v>0.97460000000000002</v>
      </c>
      <c r="CD15" s="159">
        <v>0.98119999999999996</v>
      </c>
      <c r="CE15" s="159">
        <v>0.98760000000000003</v>
      </c>
      <c r="CF15" s="159">
        <v>0.99380000000000002</v>
      </c>
      <c r="CG15" s="159">
        <v>0.99990000000000001</v>
      </c>
      <c r="CH15" s="159">
        <v>1.0059</v>
      </c>
      <c r="CI15" s="159">
        <v>1.0117</v>
      </c>
      <c r="CJ15" s="159">
        <v>1.0174000000000001</v>
      </c>
      <c r="CK15" s="159">
        <v>1.0228999999999999</v>
      </c>
      <c r="CL15" s="159">
        <v>1.0282</v>
      </c>
      <c r="CM15" s="159">
        <v>1.0331999999999999</v>
      </c>
      <c r="CN15" s="49">
        <v>1.0381</v>
      </c>
      <c r="CO15" s="73"/>
      <c r="CP15" s="41"/>
      <c r="CS15" s="38"/>
      <c r="CU15" t="s">
        <v>3</v>
      </c>
      <c r="CY15" s="42"/>
      <c r="DF15" s="57"/>
      <c r="DG15" s="226"/>
      <c r="DH15" s="57"/>
      <c r="DJ15" t="s">
        <v>671</v>
      </c>
      <c r="DK15" t="s">
        <v>670</v>
      </c>
      <c r="DN15" s="80">
        <v>1919</v>
      </c>
      <c r="DO15" s="84">
        <v>11232</v>
      </c>
      <c r="DP15" s="81">
        <v>11232</v>
      </c>
      <c r="DQ15" s="81">
        <v>11232</v>
      </c>
      <c r="DR15" s="81">
        <v>11232</v>
      </c>
      <c r="DS15" s="81">
        <v>11232</v>
      </c>
      <c r="DT15" s="81">
        <v>11232</v>
      </c>
      <c r="DU15" s="81">
        <v>11232</v>
      </c>
      <c r="DV15" s="81">
        <v>11232</v>
      </c>
      <c r="DW15" s="81">
        <v>11232</v>
      </c>
      <c r="DX15" s="81">
        <v>11232</v>
      </c>
      <c r="DY15" s="81">
        <v>11232</v>
      </c>
      <c r="DZ15" s="81">
        <v>11232</v>
      </c>
      <c r="EA15" s="81">
        <v>11232</v>
      </c>
      <c r="EB15" s="82">
        <v>11232</v>
      </c>
      <c r="EE15" s="88">
        <v>1919</v>
      </c>
      <c r="EF15" s="125">
        <v>12708</v>
      </c>
      <c r="EG15" s="103">
        <v>12840</v>
      </c>
      <c r="EH15" s="98">
        <v>12640</v>
      </c>
      <c r="EI15" s="103"/>
      <c r="EJ15" s="103"/>
      <c r="EK15" s="103"/>
      <c r="EL15" s="103"/>
      <c r="EM15" s="111">
        <v>11232</v>
      </c>
      <c r="EN15" s="103">
        <v>11232</v>
      </c>
      <c r="EO15" s="108">
        <v>11232</v>
      </c>
      <c r="EP15" s="81">
        <v>11232</v>
      </c>
      <c r="EQ15" s="81">
        <v>11232</v>
      </c>
      <c r="ER15" s="81">
        <v>11232</v>
      </c>
      <c r="ES15" s="81">
        <v>11232</v>
      </c>
      <c r="ET15" s="81">
        <v>11232</v>
      </c>
      <c r="EU15" s="81">
        <v>11232</v>
      </c>
      <c r="EV15" s="81">
        <v>11232</v>
      </c>
      <c r="EW15" s="81">
        <v>11232</v>
      </c>
      <c r="EX15" s="81">
        <v>11232</v>
      </c>
      <c r="EY15" s="81">
        <v>11232</v>
      </c>
      <c r="EZ15" s="81">
        <v>11232</v>
      </c>
      <c r="FA15" s="81">
        <v>11232</v>
      </c>
      <c r="FB15" s="82">
        <v>11232</v>
      </c>
    </row>
    <row r="16" spans="1:158" ht="15.75" x14ac:dyDescent="0.25">
      <c r="A16" s="48">
        <v>54</v>
      </c>
      <c r="B16" s="49">
        <v>0.43</v>
      </c>
      <c r="C16" s="73"/>
      <c r="D16" s="215">
        <f t="shared" si="0"/>
        <v>11</v>
      </c>
      <c r="E16" s="216">
        <f>[1]!PBGCLRF(65+D16/12)</f>
        <v>1.0916999999999999</v>
      </c>
      <c r="F16" s="73"/>
      <c r="G16" s="147">
        <v>3</v>
      </c>
      <c r="H16" s="148">
        <v>0.2</v>
      </c>
      <c r="I16" s="73"/>
      <c r="J16" s="48">
        <v>12</v>
      </c>
      <c r="K16" s="49">
        <v>0.94</v>
      </c>
      <c r="L16" s="73"/>
      <c r="M16" s="155">
        <v>12</v>
      </c>
      <c r="N16" s="49">
        <v>1.1271</v>
      </c>
      <c r="O16" s="73"/>
      <c r="P16" s="73"/>
      <c r="Q16" s="73"/>
      <c r="R16" s="161">
        <v>0.73150000000000004</v>
      </c>
      <c r="S16" s="159">
        <v>0.73250000000000004</v>
      </c>
      <c r="T16" s="159">
        <v>0.73350000000000004</v>
      </c>
      <c r="U16" s="159">
        <v>0.73450000000000004</v>
      </c>
      <c r="V16" s="159">
        <v>0.73560000000000003</v>
      </c>
      <c r="W16" s="159">
        <v>0.73680000000000001</v>
      </c>
      <c r="X16" s="159">
        <v>0.73799999999999999</v>
      </c>
      <c r="Y16" s="159">
        <v>0.73919999999999997</v>
      </c>
      <c r="Z16" s="159">
        <v>0.74050000000000005</v>
      </c>
      <c r="AA16" s="159">
        <v>0.7419</v>
      </c>
      <c r="AB16" s="159">
        <v>0.74329999999999996</v>
      </c>
      <c r="AC16" s="159">
        <v>0.74480000000000002</v>
      </c>
      <c r="AD16" s="159">
        <v>0.74629999999999996</v>
      </c>
      <c r="AE16" s="159">
        <v>0.748</v>
      </c>
      <c r="AF16" s="159">
        <v>0.74970000000000003</v>
      </c>
      <c r="AG16" s="159">
        <v>0.75139999999999996</v>
      </c>
      <c r="AH16" s="159">
        <v>0.75290000000000001</v>
      </c>
      <c r="AI16" s="159">
        <v>0.75449999999999995</v>
      </c>
      <c r="AJ16" s="159">
        <v>0.75619999999999998</v>
      </c>
      <c r="AK16" s="159">
        <v>0.75800000000000001</v>
      </c>
      <c r="AL16" s="159">
        <v>0.75990000000000002</v>
      </c>
      <c r="AM16" s="159">
        <v>0.76190000000000002</v>
      </c>
      <c r="AN16" s="159">
        <v>0.76400000000000001</v>
      </c>
      <c r="AO16" s="159">
        <v>0.76629999999999998</v>
      </c>
      <c r="AP16" s="159">
        <v>0.76870000000000005</v>
      </c>
      <c r="AQ16" s="159">
        <v>0.7712</v>
      </c>
      <c r="AR16" s="159">
        <v>0.77380000000000004</v>
      </c>
      <c r="AS16" s="159">
        <v>0.77659999999999996</v>
      </c>
      <c r="AT16" s="159">
        <v>0.77949999999999997</v>
      </c>
      <c r="AU16" s="159">
        <v>0.78259999999999996</v>
      </c>
      <c r="AV16" s="159">
        <v>0.78580000000000005</v>
      </c>
      <c r="AW16" s="159">
        <v>0.78910000000000002</v>
      </c>
      <c r="AX16" s="159">
        <v>0.79269999999999996</v>
      </c>
      <c r="AY16" s="159">
        <v>0.79630000000000001</v>
      </c>
      <c r="AZ16" s="159">
        <v>0.80020000000000002</v>
      </c>
      <c r="BA16" s="159">
        <v>0.80420000000000003</v>
      </c>
      <c r="BB16" s="159">
        <v>0.80830000000000002</v>
      </c>
      <c r="BC16" s="159">
        <v>0.81259999999999999</v>
      </c>
      <c r="BD16" s="159">
        <v>0.81710000000000005</v>
      </c>
      <c r="BE16" s="159">
        <v>0.82179999999999997</v>
      </c>
      <c r="BF16" s="159">
        <v>0.8266</v>
      </c>
      <c r="BG16" s="159">
        <v>0.83160000000000001</v>
      </c>
      <c r="BH16" s="159">
        <v>0.8367</v>
      </c>
      <c r="BI16" s="159">
        <v>0.84199999999999997</v>
      </c>
      <c r="BJ16" s="159">
        <v>0.84750000000000003</v>
      </c>
      <c r="BK16" s="159">
        <v>0.85319999999999996</v>
      </c>
      <c r="BL16" s="159">
        <v>0.85899999999999999</v>
      </c>
      <c r="BM16" s="159">
        <v>0.86499999999999999</v>
      </c>
      <c r="BN16" s="159">
        <v>0.87109999999999999</v>
      </c>
      <c r="BO16" s="159">
        <v>0.87729999999999997</v>
      </c>
      <c r="BP16" s="159">
        <v>0.88370000000000004</v>
      </c>
      <c r="BQ16" s="159">
        <v>0.89029999999999998</v>
      </c>
      <c r="BR16" s="159">
        <v>0.89690000000000003</v>
      </c>
      <c r="BS16" s="159">
        <v>0.90359999999999996</v>
      </c>
      <c r="BT16" s="159">
        <v>0.91049999999999998</v>
      </c>
      <c r="BU16" s="159">
        <v>0.91739999999999999</v>
      </c>
      <c r="BV16" s="159">
        <v>0.9244</v>
      </c>
      <c r="BW16" s="159">
        <v>0.93149999999999999</v>
      </c>
      <c r="BX16" s="159">
        <v>0.93859999999999999</v>
      </c>
      <c r="BY16" s="159">
        <v>0.94579999999999997</v>
      </c>
      <c r="BZ16" s="159">
        <v>0.95289999999999997</v>
      </c>
      <c r="CA16" s="159">
        <v>0.96009999999999995</v>
      </c>
      <c r="CB16" s="159">
        <v>0.96719999999999995</v>
      </c>
      <c r="CC16" s="159">
        <v>0.97419999999999995</v>
      </c>
      <c r="CD16" s="159">
        <v>0.98119999999999996</v>
      </c>
      <c r="CE16" s="159">
        <v>0.98799999999999999</v>
      </c>
      <c r="CF16" s="159">
        <v>0.99470000000000003</v>
      </c>
      <c r="CG16" s="159">
        <v>1.0013000000000001</v>
      </c>
      <c r="CH16" s="159">
        <v>1.0077</v>
      </c>
      <c r="CI16" s="159">
        <v>1.014</v>
      </c>
      <c r="CJ16" s="159">
        <v>1.0201</v>
      </c>
      <c r="CK16" s="159">
        <v>1.0261</v>
      </c>
      <c r="CL16" s="159">
        <v>1.0318000000000001</v>
      </c>
      <c r="CM16" s="159">
        <v>1.0374000000000001</v>
      </c>
      <c r="CN16" s="49">
        <v>1.0427</v>
      </c>
      <c r="CO16" s="73"/>
      <c r="CP16" s="41"/>
      <c r="CS16" s="267" t="s">
        <v>538</v>
      </c>
      <c r="CU16" s="51" t="s">
        <v>17</v>
      </c>
      <c r="CX16" s="41">
        <v>8.3999999999999995E-3</v>
      </c>
      <c r="CY16" s="42"/>
      <c r="DC16" t="s">
        <v>458</v>
      </c>
      <c r="DD16">
        <f>DCOUNT(Active_Vesteds,"PVPBL_ANN_RATES",All_Criteria)</f>
        <v>0</v>
      </c>
      <c r="DE16" t="s">
        <v>177</v>
      </c>
      <c r="DF16" s="226">
        <v>0</v>
      </c>
      <c r="DG16" s="226">
        <v>0</v>
      </c>
      <c r="DH16" s="57">
        <f>DF16 + DG16</f>
        <v>0</v>
      </c>
      <c r="DJ16" t="e">
        <f>DSUM(Active_Vesteds,"BNNFA_PVMB_NO_LOAD",All_Criteria)</f>
        <v>#VALUE!</v>
      </c>
      <c r="DK16" t="e">
        <f>DSUM(Active_Vesteds,"BNNFA_LOAD",All_Criteria)</f>
        <v>#VALUE!</v>
      </c>
      <c r="DN16" s="80">
        <v>1920</v>
      </c>
      <c r="DO16" s="84">
        <v>12276</v>
      </c>
      <c r="DP16" s="81">
        <v>12276</v>
      </c>
      <c r="DQ16" s="81">
        <v>12276</v>
      </c>
      <c r="DR16" s="81">
        <v>12276</v>
      </c>
      <c r="DS16" s="81">
        <v>12276</v>
      </c>
      <c r="DT16" s="81">
        <v>12276</v>
      </c>
      <c r="DU16" s="81">
        <v>12276</v>
      </c>
      <c r="DV16" s="81">
        <v>12276</v>
      </c>
      <c r="DW16" s="81">
        <v>12276</v>
      </c>
      <c r="DX16" s="81">
        <v>12276</v>
      </c>
      <c r="DY16" s="81">
        <v>12276</v>
      </c>
      <c r="DZ16" s="81">
        <v>12276</v>
      </c>
      <c r="EA16" s="81">
        <v>12276</v>
      </c>
      <c r="EB16" s="82">
        <v>12276</v>
      </c>
      <c r="EE16" s="88">
        <v>1920</v>
      </c>
      <c r="EF16" s="125">
        <v>13464</v>
      </c>
      <c r="EG16" s="103">
        <v>13716</v>
      </c>
      <c r="EH16" s="98">
        <v>13800</v>
      </c>
      <c r="EI16" s="103">
        <v>13800</v>
      </c>
      <c r="EJ16" s="103"/>
      <c r="EK16" s="103"/>
      <c r="EL16" s="103"/>
      <c r="EM16" s="111">
        <v>12276</v>
      </c>
      <c r="EN16" s="103">
        <v>12276</v>
      </c>
      <c r="EO16" s="108">
        <v>12276</v>
      </c>
      <c r="EP16" s="81">
        <v>12276</v>
      </c>
      <c r="EQ16" s="81">
        <v>12276</v>
      </c>
      <c r="ER16" s="81">
        <v>12276</v>
      </c>
      <c r="ES16" s="81">
        <v>12276</v>
      </c>
      <c r="ET16" s="81">
        <v>12276</v>
      </c>
      <c r="EU16" s="81">
        <v>12276</v>
      </c>
      <c r="EV16" s="81">
        <v>12276</v>
      </c>
      <c r="EW16" s="81">
        <v>12276</v>
      </c>
      <c r="EX16" s="81">
        <v>12276</v>
      </c>
      <c r="EY16" s="81">
        <v>12276</v>
      </c>
      <c r="EZ16" s="81">
        <v>12276</v>
      </c>
      <c r="FA16" s="81">
        <v>12276</v>
      </c>
      <c r="FB16" s="82">
        <v>12276</v>
      </c>
    </row>
    <row r="17" spans="1:158" ht="15.75" x14ac:dyDescent="0.25">
      <c r="A17" s="132">
        <v>53</v>
      </c>
      <c r="B17" s="49">
        <v>0.41</v>
      </c>
      <c r="C17" s="73"/>
      <c r="D17" s="215">
        <f t="shared" si="0"/>
        <v>12</v>
      </c>
      <c r="E17" s="216">
        <f>[1]!PBGCLRF(65+D17/12)</f>
        <v>1.1000000000000001</v>
      </c>
      <c r="F17" s="73"/>
      <c r="G17" s="147">
        <v>4</v>
      </c>
      <c r="H17" s="148">
        <v>0.4</v>
      </c>
      <c r="I17" s="73"/>
      <c r="J17" s="48">
        <v>13</v>
      </c>
      <c r="K17" s="49">
        <v>0.93500000000000005</v>
      </c>
      <c r="L17" s="73"/>
      <c r="M17" s="155">
        <v>13</v>
      </c>
      <c r="N17" s="49">
        <v>1.1385000000000001</v>
      </c>
      <c r="O17" s="73"/>
      <c r="P17" s="73"/>
      <c r="Q17" s="73"/>
      <c r="R17" s="161">
        <v>0.72440000000000004</v>
      </c>
      <c r="S17" s="159">
        <v>0.72540000000000004</v>
      </c>
      <c r="T17" s="159">
        <v>0.72640000000000005</v>
      </c>
      <c r="U17" s="159">
        <v>0.72750000000000004</v>
      </c>
      <c r="V17" s="159">
        <v>0.72860000000000003</v>
      </c>
      <c r="W17" s="159">
        <v>0.72970000000000002</v>
      </c>
      <c r="X17" s="159">
        <v>0.73089999999999999</v>
      </c>
      <c r="Y17" s="159">
        <v>0.73219999999999996</v>
      </c>
      <c r="Z17" s="159">
        <v>0.73350000000000004</v>
      </c>
      <c r="AA17" s="159">
        <v>0.7349</v>
      </c>
      <c r="AB17" s="159">
        <v>0.73629999999999995</v>
      </c>
      <c r="AC17" s="159">
        <v>0.73780000000000001</v>
      </c>
      <c r="AD17" s="159">
        <v>0.73929999999999996</v>
      </c>
      <c r="AE17" s="159">
        <v>0.74099999999999999</v>
      </c>
      <c r="AF17" s="159">
        <v>0.74270000000000003</v>
      </c>
      <c r="AG17" s="159">
        <v>0.74450000000000005</v>
      </c>
      <c r="AH17" s="159">
        <v>0.746</v>
      </c>
      <c r="AI17" s="159">
        <v>0.74760000000000004</v>
      </c>
      <c r="AJ17" s="159">
        <v>0.74929999999999997</v>
      </c>
      <c r="AK17" s="159">
        <v>0.751</v>
      </c>
      <c r="AL17" s="159">
        <v>0.753</v>
      </c>
      <c r="AM17" s="159">
        <v>0.755</v>
      </c>
      <c r="AN17" s="159">
        <v>0.7571</v>
      </c>
      <c r="AO17" s="159">
        <v>0.75939999999999996</v>
      </c>
      <c r="AP17" s="159">
        <v>0.76180000000000003</v>
      </c>
      <c r="AQ17" s="159">
        <v>0.76429999999999998</v>
      </c>
      <c r="AR17" s="159">
        <v>0.76690000000000003</v>
      </c>
      <c r="AS17" s="159">
        <v>0.76970000000000005</v>
      </c>
      <c r="AT17" s="159">
        <v>0.77270000000000005</v>
      </c>
      <c r="AU17" s="159">
        <v>0.77580000000000005</v>
      </c>
      <c r="AV17" s="159">
        <v>0.77900000000000003</v>
      </c>
      <c r="AW17" s="159">
        <v>0.78239999999999998</v>
      </c>
      <c r="AX17" s="159">
        <v>0.78600000000000003</v>
      </c>
      <c r="AY17" s="159">
        <v>0.78969999999999996</v>
      </c>
      <c r="AZ17" s="159">
        <v>0.79359999999999997</v>
      </c>
      <c r="BA17" s="159">
        <v>0.79759999999999998</v>
      </c>
      <c r="BB17" s="159">
        <v>0.80189999999999995</v>
      </c>
      <c r="BC17" s="159">
        <v>0.80620000000000003</v>
      </c>
      <c r="BD17" s="159">
        <v>0.81079999999999997</v>
      </c>
      <c r="BE17" s="159">
        <v>0.8155</v>
      </c>
      <c r="BF17" s="159">
        <v>0.82040000000000002</v>
      </c>
      <c r="BG17" s="159">
        <v>0.82550000000000001</v>
      </c>
      <c r="BH17" s="159">
        <v>0.83079999999999998</v>
      </c>
      <c r="BI17" s="159">
        <v>0.83620000000000005</v>
      </c>
      <c r="BJ17" s="159">
        <v>0.84189999999999998</v>
      </c>
      <c r="BK17" s="159">
        <v>0.84770000000000001</v>
      </c>
      <c r="BL17" s="159">
        <v>0.85360000000000003</v>
      </c>
      <c r="BM17" s="159">
        <v>0.85980000000000001</v>
      </c>
      <c r="BN17" s="159">
        <v>0.86609999999999998</v>
      </c>
      <c r="BO17" s="159">
        <v>0.87250000000000005</v>
      </c>
      <c r="BP17" s="159">
        <v>0.87909999999999999</v>
      </c>
      <c r="BQ17" s="159">
        <v>0.88590000000000002</v>
      </c>
      <c r="BR17" s="159">
        <v>0.89270000000000005</v>
      </c>
      <c r="BS17" s="159">
        <v>0.89970000000000006</v>
      </c>
      <c r="BT17" s="159">
        <v>0.90690000000000004</v>
      </c>
      <c r="BU17" s="159">
        <v>0.91410000000000002</v>
      </c>
      <c r="BV17" s="159">
        <v>0.9214</v>
      </c>
      <c r="BW17" s="159">
        <v>0.92879999999999996</v>
      </c>
      <c r="BX17" s="159">
        <v>0.93630000000000002</v>
      </c>
      <c r="BY17" s="159">
        <v>0.94379999999999997</v>
      </c>
      <c r="BZ17" s="159">
        <v>0.95140000000000002</v>
      </c>
      <c r="CA17" s="159">
        <v>0.95889999999999997</v>
      </c>
      <c r="CB17" s="159">
        <v>0.96640000000000004</v>
      </c>
      <c r="CC17" s="159">
        <v>0.97389999999999999</v>
      </c>
      <c r="CD17" s="159">
        <v>0.98129999999999995</v>
      </c>
      <c r="CE17" s="159">
        <v>0.98860000000000003</v>
      </c>
      <c r="CF17" s="159">
        <v>0.99580000000000002</v>
      </c>
      <c r="CG17" s="159">
        <v>1.0027999999999999</v>
      </c>
      <c r="CH17" s="159">
        <v>1.0097</v>
      </c>
      <c r="CI17" s="159">
        <v>1.0165</v>
      </c>
      <c r="CJ17" s="159">
        <v>1.0230999999999999</v>
      </c>
      <c r="CK17" s="159">
        <v>1.0296000000000001</v>
      </c>
      <c r="CL17" s="159">
        <v>1.0358000000000001</v>
      </c>
      <c r="CM17" s="159">
        <v>1.0419</v>
      </c>
      <c r="CN17" s="49">
        <v>1.0476000000000001</v>
      </c>
      <c r="CO17" s="73"/>
      <c r="CP17" s="41"/>
      <c r="CS17" s="40">
        <v>38793</v>
      </c>
      <c r="CY17" s="42"/>
      <c r="DC17" t="s">
        <v>429</v>
      </c>
      <c r="DD17">
        <f>DCOUNT(Separated_Vesteds,"PVPBL_ANN_RATES",All_Criteria)</f>
        <v>0</v>
      </c>
      <c r="DE17" t="s">
        <v>177</v>
      </c>
      <c r="DF17" s="226">
        <v>0</v>
      </c>
      <c r="DG17" s="226">
        <v>0</v>
      </c>
      <c r="DH17" s="57">
        <f>DF17 + DG17</f>
        <v>0</v>
      </c>
      <c r="DN17" s="80">
        <v>1921</v>
      </c>
      <c r="DO17" s="84">
        <v>13368</v>
      </c>
      <c r="DP17" s="81">
        <v>13368</v>
      </c>
      <c r="DQ17" s="81">
        <v>13368</v>
      </c>
      <c r="DR17" s="81">
        <v>13368</v>
      </c>
      <c r="DS17" s="81">
        <v>13368</v>
      </c>
      <c r="DT17" s="81">
        <v>13368</v>
      </c>
      <c r="DU17" s="81">
        <v>13368</v>
      </c>
      <c r="DV17" s="81">
        <v>13368</v>
      </c>
      <c r="DW17" s="81">
        <v>13368</v>
      </c>
      <c r="DX17" s="81">
        <v>13368</v>
      </c>
      <c r="DY17" s="81">
        <v>13368</v>
      </c>
      <c r="DZ17" s="81">
        <v>13368</v>
      </c>
      <c r="EA17" s="81">
        <v>13368</v>
      </c>
      <c r="EB17" s="82">
        <v>13368</v>
      </c>
      <c r="EE17" s="88">
        <v>1921</v>
      </c>
      <c r="EF17" s="125">
        <v>14172</v>
      </c>
      <c r="EG17" s="103">
        <v>14532</v>
      </c>
      <c r="EH17" s="98">
        <v>14688</v>
      </c>
      <c r="EI17" s="103">
        <v>14760</v>
      </c>
      <c r="EJ17" s="103">
        <v>14760</v>
      </c>
      <c r="EK17" s="103"/>
      <c r="EL17" s="103"/>
      <c r="EM17" s="111">
        <v>13368</v>
      </c>
      <c r="EN17" s="103">
        <v>13368</v>
      </c>
      <c r="EO17" s="108">
        <v>13368</v>
      </c>
      <c r="EP17" s="81">
        <v>13368</v>
      </c>
      <c r="EQ17" s="81">
        <v>13368</v>
      </c>
      <c r="ER17" s="81">
        <v>13368</v>
      </c>
      <c r="ES17" s="81">
        <v>13368</v>
      </c>
      <c r="ET17" s="81">
        <v>13368</v>
      </c>
      <c r="EU17" s="81">
        <v>13368</v>
      </c>
      <c r="EV17" s="81">
        <v>13368</v>
      </c>
      <c r="EW17" s="81">
        <v>13368</v>
      </c>
      <c r="EX17" s="81">
        <v>13368</v>
      </c>
      <c r="EY17" s="81">
        <v>13368</v>
      </c>
      <c r="EZ17" s="81">
        <v>13368</v>
      </c>
      <c r="FA17" s="81">
        <v>13368</v>
      </c>
      <c r="FB17" s="82">
        <v>13368</v>
      </c>
    </row>
    <row r="18" spans="1:158" ht="15.75" x14ac:dyDescent="0.25">
      <c r="A18" s="48">
        <v>52</v>
      </c>
      <c r="B18" s="49">
        <v>0.39</v>
      </c>
      <c r="C18" s="73"/>
      <c r="D18" s="215">
        <f t="shared" si="0"/>
        <v>13</v>
      </c>
      <c r="E18" s="216">
        <f>[1]!PBGCLRF(65+D18/12)</f>
        <v>1.1092</v>
      </c>
      <c r="F18" s="73"/>
      <c r="G18" s="147">
        <v>5</v>
      </c>
      <c r="H18" s="148">
        <v>0.6</v>
      </c>
      <c r="I18" s="73"/>
      <c r="J18" s="48">
        <v>14</v>
      </c>
      <c r="K18" s="49">
        <v>0.93</v>
      </c>
      <c r="L18" s="73"/>
      <c r="M18" s="155">
        <v>14</v>
      </c>
      <c r="N18" s="49">
        <v>1.1500999999999999</v>
      </c>
      <c r="O18" s="73"/>
      <c r="P18" s="73"/>
      <c r="Q18" s="73"/>
      <c r="R18" s="161">
        <v>0.71760000000000002</v>
      </c>
      <c r="S18" s="159">
        <v>0.71850000000000003</v>
      </c>
      <c r="T18" s="159">
        <v>0.71950000000000003</v>
      </c>
      <c r="U18" s="159">
        <v>0.72060000000000002</v>
      </c>
      <c r="V18" s="159">
        <v>0.72170000000000001</v>
      </c>
      <c r="W18" s="159">
        <v>0.7228</v>
      </c>
      <c r="X18" s="159">
        <v>0.72409999999999997</v>
      </c>
      <c r="Y18" s="159">
        <v>0.72529999999999994</v>
      </c>
      <c r="Z18" s="159">
        <v>0.72660000000000002</v>
      </c>
      <c r="AA18" s="159">
        <v>0.72799999999999998</v>
      </c>
      <c r="AB18" s="159">
        <v>0.72950000000000004</v>
      </c>
      <c r="AC18" s="159">
        <v>0.73099999999999998</v>
      </c>
      <c r="AD18" s="159">
        <v>0.73250000000000004</v>
      </c>
      <c r="AE18" s="159">
        <v>0.73419999999999996</v>
      </c>
      <c r="AF18" s="159">
        <v>0.7359</v>
      </c>
      <c r="AG18" s="159">
        <v>0.73770000000000002</v>
      </c>
      <c r="AH18" s="159">
        <v>0.73919999999999997</v>
      </c>
      <c r="AI18" s="159">
        <v>0.74080000000000001</v>
      </c>
      <c r="AJ18" s="159">
        <v>0.74250000000000005</v>
      </c>
      <c r="AK18" s="159">
        <v>0.74429999999999996</v>
      </c>
      <c r="AL18" s="159">
        <v>0.74619999999999997</v>
      </c>
      <c r="AM18" s="159">
        <v>0.74819999999999998</v>
      </c>
      <c r="AN18" s="159">
        <v>0.75039999999999996</v>
      </c>
      <c r="AO18" s="159">
        <v>0.75270000000000004</v>
      </c>
      <c r="AP18" s="159">
        <v>0.75509999999999999</v>
      </c>
      <c r="AQ18" s="159">
        <v>0.75760000000000005</v>
      </c>
      <c r="AR18" s="159">
        <v>0.76029999999999998</v>
      </c>
      <c r="AS18" s="159">
        <v>0.7631</v>
      </c>
      <c r="AT18" s="159">
        <v>0.7661</v>
      </c>
      <c r="AU18" s="159">
        <v>0.76919999999999999</v>
      </c>
      <c r="AV18" s="159">
        <v>0.77249999999999996</v>
      </c>
      <c r="AW18" s="159">
        <v>0.77590000000000003</v>
      </c>
      <c r="AX18" s="159">
        <v>0.77949999999999997</v>
      </c>
      <c r="AY18" s="159">
        <v>0.7833</v>
      </c>
      <c r="AZ18" s="159">
        <v>0.78720000000000001</v>
      </c>
      <c r="BA18" s="159">
        <v>0.7913</v>
      </c>
      <c r="BB18" s="159">
        <v>0.79559999999999997</v>
      </c>
      <c r="BC18" s="159">
        <v>0.8</v>
      </c>
      <c r="BD18" s="159">
        <v>0.80469999999999997</v>
      </c>
      <c r="BE18" s="159">
        <v>0.8095</v>
      </c>
      <c r="BF18" s="159">
        <v>0.8145</v>
      </c>
      <c r="BG18" s="159">
        <v>0.81969999999999998</v>
      </c>
      <c r="BH18" s="159">
        <v>0.82499999999999996</v>
      </c>
      <c r="BI18" s="159">
        <v>0.8306</v>
      </c>
      <c r="BJ18" s="159">
        <v>0.83640000000000003</v>
      </c>
      <c r="BK18" s="159">
        <v>0.84230000000000005</v>
      </c>
      <c r="BL18" s="159">
        <v>0.84840000000000004</v>
      </c>
      <c r="BM18" s="159">
        <v>0.85470000000000002</v>
      </c>
      <c r="BN18" s="159">
        <v>0.86119999999999997</v>
      </c>
      <c r="BO18" s="159">
        <v>0.86780000000000002</v>
      </c>
      <c r="BP18" s="159">
        <v>0.87460000000000004</v>
      </c>
      <c r="BQ18" s="159">
        <v>0.88160000000000005</v>
      </c>
      <c r="BR18" s="159">
        <v>0.88870000000000005</v>
      </c>
      <c r="BS18" s="159">
        <v>0.89600000000000002</v>
      </c>
      <c r="BT18" s="159">
        <v>0.90339999999999998</v>
      </c>
      <c r="BU18" s="159">
        <v>0.91090000000000004</v>
      </c>
      <c r="BV18" s="159">
        <v>0.91859999999999997</v>
      </c>
      <c r="BW18" s="159">
        <v>0.92630000000000001</v>
      </c>
      <c r="BX18" s="159">
        <v>0.93420000000000003</v>
      </c>
      <c r="BY18" s="159">
        <v>0.94210000000000005</v>
      </c>
      <c r="BZ18" s="159">
        <v>0.95</v>
      </c>
      <c r="CA18" s="159">
        <v>0.95799999999999996</v>
      </c>
      <c r="CB18" s="159">
        <v>0.96589999999999998</v>
      </c>
      <c r="CC18" s="159">
        <v>0.9738</v>
      </c>
      <c r="CD18" s="159">
        <v>0.98170000000000002</v>
      </c>
      <c r="CE18" s="159">
        <v>0.98950000000000005</v>
      </c>
      <c r="CF18" s="159">
        <v>0.99709999999999999</v>
      </c>
      <c r="CG18" s="159">
        <v>1.0046999999999999</v>
      </c>
      <c r="CH18" s="159">
        <v>1.0121</v>
      </c>
      <c r="CI18" s="159">
        <v>1.0194000000000001</v>
      </c>
      <c r="CJ18" s="159">
        <v>1.0265</v>
      </c>
      <c r="CK18" s="159">
        <v>1.0335000000000001</v>
      </c>
      <c r="CL18" s="159">
        <v>1.0403</v>
      </c>
      <c r="CM18" s="159">
        <v>1.0468</v>
      </c>
      <c r="CN18" s="49">
        <v>1.0530999999999999</v>
      </c>
      <c r="CO18" s="73"/>
      <c r="CP18" s="41"/>
      <c r="CS18" s="38"/>
      <c r="CY18" s="42"/>
      <c r="DC18" t="s">
        <v>414</v>
      </c>
      <c r="DE18" t="s">
        <v>177</v>
      </c>
      <c r="DF18" s="57"/>
      <c r="DG18" s="226"/>
      <c r="DH18" s="57"/>
      <c r="DN18" s="80">
        <v>1922</v>
      </c>
      <c r="DO18" s="84">
        <v>14520</v>
      </c>
      <c r="DP18" s="81">
        <v>14520</v>
      </c>
      <c r="DQ18" s="81">
        <v>14520</v>
      </c>
      <c r="DR18" s="81">
        <v>14520</v>
      </c>
      <c r="DS18" s="81">
        <v>14520</v>
      </c>
      <c r="DT18" s="81">
        <v>14520</v>
      </c>
      <c r="DU18" s="81">
        <v>14520</v>
      </c>
      <c r="DV18" s="81">
        <v>14520</v>
      </c>
      <c r="DW18" s="81">
        <v>14520</v>
      </c>
      <c r="DX18" s="81">
        <v>14520</v>
      </c>
      <c r="DY18" s="81">
        <v>14520</v>
      </c>
      <c r="DZ18" s="81">
        <v>14520</v>
      </c>
      <c r="EA18" s="81">
        <v>14520</v>
      </c>
      <c r="EB18" s="82">
        <v>14520</v>
      </c>
      <c r="EE18" s="88">
        <v>1922</v>
      </c>
      <c r="EF18" s="125">
        <v>14820</v>
      </c>
      <c r="EG18" s="103">
        <v>15288</v>
      </c>
      <c r="EH18" s="98">
        <v>15516</v>
      </c>
      <c r="EI18" s="103">
        <v>15648</v>
      </c>
      <c r="EJ18" s="103">
        <v>15732</v>
      </c>
      <c r="EK18" s="103">
        <v>15732</v>
      </c>
      <c r="EL18" s="103"/>
      <c r="EM18" s="111">
        <v>14520</v>
      </c>
      <c r="EN18" s="103">
        <v>14520</v>
      </c>
      <c r="EO18" s="108">
        <v>14520</v>
      </c>
      <c r="EP18" s="81">
        <v>14520</v>
      </c>
      <c r="EQ18" s="81">
        <v>14520</v>
      </c>
      <c r="ER18" s="81">
        <v>14520</v>
      </c>
      <c r="ES18" s="81">
        <v>14520</v>
      </c>
      <c r="ET18" s="81">
        <v>14520</v>
      </c>
      <c r="EU18" s="81">
        <v>14520</v>
      </c>
      <c r="EV18" s="81">
        <v>14520</v>
      </c>
      <c r="EW18" s="81">
        <v>14520</v>
      </c>
      <c r="EX18" s="81">
        <v>14520</v>
      </c>
      <c r="EY18" s="81">
        <v>14520</v>
      </c>
      <c r="EZ18" s="81">
        <v>14520</v>
      </c>
      <c r="FA18" s="81">
        <v>14520</v>
      </c>
      <c r="FB18" s="82">
        <v>14520</v>
      </c>
    </row>
    <row r="19" spans="1:158" ht="15.75" x14ac:dyDescent="0.25">
      <c r="A19" s="132">
        <v>51</v>
      </c>
      <c r="B19" s="49">
        <v>0.37</v>
      </c>
      <c r="C19" s="73"/>
      <c r="D19" s="215">
        <f t="shared" si="0"/>
        <v>14</v>
      </c>
      <c r="E19" s="216">
        <f>[1]!PBGCLRF(65+D19/12)</f>
        <v>1.1183000000000001</v>
      </c>
      <c r="F19" s="73"/>
      <c r="G19" s="147">
        <v>6</v>
      </c>
      <c r="H19" s="148">
        <v>0.8</v>
      </c>
      <c r="I19" s="73"/>
      <c r="J19" s="48">
        <v>15</v>
      </c>
      <c r="K19" s="49">
        <v>0.92500000000000004</v>
      </c>
      <c r="L19" s="73"/>
      <c r="M19" s="155">
        <v>15</v>
      </c>
      <c r="N19" s="49">
        <v>1.1618999999999999</v>
      </c>
      <c r="O19" s="73"/>
      <c r="P19" s="73"/>
      <c r="Q19" s="73"/>
      <c r="R19" s="161">
        <v>0.71089999999999998</v>
      </c>
      <c r="S19" s="159">
        <v>0.71189999999999998</v>
      </c>
      <c r="T19" s="159">
        <v>0.71289999999999998</v>
      </c>
      <c r="U19" s="159">
        <v>0.71399999999999997</v>
      </c>
      <c r="V19" s="159">
        <v>0.71509999999999996</v>
      </c>
      <c r="W19" s="159">
        <v>0.71619999999999995</v>
      </c>
      <c r="X19" s="159">
        <v>0.71740000000000004</v>
      </c>
      <c r="Y19" s="159">
        <v>0.71870000000000001</v>
      </c>
      <c r="Z19" s="159">
        <v>0.72009999999999996</v>
      </c>
      <c r="AA19" s="159">
        <v>0.72140000000000004</v>
      </c>
      <c r="AB19" s="159">
        <v>0.72289999999999999</v>
      </c>
      <c r="AC19" s="159">
        <v>0.72440000000000004</v>
      </c>
      <c r="AD19" s="159">
        <v>0.72599999999999998</v>
      </c>
      <c r="AE19" s="159">
        <v>0.72770000000000001</v>
      </c>
      <c r="AF19" s="159">
        <v>0.72940000000000005</v>
      </c>
      <c r="AG19" s="159">
        <v>0.73119999999999996</v>
      </c>
      <c r="AH19" s="159">
        <v>0.73270000000000002</v>
      </c>
      <c r="AI19" s="159">
        <v>0.73429999999999995</v>
      </c>
      <c r="AJ19" s="159">
        <v>0.73599999999999999</v>
      </c>
      <c r="AK19" s="159">
        <v>0.73780000000000001</v>
      </c>
      <c r="AL19" s="159">
        <v>0.73970000000000002</v>
      </c>
      <c r="AM19" s="159">
        <v>0.74180000000000001</v>
      </c>
      <c r="AN19" s="159">
        <v>0.74390000000000001</v>
      </c>
      <c r="AO19" s="159">
        <v>0.74619999999999997</v>
      </c>
      <c r="AP19" s="159">
        <v>0.74860000000000004</v>
      </c>
      <c r="AQ19" s="159">
        <v>0.75119999999999998</v>
      </c>
      <c r="AR19" s="159">
        <v>0.75390000000000001</v>
      </c>
      <c r="AS19" s="159">
        <v>0.75670000000000004</v>
      </c>
      <c r="AT19" s="159">
        <v>0.75970000000000004</v>
      </c>
      <c r="AU19" s="159">
        <v>0.76290000000000002</v>
      </c>
      <c r="AV19" s="159">
        <v>0.76619999999999999</v>
      </c>
      <c r="AW19" s="159">
        <v>0.76959999999999995</v>
      </c>
      <c r="AX19" s="159">
        <v>0.77329999999999999</v>
      </c>
      <c r="AY19" s="159">
        <v>0.77710000000000001</v>
      </c>
      <c r="AZ19" s="159">
        <v>0.78110000000000002</v>
      </c>
      <c r="BA19" s="159">
        <v>0.78520000000000001</v>
      </c>
      <c r="BB19" s="159">
        <v>0.78959999999999997</v>
      </c>
      <c r="BC19" s="159">
        <v>0.79410000000000003</v>
      </c>
      <c r="BD19" s="159">
        <v>0.79879999999999995</v>
      </c>
      <c r="BE19" s="159">
        <v>0.80369999999999997</v>
      </c>
      <c r="BF19" s="159">
        <v>0.80879999999999996</v>
      </c>
      <c r="BG19" s="159">
        <v>0.81399999999999995</v>
      </c>
      <c r="BH19" s="159">
        <v>0.81950000000000001</v>
      </c>
      <c r="BI19" s="159">
        <v>0.82520000000000004</v>
      </c>
      <c r="BJ19" s="159">
        <v>0.83109999999999995</v>
      </c>
      <c r="BK19" s="159">
        <v>0.83720000000000006</v>
      </c>
      <c r="BL19" s="159">
        <v>0.84340000000000004</v>
      </c>
      <c r="BM19" s="159">
        <v>0.84989999999999999</v>
      </c>
      <c r="BN19" s="159">
        <v>0.85660000000000003</v>
      </c>
      <c r="BO19" s="159">
        <v>0.86339999999999995</v>
      </c>
      <c r="BP19" s="159">
        <v>0.87039999999999995</v>
      </c>
      <c r="BQ19" s="159">
        <v>0.87760000000000005</v>
      </c>
      <c r="BR19" s="159">
        <v>0.88500000000000001</v>
      </c>
      <c r="BS19" s="159">
        <v>0.89249999999999996</v>
      </c>
      <c r="BT19" s="159">
        <v>0.9002</v>
      </c>
      <c r="BU19" s="159">
        <v>0.90800000000000003</v>
      </c>
      <c r="BV19" s="159">
        <v>0.91600000000000004</v>
      </c>
      <c r="BW19" s="159">
        <v>0.92410000000000003</v>
      </c>
      <c r="BX19" s="159">
        <v>0.93230000000000002</v>
      </c>
      <c r="BY19" s="159">
        <v>0.94059999999999999</v>
      </c>
      <c r="BZ19" s="159">
        <v>0.94889999999999997</v>
      </c>
      <c r="CA19" s="159">
        <v>0.95730000000000004</v>
      </c>
      <c r="CB19" s="159">
        <v>0.9657</v>
      </c>
      <c r="CC19" s="159">
        <v>0.97409999999999997</v>
      </c>
      <c r="CD19" s="159">
        <v>0.98240000000000005</v>
      </c>
      <c r="CE19" s="159">
        <v>0.99070000000000003</v>
      </c>
      <c r="CF19" s="159">
        <v>0.99890000000000001</v>
      </c>
      <c r="CG19" s="159">
        <v>1.0068999999999999</v>
      </c>
      <c r="CH19" s="159">
        <v>1.0148999999999999</v>
      </c>
      <c r="CI19" s="159">
        <v>1.0226999999999999</v>
      </c>
      <c r="CJ19" s="159">
        <v>1.0304</v>
      </c>
      <c r="CK19" s="159">
        <v>1.038</v>
      </c>
      <c r="CL19" s="159">
        <v>1.0452999999999999</v>
      </c>
      <c r="CM19" s="159">
        <v>1.0524</v>
      </c>
      <c r="CN19" s="49">
        <v>1.0592999999999999</v>
      </c>
      <c r="CO19" s="73"/>
      <c r="CP19" s="41"/>
      <c r="CS19" s="267" t="s">
        <v>680</v>
      </c>
      <c r="CU19" s="37" t="s">
        <v>195</v>
      </c>
      <c r="CY19" s="42"/>
      <c r="DC19" t="s">
        <v>459</v>
      </c>
      <c r="DE19" t="s">
        <v>177</v>
      </c>
      <c r="DF19" s="57"/>
      <c r="DG19" s="226"/>
      <c r="DH19" s="57"/>
      <c r="DI19" s="228" t="s">
        <v>462</v>
      </c>
      <c r="DN19" s="80">
        <v>1923</v>
      </c>
      <c r="DO19" s="84">
        <v>15708</v>
      </c>
      <c r="DP19" s="81">
        <v>15708</v>
      </c>
      <c r="DQ19" s="81">
        <v>15708</v>
      </c>
      <c r="DR19" s="81">
        <v>15708</v>
      </c>
      <c r="DS19" s="81">
        <v>15708</v>
      </c>
      <c r="DT19" s="81">
        <v>15708</v>
      </c>
      <c r="DU19" s="81">
        <v>15708</v>
      </c>
      <c r="DV19" s="81">
        <v>15708</v>
      </c>
      <c r="DW19" s="81">
        <v>15708</v>
      </c>
      <c r="DX19" s="81">
        <v>15708</v>
      </c>
      <c r="DY19" s="81">
        <v>15708</v>
      </c>
      <c r="DZ19" s="81">
        <v>15708</v>
      </c>
      <c r="EA19" s="81">
        <v>15708</v>
      </c>
      <c r="EB19" s="82">
        <v>15708</v>
      </c>
      <c r="EE19" s="88">
        <v>1923</v>
      </c>
      <c r="EF19" s="125">
        <v>15420</v>
      </c>
      <c r="EG19" s="103">
        <v>15996</v>
      </c>
      <c r="EH19" s="98">
        <v>16284</v>
      </c>
      <c r="EI19" s="103">
        <v>16464</v>
      </c>
      <c r="EJ19" s="103">
        <v>16632</v>
      </c>
      <c r="EK19" s="103">
        <v>16692</v>
      </c>
      <c r="EL19" s="103">
        <v>16692</v>
      </c>
      <c r="EM19" s="111">
        <v>15708</v>
      </c>
      <c r="EN19" s="103">
        <v>15708</v>
      </c>
      <c r="EO19" s="108">
        <v>15708</v>
      </c>
      <c r="EP19" s="81">
        <v>15708</v>
      </c>
      <c r="EQ19" s="81">
        <v>15708</v>
      </c>
      <c r="ER19" s="81">
        <v>15708</v>
      </c>
      <c r="ES19" s="81">
        <v>15708</v>
      </c>
      <c r="ET19" s="81">
        <v>15708</v>
      </c>
      <c r="EU19" s="81">
        <v>15708</v>
      </c>
      <c r="EV19" s="81">
        <v>15708</v>
      </c>
      <c r="EW19" s="81">
        <v>15708</v>
      </c>
      <c r="EX19" s="81">
        <v>15708</v>
      </c>
      <c r="EY19" s="81">
        <v>15708</v>
      </c>
      <c r="EZ19" s="81">
        <v>15708</v>
      </c>
      <c r="FA19" s="81">
        <v>15708</v>
      </c>
      <c r="FB19" s="82">
        <v>15708</v>
      </c>
    </row>
    <row r="20" spans="1:158" ht="16.5" thickBot="1" x14ac:dyDescent="0.3">
      <c r="A20" s="48">
        <v>50</v>
      </c>
      <c r="B20" s="49">
        <v>0.35</v>
      </c>
      <c r="C20" s="73"/>
      <c r="D20" s="215">
        <f t="shared" si="0"/>
        <v>15</v>
      </c>
      <c r="E20" s="216">
        <f>[1]!PBGCLRF(65+D20/12)</f>
        <v>1.1274999999999999</v>
      </c>
      <c r="F20" s="73"/>
      <c r="G20" s="149">
        <v>7</v>
      </c>
      <c r="H20" s="150">
        <v>1</v>
      </c>
      <c r="I20" s="73"/>
      <c r="J20" s="48">
        <v>16</v>
      </c>
      <c r="K20" s="49">
        <v>0.92</v>
      </c>
      <c r="L20" s="73"/>
      <c r="M20" s="155">
        <v>16</v>
      </c>
      <c r="N20" s="49">
        <v>1.1737</v>
      </c>
      <c r="O20" s="73"/>
      <c r="P20" s="73"/>
      <c r="Q20" s="73"/>
      <c r="R20" s="161">
        <v>0.7046</v>
      </c>
      <c r="S20" s="159">
        <v>0.70550000000000002</v>
      </c>
      <c r="T20" s="159">
        <v>0.70660000000000001</v>
      </c>
      <c r="U20" s="159">
        <v>0.70760000000000001</v>
      </c>
      <c r="V20" s="159">
        <v>0.70879999999999999</v>
      </c>
      <c r="W20" s="159">
        <v>0.70989999999999998</v>
      </c>
      <c r="X20" s="159">
        <v>0.71120000000000005</v>
      </c>
      <c r="Y20" s="159">
        <v>0.71240000000000003</v>
      </c>
      <c r="Z20" s="159">
        <v>0.71379999999999999</v>
      </c>
      <c r="AA20" s="159">
        <v>0.71519999999999995</v>
      </c>
      <c r="AB20" s="159">
        <v>0.71660000000000001</v>
      </c>
      <c r="AC20" s="159">
        <v>0.71819999999999995</v>
      </c>
      <c r="AD20" s="159">
        <v>0.7198</v>
      </c>
      <c r="AE20" s="159">
        <v>0.72140000000000004</v>
      </c>
      <c r="AF20" s="159">
        <v>0.72319999999999995</v>
      </c>
      <c r="AG20" s="159">
        <v>0.72499999999999998</v>
      </c>
      <c r="AH20" s="159">
        <v>0.72650000000000003</v>
      </c>
      <c r="AI20" s="159">
        <v>0.72809999999999997</v>
      </c>
      <c r="AJ20" s="159">
        <v>0.7298</v>
      </c>
      <c r="AK20" s="159">
        <v>0.73160000000000003</v>
      </c>
      <c r="AL20" s="159">
        <v>0.73360000000000003</v>
      </c>
      <c r="AM20" s="159">
        <v>0.73560000000000003</v>
      </c>
      <c r="AN20" s="159">
        <v>0.73780000000000001</v>
      </c>
      <c r="AO20" s="159">
        <v>0.74009999999999998</v>
      </c>
      <c r="AP20" s="159">
        <v>0.74250000000000005</v>
      </c>
      <c r="AQ20" s="159">
        <v>0.74509999999999998</v>
      </c>
      <c r="AR20" s="159">
        <v>0.74780000000000002</v>
      </c>
      <c r="AS20" s="159">
        <v>0.75070000000000003</v>
      </c>
      <c r="AT20" s="159">
        <v>0.75370000000000004</v>
      </c>
      <c r="AU20" s="159">
        <v>0.75690000000000002</v>
      </c>
      <c r="AV20" s="159">
        <v>0.76019999999999999</v>
      </c>
      <c r="AW20" s="159">
        <v>0.76370000000000005</v>
      </c>
      <c r="AX20" s="159">
        <v>0.76739999999999997</v>
      </c>
      <c r="AY20" s="159">
        <v>0.7712</v>
      </c>
      <c r="AZ20" s="159">
        <v>0.77529999999999999</v>
      </c>
      <c r="BA20" s="159">
        <v>0.77949999999999997</v>
      </c>
      <c r="BB20" s="159">
        <v>0.78390000000000004</v>
      </c>
      <c r="BC20" s="159">
        <v>0.78849999999999998</v>
      </c>
      <c r="BD20" s="159">
        <v>0.79320000000000002</v>
      </c>
      <c r="BE20" s="159">
        <v>0.79820000000000002</v>
      </c>
      <c r="BF20" s="159">
        <v>0.8034</v>
      </c>
      <c r="BG20" s="159">
        <v>0.80879999999999996</v>
      </c>
      <c r="BH20" s="159">
        <v>0.81430000000000002</v>
      </c>
      <c r="BI20" s="159">
        <v>0.82010000000000005</v>
      </c>
      <c r="BJ20" s="159">
        <v>0.82609999999999995</v>
      </c>
      <c r="BK20" s="159">
        <v>0.83240000000000003</v>
      </c>
      <c r="BL20" s="159">
        <v>0.83879999999999999</v>
      </c>
      <c r="BM20" s="159">
        <v>0.84540000000000004</v>
      </c>
      <c r="BN20" s="159">
        <v>0.85219999999999996</v>
      </c>
      <c r="BO20" s="159">
        <v>0.85929999999999995</v>
      </c>
      <c r="BP20" s="159">
        <v>0.86650000000000005</v>
      </c>
      <c r="BQ20" s="159">
        <v>0.87390000000000001</v>
      </c>
      <c r="BR20" s="159">
        <v>0.88160000000000005</v>
      </c>
      <c r="BS20" s="159">
        <v>0.88929999999999998</v>
      </c>
      <c r="BT20" s="159">
        <v>0.89729999999999999</v>
      </c>
      <c r="BU20" s="159">
        <v>0.90549999999999997</v>
      </c>
      <c r="BV20" s="159">
        <v>0.91379999999999995</v>
      </c>
      <c r="BW20" s="159">
        <v>0.92220000000000002</v>
      </c>
      <c r="BX20" s="159">
        <v>0.93079999999999996</v>
      </c>
      <c r="BY20" s="159">
        <v>0.93940000000000001</v>
      </c>
      <c r="BZ20" s="159">
        <v>0.94820000000000004</v>
      </c>
      <c r="CA20" s="159">
        <v>0.95699999999999996</v>
      </c>
      <c r="CB20" s="159">
        <v>0.96589999999999998</v>
      </c>
      <c r="CC20" s="159">
        <v>0.97470000000000001</v>
      </c>
      <c r="CD20" s="159">
        <v>0.98360000000000003</v>
      </c>
      <c r="CE20" s="159">
        <v>0.99239999999999995</v>
      </c>
      <c r="CF20" s="159">
        <v>1.0011000000000001</v>
      </c>
      <c r="CG20" s="159">
        <v>1.0097</v>
      </c>
      <c r="CH20" s="159">
        <v>1.0182</v>
      </c>
      <c r="CI20" s="159">
        <v>1.0266999999999999</v>
      </c>
      <c r="CJ20" s="159">
        <v>1.0349999999999999</v>
      </c>
      <c r="CK20" s="159">
        <v>1.0430999999999999</v>
      </c>
      <c r="CL20" s="159">
        <v>1.0509999999999999</v>
      </c>
      <c r="CM20" s="159">
        <v>1.0588</v>
      </c>
      <c r="CN20" s="49">
        <v>1.0662</v>
      </c>
      <c r="CO20" s="73"/>
      <c r="CS20" s="38">
        <v>39889</v>
      </c>
      <c r="CY20" s="42"/>
      <c r="DH20" s="297">
        <f>SUM(DH14:DH19)</f>
        <v>0</v>
      </c>
      <c r="DN20" s="80">
        <v>1924</v>
      </c>
      <c r="DO20" s="84">
        <v>16968</v>
      </c>
      <c r="DP20" s="81">
        <v>16968</v>
      </c>
      <c r="DQ20" s="81">
        <v>16968</v>
      </c>
      <c r="DR20" s="81">
        <v>16968</v>
      </c>
      <c r="DS20" s="81">
        <v>16968</v>
      </c>
      <c r="DT20" s="81">
        <v>16968</v>
      </c>
      <c r="DU20" s="81">
        <v>16968</v>
      </c>
      <c r="DV20" s="81">
        <v>16968</v>
      </c>
      <c r="DW20" s="81">
        <v>16968</v>
      </c>
      <c r="DX20" s="81">
        <v>16968</v>
      </c>
      <c r="DY20" s="81">
        <v>16968</v>
      </c>
      <c r="DZ20" s="81">
        <v>16968</v>
      </c>
      <c r="EA20" s="81">
        <v>16968</v>
      </c>
      <c r="EB20" s="82">
        <v>16968</v>
      </c>
      <c r="EE20" s="88">
        <v>1924</v>
      </c>
      <c r="EF20" s="125">
        <v>15996</v>
      </c>
      <c r="EG20" s="103">
        <v>16656</v>
      </c>
      <c r="EH20" s="98">
        <v>17004</v>
      </c>
      <c r="EI20" s="103">
        <v>17244</v>
      </c>
      <c r="EJ20" s="103">
        <v>17484</v>
      </c>
      <c r="EK20" s="103">
        <v>17604</v>
      </c>
      <c r="EL20" s="103">
        <v>17640</v>
      </c>
      <c r="EM20" s="111">
        <v>16968</v>
      </c>
      <c r="EN20" s="103">
        <v>16968</v>
      </c>
      <c r="EO20" s="108">
        <v>16968</v>
      </c>
      <c r="EP20" s="81">
        <v>16968</v>
      </c>
      <c r="EQ20" s="81">
        <v>16968</v>
      </c>
      <c r="ER20" s="81">
        <v>16968</v>
      </c>
      <c r="ES20" s="81">
        <v>16968</v>
      </c>
      <c r="ET20" s="81">
        <v>16968</v>
      </c>
      <c r="EU20" s="81">
        <v>16968</v>
      </c>
      <c r="EV20" s="81">
        <v>16968</v>
      </c>
      <c r="EW20" s="81">
        <v>16968</v>
      </c>
      <c r="EX20" s="81">
        <v>16968</v>
      </c>
      <c r="EY20" s="81">
        <v>16968</v>
      </c>
      <c r="EZ20" s="81">
        <v>16968</v>
      </c>
      <c r="FA20" s="81">
        <v>16968</v>
      </c>
      <c r="FB20" s="82">
        <v>16968</v>
      </c>
    </row>
    <row r="21" spans="1:158" ht="15.75" x14ac:dyDescent="0.25">
      <c r="A21" s="132">
        <v>49</v>
      </c>
      <c r="B21" s="49">
        <v>0.33</v>
      </c>
      <c r="C21" s="73"/>
      <c r="D21" s="215">
        <f t="shared" si="0"/>
        <v>16</v>
      </c>
      <c r="E21" s="216">
        <f>[1]!PBGCLRF(65+D21/12)</f>
        <v>1.1367</v>
      </c>
      <c r="F21" s="73"/>
      <c r="G21" s="42"/>
      <c r="H21" s="153"/>
      <c r="I21" s="73"/>
      <c r="J21" s="48">
        <v>17</v>
      </c>
      <c r="K21" s="49">
        <v>0.91500000000000004</v>
      </c>
      <c r="L21" s="73"/>
      <c r="M21" s="155">
        <v>17</v>
      </c>
      <c r="N21" s="49">
        <v>1.1857</v>
      </c>
      <c r="O21" s="73"/>
      <c r="P21" s="73"/>
      <c r="Q21" s="73"/>
      <c r="R21" s="161">
        <v>0.6986</v>
      </c>
      <c r="S21" s="159">
        <v>0.6996</v>
      </c>
      <c r="T21" s="159">
        <v>0.7006</v>
      </c>
      <c r="U21" s="159">
        <v>0.70169999999999999</v>
      </c>
      <c r="V21" s="159">
        <v>0.70279999999999998</v>
      </c>
      <c r="W21" s="159">
        <v>0.70399999999999996</v>
      </c>
      <c r="X21" s="159">
        <v>0.70520000000000005</v>
      </c>
      <c r="Y21" s="159">
        <v>0.70650000000000002</v>
      </c>
      <c r="Z21" s="159">
        <v>0.70789999999999997</v>
      </c>
      <c r="AA21" s="159">
        <v>0.70930000000000004</v>
      </c>
      <c r="AB21" s="159">
        <v>0.7107</v>
      </c>
      <c r="AC21" s="159">
        <v>0.71230000000000004</v>
      </c>
      <c r="AD21" s="159">
        <v>0.71389999999999998</v>
      </c>
      <c r="AE21" s="159">
        <v>0.71560000000000001</v>
      </c>
      <c r="AF21" s="159">
        <v>0.71730000000000005</v>
      </c>
      <c r="AG21" s="159">
        <v>0.71919999999999995</v>
      </c>
      <c r="AH21" s="159">
        <v>0.72070000000000001</v>
      </c>
      <c r="AI21" s="159">
        <v>0.72230000000000005</v>
      </c>
      <c r="AJ21" s="159">
        <v>0.72399999999999998</v>
      </c>
      <c r="AK21" s="159">
        <v>0.7258</v>
      </c>
      <c r="AL21" s="159">
        <v>0.7278</v>
      </c>
      <c r="AM21" s="159">
        <v>0.7298</v>
      </c>
      <c r="AN21" s="159">
        <v>0.73199999999999998</v>
      </c>
      <c r="AO21" s="159">
        <v>0.73429999999999995</v>
      </c>
      <c r="AP21" s="159">
        <v>0.73680000000000001</v>
      </c>
      <c r="AQ21" s="159">
        <v>0.73929999999999996</v>
      </c>
      <c r="AR21" s="159">
        <v>0.74209999999999998</v>
      </c>
      <c r="AS21" s="159">
        <v>0.745</v>
      </c>
      <c r="AT21" s="159">
        <v>0.748</v>
      </c>
      <c r="AU21" s="159">
        <v>0.75119999999999998</v>
      </c>
      <c r="AV21" s="159">
        <v>0.75460000000000005</v>
      </c>
      <c r="AW21" s="159">
        <v>0.7581</v>
      </c>
      <c r="AX21" s="159">
        <v>0.76190000000000002</v>
      </c>
      <c r="AY21" s="159">
        <v>0.76580000000000004</v>
      </c>
      <c r="AZ21" s="159">
        <v>0.76980000000000004</v>
      </c>
      <c r="BA21" s="159">
        <v>0.77410000000000001</v>
      </c>
      <c r="BB21" s="159">
        <v>0.77859999999999996</v>
      </c>
      <c r="BC21" s="159">
        <v>0.78320000000000001</v>
      </c>
      <c r="BD21" s="159">
        <v>0.78810000000000002</v>
      </c>
      <c r="BE21" s="159">
        <v>0.79310000000000003</v>
      </c>
      <c r="BF21" s="159">
        <v>0.7984</v>
      </c>
      <c r="BG21" s="159">
        <v>0.80389999999999995</v>
      </c>
      <c r="BH21" s="159">
        <v>0.80959999999999999</v>
      </c>
      <c r="BI21" s="159">
        <v>0.8155</v>
      </c>
      <c r="BJ21" s="159">
        <v>0.8216</v>
      </c>
      <c r="BK21" s="159">
        <v>0.82799999999999996</v>
      </c>
      <c r="BL21" s="159">
        <v>0.83450000000000002</v>
      </c>
      <c r="BM21" s="159">
        <v>0.84130000000000005</v>
      </c>
      <c r="BN21" s="159">
        <v>0.84830000000000005</v>
      </c>
      <c r="BO21" s="159">
        <v>0.85560000000000003</v>
      </c>
      <c r="BP21" s="159">
        <v>0.86299999999999999</v>
      </c>
      <c r="BQ21" s="159">
        <v>0.87070000000000003</v>
      </c>
      <c r="BR21" s="159">
        <v>0.87849999999999995</v>
      </c>
      <c r="BS21" s="159">
        <v>0.88660000000000005</v>
      </c>
      <c r="BT21" s="159">
        <v>0.89480000000000004</v>
      </c>
      <c r="BU21" s="159">
        <v>0.90329999999999999</v>
      </c>
      <c r="BV21" s="159">
        <v>0.91190000000000004</v>
      </c>
      <c r="BW21" s="159">
        <v>0.92069999999999996</v>
      </c>
      <c r="BX21" s="159">
        <v>0.92969999999999997</v>
      </c>
      <c r="BY21" s="159">
        <v>0.93869999999999998</v>
      </c>
      <c r="BZ21" s="159">
        <v>0.94789999999999996</v>
      </c>
      <c r="CA21" s="159">
        <v>0.95720000000000005</v>
      </c>
      <c r="CB21" s="159">
        <v>0.96650000000000003</v>
      </c>
      <c r="CC21" s="159">
        <v>0.97589999999999999</v>
      </c>
      <c r="CD21" s="159">
        <v>0.98529999999999995</v>
      </c>
      <c r="CE21" s="159">
        <v>0.99460000000000004</v>
      </c>
      <c r="CF21" s="159">
        <v>1.0039</v>
      </c>
      <c r="CG21" s="159">
        <v>1.0130999999999999</v>
      </c>
      <c r="CH21" s="159">
        <v>1.0222</v>
      </c>
      <c r="CI21" s="159">
        <v>1.0313000000000001</v>
      </c>
      <c r="CJ21" s="159">
        <v>1.0402</v>
      </c>
      <c r="CK21" s="159">
        <v>1.0489999999999999</v>
      </c>
      <c r="CL21" s="159">
        <v>1.0576000000000001</v>
      </c>
      <c r="CM21" s="159">
        <v>1.0659000000000001</v>
      </c>
      <c r="CN21" s="49">
        <v>1.0741000000000001</v>
      </c>
      <c r="CO21" s="73"/>
      <c r="CP21" s="335" t="s">
        <v>153</v>
      </c>
      <c r="CQ21" s="335"/>
      <c r="CU21" t="s">
        <v>3</v>
      </c>
      <c r="CV21" s="51"/>
      <c r="CY21" s="42"/>
      <c r="DN21" s="80">
        <v>1925</v>
      </c>
      <c r="DO21" s="84">
        <v>18312</v>
      </c>
      <c r="DP21" s="81">
        <v>18312</v>
      </c>
      <c r="DQ21" s="81">
        <v>18312</v>
      </c>
      <c r="DR21" s="81">
        <v>18312</v>
      </c>
      <c r="DS21" s="81">
        <v>18312</v>
      </c>
      <c r="DT21" s="81">
        <v>18312</v>
      </c>
      <c r="DU21" s="81">
        <v>18312</v>
      </c>
      <c r="DV21" s="81">
        <v>18312</v>
      </c>
      <c r="DW21" s="81">
        <v>18312</v>
      </c>
      <c r="DX21" s="81">
        <v>18312</v>
      </c>
      <c r="DY21" s="81">
        <v>18312</v>
      </c>
      <c r="DZ21" s="81">
        <v>18312</v>
      </c>
      <c r="EA21" s="81">
        <v>18312</v>
      </c>
      <c r="EB21" s="82">
        <v>18312</v>
      </c>
      <c r="EE21" s="88">
        <v>1925</v>
      </c>
      <c r="EF21" s="125">
        <v>16524</v>
      </c>
      <c r="EG21" s="103">
        <v>17268</v>
      </c>
      <c r="EH21" s="98">
        <v>17676</v>
      </c>
      <c r="EI21" s="103">
        <v>17964</v>
      </c>
      <c r="EJ21" s="103">
        <v>18276</v>
      </c>
      <c r="EK21" s="103">
        <v>18444</v>
      </c>
      <c r="EL21" s="103">
        <v>18528</v>
      </c>
      <c r="EM21" s="111">
        <v>18228</v>
      </c>
      <c r="EN21" s="103">
        <v>18312</v>
      </c>
      <c r="EO21" s="108">
        <v>18312</v>
      </c>
      <c r="EP21" s="81">
        <v>18312</v>
      </c>
      <c r="EQ21" s="81">
        <v>18312</v>
      </c>
      <c r="ER21" s="81">
        <v>18312</v>
      </c>
      <c r="ES21" s="81">
        <v>18312</v>
      </c>
      <c r="ET21" s="81">
        <v>18312</v>
      </c>
      <c r="EU21" s="81">
        <v>18312</v>
      </c>
      <c r="EV21" s="81">
        <v>18312</v>
      </c>
      <c r="EW21" s="81">
        <v>18312</v>
      </c>
      <c r="EX21" s="81">
        <v>18312</v>
      </c>
      <c r="EY21" s="81">
        <v>18312</v>
      </c>
      <c r="EZ21" s="81">
        <v>18312</v>
      </c>
      <c r="FA21" s="81">
        <v>18312</v>
      </c>
      <c r="FB21" s="82">
        <v>18312</v>
      </c>
    </row>
    <row r="22" spans="1:158" ht="15.75" x14ac:dyDescent="0.25">
      <c r="A22" s="48">
        <v>48</v>
      </c>
      <c r="B22" s="49">
        <v>0.31</v>
      </c>
      <c r="C22" s="73"/>
      <c r="D22" s="215">
        <f t="shared" si="0"/>
        <v>17</v>
      </c>
      <c r="E22" s="216">
        <f>[1]!PBGCLRF(65+D22/12)</f>
        <v>1.1457999999999999</v>
      </c>
      <c r="F22" s="73"/>
      <c r="G22" s="73"/>
      <c r="H22" s="73"/>
      <c r="I22" s="73"/>
      <c r="J22" s="48">
        <v>18</v>
      </c>
      <c r="K22" s="49">
        <v>0.91</v>
      </c>
      <c r="L22" s="73"/>
      <c r="M22" s="155">
        <v>18</v>
      </c>
      <c r="N22" s="49">
        <v>1.1978</v>
      </c>
      <c r="O22" s="73"/>
      <c r="P22" s="73"/>
      <c r="Q22" s="73"/>
      <c r="R22" s="161">
        <v>0.69299999999999995</v>
      </c>
      <c r="S22" s="159">
        <v>0.69399999999999995</v>
      </c>
      <c r="T22" s="159">
        <v>0.69510000000000005</v>
      </c>
      <c r="U22" s="159">
        <v>0.69610000000000005</v>
      </c>
      <c r="V22" s="159">
        <v>0.69730000000000003</v>
      </c>
      <c r="W22" s="159">
        <v>0.69850000000000001</v>
      </c>
      <c r="X22" s="159">
        <v>0.69969999999999999</v>
      </c>
      <c r="Y22" s="159">
        <v>0.70099999999999996</v>
      </c>
      <c r="Z22" s="159">
        <v>0.70240000000000002</v>
      </c>
      <c r="AA22" s="159">
        <v>0.70379999999999998</v>
      </c>
      <c r="AB22" s="159">
        <v>0.70530000000000004</v>
      </c>
      <c r="AC22" s="159">
        <v>0.70679999999999998</v>
      </c>
      <c r="AD22" s="159">
        <v>0.70850000000000002</v>
      </c>
      <c r="AE22" s="159">
        <v>0.71020000000000005</v>
      </c>
      <c r="AF22" s="159">
        <v>0.71189999999999998</v>
      </c>
      <c r="AG22" s="159">
        <v>0.71379999999999999</v>
      </c>
      <c r="AH22" s="159">
        <v>0.71530000000000005</v>
      </c>
      <c r="AI22" s="159">
        <v>0.71689999999999998</v>
      </c>
      <c r="AJ22" s="159">
        <v>0.71860000000000002</v>
      </c>
      <c r="AK22" s="159">
        <v>0.72050000000000003</v>
      </c>
      <c r="AL22" s="159">
        <v>0.72240000000000004</v>
      </c>
      <c r="AM22" s="159">
        <v>0.72450000000000003</v>
      </c>
      <c r="AN22" s="159">
        <v>0.72670000000000001</v>
      </c>
      <c r="AO22" s="159">
        <v>0.72899999999999998</v>
      </c>
      <c r="AP22" s="159">
        <v>0.73140000000000005</v>
      </c>
      <c r="AQ22" s="159">
        <v>0.73409999999999997</v>
      </c>
      <c r="AR22" s="159">
        <v>0.73680000000000001</v>
      </c>
      <c r="AS22" s="159">
        <v>0.73970000000000002</v>
      </c>
      <c r="AT22" s="159">
        <v>0.74280000000000002</v>
      </c>
      <c r="AU22" s="159">
        <v>0.746</v>
      </c>
      <c r="AV22" s="159">
        <v>0.74939999999999996</v>
      </c>
      <c r="AW22" s="159">
        <v>0.753</v>
      </c>
      <c r="AX22" s="159">
        <v>0.75680000000000003</v>
      </c>
      <c r="AY22" s="159">
        <v>0.76070000000000004</v>
      </c>
      <c r="AZ22" s="159">
        <v>0.76490000000000002</v>
      </c>
      <c r="BA22" s="159">
        <v>0.76919999999999999</v>
      </c>
      <c r="BB22" s="159">
        <v>0.77370000000000005</v>
      </c>
      <c r="BC22" s="159">
        <v>0.77839999999999998</v>
      </c>
      <c r="BD22" s="159">
        <v>0.7833</v>
      </c>
      <c r="BE22" s="159">
        <v>0.78849999999999998</v>
      </c>
      <c r="BF22" s="159">
        <v>0.79379999999999995</v>
      </c>
      <c r="BG22" s="159">
        <v>0.7994</v>
      </c>
      <c r="BH22" s="159">
        <v>0.80520000000000003</v>
      </c>
      <c r="BI22" s="159">
        <v>0.81120000000000003</v>
      </c>
      <c r="BJ22" s="159">
        <v>0.8175</v>
      </c>
      <c r="BK22" s="159">
        <v>0.82399999999999995</v>
      </c>
      <c r="BL22" s="159">
        <v>0.83069999999999999</v>
      </c>
      <c r="BM22" s="159">
        <v>0.8377</v>
      </c>
      <c r="BN22" s="159">
        <v>0.84489999999999998</v>
      </c>
      <c r="BO22" s="159">
        <v>0.85229999999999995</v>
      </c>
      <c r="BP22" s="159">
        <v>0.86</v>
      </c>
      <c r="BQ22" s="159">
        <v>0.8679</v>
      </c>
      <c r="BR22" s="159">
        <v>0.876</v>
      </c>
      <c r="BS22" s="159">
        <v>0.88429999999999997</v>
      </c>
      <c r="BT22" s="159">
        <v>0.89280000000000004</v>
      </c>
      <c r="BU22" s="159">
        <v>0.90159999999999996</v>
      </c>
      <c r="BV22" s="159">
        <v>0.91059999999999997</v>
      </c>
      <c r="BW22" s="159">
        <v>0.91969999999999996</v>
      </c>
      <c r="BX22" s="159">
        <v>0.92910000000000004</v>
      </c>
      <c r="BY22" s="159">
        <v>0.93859999999999999</v>
      </c>
      <c r="BZ22" s="159">
        <v>0.94820000000000004</v>
      </c>
      <c r="CA22" s="159">
        <v>0.95789999999999997</v>
      </c>
      <c r="CB22" s="159">
        <v>0.96779999999999999</v>
      </c>
      <c r="CC22" s="159">
        <v>0.97770000000000001</v>
      </c>
      <c r="CD22" s="159">
        <v>0.98760000000000003</v>
      </c>
      <c r="CE22" s="159">
        <v>0.99750000000000005</v>
      </c>
      <c r="CF22" s="159">
        <v>1.0073000000000001</v>
      </c>
      <c r="CG22" s="159">
        <v>1.0172000000000001</v>
      </c>
      <c r="CH22" s="159">
        <v>1.0268999999999999</v>
      </c>
      <c r="CI22" s="159">
        <v>1.0366</v>
      </c>
      <c r="CJ22" s="159">
        <v>1.0462</v>
      </c>
      <c r="CK22" s="159">
        <v>1.0557000000000001</v>
      </c>
      <c r="CL22" s="159">
        <v>1.0649999999999999</v>
      </c>
      <c r="CM22" s="159">
        <v>1.0740000000000001</v>
      </c>
      <c r="CN22" s="49">
        <v>1.0829</v>
      </c>
      <c r="CO22" s="73"/>
      <c r="CP22" s="35"/>
      <c r="CQ22" s="35"/>
      <c r="CU22" s="51" t="s">
        <v>32</v>
      </c>
      <c r="CV22" s="51"/>
      <c r="CY22" s="42"/>
      <c r="DB22" t="s">
        <v>194</v>
      </c>
      <c r="DC22" t="s">
        <v>405</v>
      </c>
      <c r="DE22" t="s">
        <v>177</v>
      </c>
      <c r="DF22" s="57"/>
      <c r="DG22" s="57"/>
      <c r="DH22" s="57"/>
      <c r="DN22" s="80">
        <v>1926</v>
      </c>
      <c r="DO22" s="84">
        <v>19728</v>
      </c>
      <c r="DP22" s="81">
        <v>19728</v>
      </c>
      <c r="DQ22" s="81">
        <v>19728</v>
      </c>
      <c r="DR22" s="81">
        <v>19728</v>
      </c>
      <c r="DS22" s="81">
        <v>19728</v>
      </c>
      <c r="DT22" s="81">
        <v>19728</v>
      </c>
      <c r="DU22" s="81">
        <v>19728</v>
      </c>
      <c r="DV22" s="81">
        <v>19728</v>
      </c>
      <c r="DW22" s="81">
        <v>19728</v>
      </c>
      <c r="DX22" s="81">
        <v>19728</v>
      </c>
      <c r="DY22" s="81">
        <v>19728</v>
      </c>
      <c r="DZ22" s="81">
        <v>19728</v>
      </c>
      <c r="EA22" s="81">
        <v>19728</v>
      </c>
      <c r="EB22" s="82">
        <v>19728</v>
      </c>
      <c r="EE22" s="88">
        <v>1926</v>
      </c>
      <c r="EF22" s="125">
        <v>17016</v>
      </c>
      <c r="EG22" s="103">
        <v>17844</v>
      </c>
      <c r="EH22" s="98">
        <v>18300</v>
      </c>
      <c r="EI22" s="103">
        <v>18636</v>
      </c>
      <c r="EJ22" s="103">
        <v>19008</v>
      </c>
      <c r="EK22" s="103">
        <v>19236</v>
      </c>
      <c r="EL22" s="103">
        <v>19356</v>
      </c>
      <c r="EM22" s="111">
        <v>19476</v>
      </c>
      <c r="EN22" s="103">
        <v>19668</v>
      </c>
      <c r="EO22" s="108">
        <v>19728</v>
      </c>
      <c r="EP22" s="81">
        <v>19728</v>
      </c>
      <c r="EQ22" s="81">
        <v>19728</v>
      </c>
      <c r="ER22" s="81">
        <v>19728</v>
      </c>
      <c r="ES22" s="81">
        <v>19728</v>
      </c>
      <c r="ET22" s="81">
        <v>19728</v>
      </c>
      <c r="EU22" s="81">
        <v>19728</v>
      </c>
      <c r="EV22" s="81">
        <v>19728</v>
      </c>
      <c r="EW22" s="81">
        <v>19728</v>
      </c>
      <c r="EX22" s="81">
        <v>19728</v>
      </c>
      <c r="EY22" s="81">
        <v>19728</v>
      </c>
      <c r="EZ22" s="81">
        <v>19728</v>
      </c>
      <c r="FA22" s="81">
        <v>19728</v>
      </c>
      <c r="FB22" s="82">
        <v>19728</v>
      </c>
    </row>
    <row r="23" spans="1:158" ht="15.75" x14ac:dyDescent="0.25">
      <c r="A23" s="132">
        <v>47</v>
      </c>
      <c r="B23" s="49">
        <v>0.28999999999999998</v>
      </c>
      <c r="C23" s="73"/>
      <c r="D23" s="215">
        <f t="shared" si="0"/>
        <v>18</v>
      </c>
      <c r="E23" s="216">
        <f>[1]!PBGCLRF(65+D23/12)</f>
        <v>1.155</v>
      </c>
      <c r="F23" s="73"/>
      <c r="G23" s="73"/>
      <c r="H23" s="73"/>
      <c r="I23" s="73"/>
      <c r="J23" s="48">
        <v>19</v>
      </c>
      <c r="K23" s="49">
        <v>0.90500000000000003</v>
      </c>
      <c r="L23" s="73"/>
      <c r="M23" s="155">
        <v>19</v>
      </c>
      <c r="N23" s="49">
        <v>1.21</v>
      </c>
      <c r="O23" s="73"/>
      <c r="P23" s="73"/>
      <c r="Q23" s="73"/>
      <c r="R23" s="161">
        <v>0.68789999999999996</v>
      </c>
      <c r="S23" s="159">
        <v>0.68889999999999996</v>
      </c>
      <c r="T23" s="159">
        <v>0.69</v>
      </c>
      <c r="U23" s="159">
        <v>0.69110000000000005</v>
      </c>
      <c r="V23" s="159">
        <v>0.69220000000000004</v>
      </c>
      <c r="W23" s="159">
        <v>0.69340000000000002</v>
      </c>
      <c r="X23" s="159">
        <v>0.69469999999999998</v>
      </c>
      <c r="Y23" s="159">
        <v>0.69599999999999995</v>
      </c>
      <c r="Z23" s="159">
        <v>0.69740000000000002</v>
      </c>
      <c r="AA23" s="159">
        <v>0.69879999999999998</v>
      </c>
      <c r="AB23" s="159">
        <v>0.70030000000000003</v>
      </c>
      <c r="AC23" s="159">
        <v>0.70189999999999997</v>
      </c>
      <c r="AD23" s="159">
        <v>0.70350000000000001</v>
      </c>
      <c r="AE23" s="159">
        <v>0.70520000000000005</v>
      </c>
      <c r="AF23" s="159">
        <v>0.70699999999999996</v>
      </c>
      <c r="AG23" s="159">
        <v>0.70889999999999997</v>
      </c>
      <c r="AH23" s="159">
        <v>0.71040000000000003</v>
      </c>
      <c r="AI23" s="159">
        <v>0.71199999999999997</v>
      </c>
      <c r="AJ23" s="159">
        <v>0.7137</v>
      </c>
      <c r="AK23" s="159">
        <v>0.71560000000000001</v>
      </c>
      <c r="AL23" s="159">
        <v>0.71750000000000003</v>
      </c>
      <c r="AM23" s="159">
        <v>0.71960000000000002</v>
      </c>
      <c r="AN23" s="159">
        <v>0.7218</v>
      </c>
      <c r="AO23" s="159">
        <v>0.72419999999999995</v>
      </c>
      <c r="AP23" s="159">
        <v>0.72660000000000002</v>
      </c>
      <c r="AQ23" s="159">
        <v>0.72929999999999995</v>
      </c>
      <c r="AR23" s="159">
        <v>0.73199999999999998</v>
      </c>
      <c r="AS23" s="159">
        <v>0.73499999999999999</v>
      </c>
      <c r="AT23" s="159">
        <v>0.73809999999999998</v>
      </c>
      <c r="AU23" s="159">
        <v>0.74139999999999995</v>
      </c>
      <c r="AV23" s="159">
        <v>0.74480000000000002</v>
      </c>
      <c r="AW23" s="159">
        <v>0.74839999999999995</v>
      </c>
      <c r="AX23" s="159">
        <v>0.75219999999999998</v>
      </c>
      <c r="AY23" s="159">
        <v>0.75619999999999998</v>
      </c>
      <c r="AZ23" s="159">
        <v>0.76039999999999996</v>
      </c>
      <c r="BA23" s="159">
        <v>0.76480000000000004</v>
      </c>
      <c r="BB23" s="159">
        <v>0.76939999999999997</v>
      </c>
      <c r="BC23" s="159">
        <v>0.77410000000000001</v>
      </c>
      <c r="BD23" s="159">
        <v>0.77910000000000001</v>
      </c>
      <c r="BE23" s="159">
        <v>0.78439999999999999</v>
      </c>
      <c r="BF23" s="159">
        <v>0.78979999999999995</v>
      </c>
      <c r="BG23" s="159">
        <v>0.79549999999999998</v>
      </c>
      <c r="BH23" s="159">
        <v>0.8014</v>
      </c>
      <c r="BI23" s="159">
        <v>0.8075</v>
      </c>
      <c r="BJ23" s="159">
        <v>0.81389999999999996</v>
      </c>
      <c r="BK23" s="159">
        <v>0.8206</v>
      </c>
      <c r="BL23" s="159">
        <v>0.82750000000000001</v>
      </c>
      <c r="BM23" s="159">
        <v>0.83460000000000001</v>
      </c>
      <c r="BN23" s="159">
        <v>0.84199999999999997</v>
      </c>
      <c r="BO23" s="159">
        <v>0.84960000000000002</v>
      </c>
      <c r="BP23" s="159">
        <v>0.85750000000000004</v>
      </c>
      <c r="BQ23" s="159">
        <v>0.86560000000000004</v>
      </c>
      <c r="BR23" s="159">
        <v>0.874</v>
      </c>
      <c r="BS23" s="159">
        <v>0.88260000000000005</v>
      </c>
      <c r="BT23" s="159">
        <v>0.89139999999999997</v>
      </c>
      <c r="BU23" s="159">
        <v>0.90049999999999997</v>
      </c>
      <c r="BV23" s="159">
        <v>0.90980000000000005</v>
      </c>
      <c r="BW23" s="159">
        <v>0.91930000000000001</v>
      </c>
      <c r="BX23" s="159">
        <v>0.92910000000000004</v>
      </c>
      <c r="BY23" s="159">
        <v>0.93899999999999995</v>
      </c>
      <c r="BZ23" s="159">
        <v>0.94910000000000005</v>
      </c>
      <c r="CA23" s="159">
        <v>0.95930000000000004</v>
      </c>
      <c r="CB23" s="159">
        <v>0.96960000000000002</v>
      </c>
      <c r="CC23" s="159">
        <v>0.98009999999999997</v>
      </c>
      <c r="CD23" s="159">
        <v>0.99050000000000005</v>
      </c>
      <c r="CE23" s="159">
        <v>1.0009999999999999</v>
      </c>
      <c r="CF23" s="159">
        <v>1.0115000000000001</v>
      </c>
      <c r="CG23" s="159">
        <v>1.022</v>
      </c>
      <c r="CH23" s="159">
        <v>1.0324</v>
      </c>
      <c r="CI23" s="159">
        <v>1.0427999999999999</v>
      </c>
      <c r="CJ23" s="159">
        <v>1.0530999999999999</v>
      </c>
      <c r="CK23" s="159">
        <v>1.0632999999999999</v>
      </c>
      <c r="CL23" s="159">
        <v>1.0732999999999999</v>
      </c>
      <c r="CM23" s="159">
        <v>1.0831999999999999</v>
      </c>
      <c r="CN23" s="49">
        <v>1.0928</v>
      </c>
      <c r="CO23" s="73"/>
      <c r="CP23" s="35"/>
      <c r="CQ23" s="35"/>
      <c r="CU23" s="51"/>
      <c r="CV23" s="51"/>
      <c r="CY23" s="42"/>
      <c r="DF23" s="57"/>
      <c r="DG23" s="57"/>
      <c r="DH23" s="57"/>
      <c r="DN23" s="80">
        <v>1927</v>
      </c>
      <c r="DO23" s="84">
        <v>21132</v>
      </c>
      <c r="DP23" s="81">
        <v>21192</v>
      </c>
      <c r="DQ23" s="81">
        <v>21192</v>
      </c>
      <c r="DR23" s="81">
        <v>21192</v>
      </c>
      <c r="DS23" s="81">
        <v>21192</v>
      </c>
      <c r="DT23" s="81">
        <v>21192</v>
      </c>
      <c r="DU23" s="81">
        <v>21192</v>
      </c>
      <c r="DV23" s="81">
        <v>21192</v>
      </c>
      <c r="DW23" s="81">
        <v>21192</v>
      </c>
      <c r="DX23" s="81">
        <v>21192</v>
      </c>
      <c r="DY23" s="81">
        <v>21192</v>
      </c>
      <c r="DZ23" s="81">
        <v>21192</v>
      </c>
      <c r="EA23" s="81">
        <v>21192</v>
      </c>
      <c r="EB23" s="82">
        <v>21192</v>
      </c>
      <c r="EE23" s="88">
        <v>1927</v>
      </c>
      <c r="EF23" s="125">
        <v>17484</v>
      </c>
      <c r="EG23" s="103">
        <v>18384</v>
      </c>
      <c r="EH23" s="98">
        <v>18888</v>
      </c>
      <c r="EI23" s="103">
        <v>19272</v>
      </c>
      <c r="EJ23" s="103">
        <v>19708</v>
      </c>
      <c r="EK23" s="103">
        <v>19980</v>
      </c>
      <c r="EL23" s="103">
        <v>20124</v>
      </c>
      <c r="EM23" s="111">
        <v>20724</v>
      </c>
      <c r="EN23" s="103">
        <v>21012</v>
      </c>
      <c r="EO23" s="108">
        <v>21132</v>
      </c>
      <c r="EP23" s="81">
        <v>21192</v>
      </c>
      <c r="EQ23" s="81">
        <v>21192</v>
      </c>
      <c r="ER23" s="81">
        <v>21192</v>
      </c>
      <c r="ES23" s="81">
        <v>21192</v>
      </c>
      <c r="ET23" s="81">
        <v>21192</v>
      </c>
      <c r="EU23" s="81">
        <v>21192</v>
      </c>
      <c r="EV23" s="81">
        <v>21192</v>
      </c>
      <c r="EW23" s="81">
        <v>21192</v>
      </c>
      <c r="EX23" s="81">
        <v>21192</v>
      </c>
      <c r="EY23" s="81">
        <v>21192</v>
      </c>
      <c r="EZ23" s="81">
        <v>21192</v>
      </c>
      <c r="FA23" s="81">
        <v>21192</v>
      </c>
      <c r="FB23" s="82">
        <v>21192</v>
      </c>
    </row>
    <row r="24" spans="1:158" ht="15.75" x14ac:dyDescent="0.25">
      <c r="A24" s="48">
        <v>46</v>
      </c>
      <c r="B24" s="49">
        <v>0.27</v>
      </c>
      <c r="C24" s="73"/>
      <c r="D24" s="215">
        <f t="shared" si="0"/>
        <v>19</v>
      </c>
      <c r="E24" s="216">
        <f>[1]!PBGCLRF(65+D24/12)</f>
        <v>1.1641999999999999</v>
      </c>
      <c r="F24" s="73"/>
      <c r="G24" s="73"/>
      <c r="H24" s="73"/>
      <c r="I24" s="73"/>
      <c r="J24" s="48">
        <v>20</v>
      </c>
      <c r="K24" s="49">
        <v>0.9</v>
      </c>
      <c r="L24" s="73"/>
      <c r="M24" s="155">
        <v>20</v>
      </c>
      <c r="N24" s="49">
        <v>1.2223999999999999</v>
      </c>
      <c r="O24" s="73"/>
      <c r="P24" s="73"/>
      <c r="Q24" s="73"/>
      <c r="R24" s="161">
        <v>0.68340000000000001</v>
      </c>
      <c r="S24" s="159">
        <v>0.68440000000000001</v>
      </c>
      <c r="T24" s="159">
        <v>0.68540000000000001</v>
      </c>
      <c r="U24" s="159">
        <v>0.6865</v>
      </c>
      <c r="V24" s="159">
        <v>0.68769999999999998</v>
      </c>
      <c r="W24" s="159">
        <v>0.68889999999999996</v>
      </c>
      <c r="X24" s="159">
        <v>0.69010000000000005</v>
      </c>
      <c r="Y24" s="159">
        <v>0.6915</v>
      </c>
      <c r="Z24" s="159">
        <v>0.69289999999999996</v>
      </c>
      <c r="AA24" s="159">
        <v>0.69430000000000003</v>
      </c>
      <c r="AB24" s="159">
        <v>0.69579999999999997</v>
      </c>
      <c r="AC24" s="159">
        <v>0.69740000000000002</v>
      </c>
      <c r="AD24" s="159">
        <v>0.69910000000000005</v>
      </c>
      <c r="AE24" s="159">
        <v>0.70079999999999998</v>
      </c>
      <c r="AF24" s="159">
        <v>0.7026</v>
      </c>
      <c r="AG24" s="159">
        <v>0.70450000000000002</v>
      </c>
      <c r="AH24" s="159">
        <v>0.70599999999999996</v>
      </c>
      <c r="AI24" s="159">
        <v>0.7077</v>
      </c>
      <c r="AJ24" s="159">
        <v>0.70940000000000003</v>
      </c>
      <c r="AK24" s="159">
        <v>0.71120000000000005</v>
      </c>
      <c r="AL24" s="159">
        <v>0.71319999999999995</v>
      </c>
      <c r="AM24" s="159">
        <v>0.71530000000000005</v>
      </c>
      <c r="AN24" s="159">
        <v>0.71750000000000003</v>
      </c>
      <c r="AO24" s="159">
        <v>0.71989999999999998</v>
      </c>
      <c r="AP24" s="159">
        <v>0.72240000000000004</v>
      </c>
      <c r="AQ24" s="159">
        <v>0.72499999999999998</v>
      </c>
      <c r="AR24" s="159">
        <v>0.7278</v>
      </c>
      <c r="AS24" s="159">
        <v>0.73080000000000001</v>
      </c>
      <c r="AT24" s="159">
        <v>0.7339</v>
      </c>
      <c r="AU24" s="159">
        <v>0.73719999999999997</v>
      </c>
      <c r="AV24" s="159">
        <v>0.74070000000000003</v>
      </c>
      <c r="AW24" s="159">
        <v>0.74429999999999996</v>
      </c>
      <c r="AX24" s="159">
        <v>0.74819999999999998</v>
      </c>
      <c r="AY24" s="159">
        <v>0.75219999999999998</v>
      </c>
      <c r="AZ24" s="159">
        <v>0.75649999999999995</v>
      </c>
      <c r="BA24" s="159">
        <v>0.76090000000000002</v>
      </c>
      <c r="BB24" s="159">
        <v>0.76559999999999995</v>
      </c>
      <c r="BC24" s="159">
        <v>0.77039999999999997</v>
      </c>
      <c r="BD24" s="159">
        <v>0.77549999999999997</v>
      </c>
      <c r="BE24" s="159">
        <v>0.78080000000000005</v>
      </c>
      <c r="BF24" s="159">
        <v>0.7863</v>
      </c>
      <c r="BG24" s="159">
        <v>0.79210000000000003</v>
      </c>
      <c r="BH24" s="159">
        <v>0.79810000000000003</v>
      </c>
      <c r="BI24" s="159">
        <v>0.8044</v>
      </c>
      <c r="BJ24" s="159">
        <v>0.81089999999999995</v>
      </c>
      <c r="BK24" s="159">
        <v>0.81769999999999998</v>
      </c>
      <c r="BL24" s="159">
        <v>0.82479999999999998</v>
      </c>
      <c r="BM24" s="159">
        <v>0.83209999999999995</v>
      </c>
      <c r="BN24" s="159">
        <v>0.83960000000000001</v>
      </c>
      <c r="BO24" s="159">
        <v>0.84750000000000003</v>
      </c>
      <c r="BP24" s="159">
        <v>0.85560000000000003</v>
      </c>
      <c r="BQ24" s="159">
        <v>0.8639</v>
      </c>
      <c r="BR24" s="159">
        <v>0.87250000000000005</v>
      </c>
      <c r="BS24" s="159">
        <v>0.88139999999999996</v>
      </c>
      <c r="BT24" s="159">
        <v>0.89059999999999995</v>
      </c>
      <c r="BU24" s="159">
        <v>0.9</v>
      </c>
      <c r="BV24" s="159">
        <v>0.90959999999999996</v>
      </c>
      <c r="BW24" s="159">
        <v>0.91949999999999998</v>
      </c>
      <c r="BX24" s="159">
        <v>0.92969999999999997</v>
      </c>
      <c r="BY24" s="159">
        <v>0.94</v>
      </c>
      <c r="BZ24" s="159">
        <v>0.9506</v>
      </c>
      <c r="CA24" s="159">
        <v>0.96130000000000004</v>
      </c>
      <c r="CB24" s="159">
        <v>0.97219999999999995</v>
      </c>
      <c r="CC24" s="159">
        <v>0.98319999999999996</v>
      </c>
      <c r="CD24" s="159">
        <v>0.99419999999999997</v>
      </c>
      <c r="CE24" s="159">
        <v>1.0053000000000001</v>
      </c>
      <c r="CF24" s="159">
        <v>1.0165</v>
      </c>
      <c r="CG24" s="159">
        <v>1.0276000000000001</v>
      </c>
      <c r="CH24" s="159">
        <v>1.0387</v>
      </c>
      <c r="CI24" s="159">
        <v>1.0498000000000001</v>
      </c>
      <c r="CJ24" s="159">
        <v>1.0609</v>
      </c>
      <c r="CK24" s="159">
        <v>1.0718000000000001</v>
      </c>
      <c r="CL24" s="159">
        <v>1.0827</v>
      </c>
      <c r="CM24" s="159">
        <v>1.0933999999999999</v>
      </c>
      <c r="CN24" s="49">
        <v>1.1037999999999999</v>
      </c>
      <c r="CO24" s="73"/>
      <c r="CP24" s="35"/>
      <c r="CQ24" s="35"/>
      <c r="CU24" s="51"/>
      <c r="CV24" s="51"/>
      <c r="CY24" s="42"/>
      <c r="DC24" t="s">
        <v>458</v>
      </c>
      <c r="DD24">
        <f>DCOUNT(Active_Vesteds,"PVPBL_ANN_RATES",All_Criteria)</f>
        <v>0</v>
      </c>
      <c r="DE24" t="s">
        <v>177</v>
      </c>
      <c r="DF24" s="57">
        <f>DF8+DF16</f>
        <v>0</v>
      </c>
      <c r="DG24" s="57">
        <f>DG8+DG16</f>
        <v>0</v>
      </c>
      <c r="DH24" s="57">
        <f>DF24 + DG24</f>
        <v>0</v>
      </c>
      <c r="DK24" s="57"/>
      <c r="DN24" s="80">
        <v>1928</v>
      </c>
      <c r="DO24" s="84">
        <v>22536</v>
      </c>
      <c r="DP24" s="81">
        <v>22656</v>
      </c>
      <c r="DQ24" s="81">
        <v>22716</v>
      </c>
      <c r="DR24" s="81">
        <v>22716</v>
      </c>
      <c r="DS24" s="81">
        <v>22716</v>
      </c>
      <c r="DT24" s="81">
        <v>22716</v>
      </c>
      <c r="DU24" s="81">
        <v>22716</v>
      </c>
      <c r="DV24" s="81">
        <v>22716</v>
      </c>
      <c r="DW24" s="81">
        <v>22716</v>
      </c>
      <c r="DX24" s="81">
        <v>22716</v>
      </c>
      <c r="DY24" s="81">
        <v>22716</v>
      </c>
      <c r="DZ24" s="81">
        <v>22716</v>
      </c>
      <c r="EA24" s="81">
        <v>22716</v>
      </c>
      <c r="EB24" s="82">
        <v>22716</v>
      </c>
      <c r="EE24" s="88">
        <v>1928</v>
      </c>
      <c r="EF24" s="125">
        <v>17916</v>
      </c>
      <c r="EG24" s="103">
        <v>18888</v>
      </c>
      <c r="EH24" s="98">
        <v>19452</v>
      </c>
      <c r="EI24" s="103">
        <v>19872</v>
      </c>
      <c r="EJ24" s="103">
        <v>20364</v>
      </c>
      <c r="EK24" s="103">
        <v>20688</v>
      </c>
      <c r="EL24" s="103">
        <v>20856</v>
      </c>
      <c r="EM24" s="111">
        <v>21972</v>
      </c>
      <c r="EN24" s="103">
        <v>22356</v>
      </c>
      <c r="EO24" s="108">
        <v>22536</v>
      </c>
      <c r="EP24" s="81">
        <v>22656</v>
      </c>
      <c r="EQ24" s="81">
        <v>22716</v>
      </c>
      <c r="ER24" s="81">
        <v>22716</v>
      </c>
      <c r="ES24" s="81">
        <v>22716</v>
      </c>
      <c r="ET24" s="81">
        <v>22716</v>
      </c>
      <c r="EU24" s="81">
        <v>22716</v>
      </c>
      <c r="EV24" s="81">
        <v>22716</v>
      </c>
      <c r="EW24" s="81">
        <v>22716</v>
      </c>
      <c r="EX24" s="81">
        <v>22716</v>
      </c>
      <c r="EY24" s="81">
        <v>22716</v>
      </c>
      <c r="EZ24" s="81">
        <v>22716</v>
      </c>
      <c r="FA24" s="81">
        <v>22716</v>
      </c>
      <c r="FB24" s="82">
        <v>22716</v>
      </c>
    </row>
    <row r="25" spans="1:158" ht="16.5" thickBot="1" x14ac:dyDescent="0.3">
      <c r="A25" s="132">
        <v>45</v>
      </c>
      <c r="B25" s="49">
        <v>0.25</v>
      </c>
      <c r="C25" s="73"/>
      <c r="D25" s="215">
        <f t="shared" si="0"/>
        <v>20</v>
      </c>
      <c r="E25" s="216">
        <f>[1]!PBGCLRF(65+D25/12)</f>
        <v>1.1733</v>
      </c>
      <c r="F25" s="73"/>
      <c r="G25" s="73"/>
      <c r="H25" s="73"/>
      <c r="I25" s="73"/>
      <c r="J25" s="48">
        <v>21</v>
      </c>
      <c r="K25" s="49">
        <v>0.89500000000000002</v>
      </c>
      <c r="L25" s="73"/>
      <c r="M25" s="155">
        <v>21</v>
      </c>
      <c r="N25" s="49">
        <v>1.2349000000000001</v>
      </c>
      <c r="O25" s="73"/>
      <c r="P25" s="73"/>
      <c r="Q25" s="73"/>
      <c r="R25" s="162">
        <v>0.67930000000000001</v>
      </c>
      <c r="S25" s="160">
        <v>0.68030000000000002</v>
      </c>
      <c r="T25" s="160">
        <v>0.68140000000000001</v>
      </c>
      <c r="U25" s="160">
        <v>0.6825</v>
      </c>
      <c r="V25" s="160">
        <v>0.68369999999999997</v>
      </c>
      <c r="W25" s="160">
        <v>0.68489999999999995</v>
      </c>
      <c r="X25" s="160">
        <v>0.68620000000000003</v>
      </c>
      <c r="Y25" s="160">
        <v>0.6875</v>
      </c>
      <c r="Z25" s="160">
        <v>0.68889999999999996</v>
      </c>
      <c r="AA25" s="160">
        <v>0.69040000000000001</v>
      </c>
      <c r="AB25" s="160">
        <v>0.69189999999999996</v>
      </c>
      <c r="AC25" s="160">
        <v>0.69350000000000001</v>
      </c>
      <c r="AD25" s="160">
        <v>0.69520000000000004</v>
      </c>
      <c r="AE25" s="160">
        <v>0.69689999999999996</v>
      </c>
      <c r="AF25" s="160">
        <v>0.69879999999999998</v>
      </c>
      <c r="AG25" s="160">
        <v>0.70069999999999999</v>
      </c>
      <c r="AH25" s="160">
        <v>0.70220000000000005</v>
      </c>
      <c r="AI25" s="160">
        <v>0.70379999999999998</v>
      </c>
      <c r="AJ25" s="160">
        <v>0.7056</v>
      </c>
      <c r="AK25" s="160">
        <v>0.70740000000000003</v>
      </c>
      <c r="AL25" s="160">
        <v>0.70940000000000003</v>
      </c>
      <c r="AM25" s="160">
        <v>0.71150000000000002</v>
      </c>
      <c r="AN25" s="160">
        <v>0.7137</v>
      </c>
      <c r="AO25" s="160">
        <v>0.71609999999999996</v>
      </c>
      <c r="AP25" s="160">
        <v>0.71860000000000002</v>
      </c>
      <c r="AQ25" s="160">
        <v>0.72130000000000005</v>
      </c>
      <c r="AR25" s="160">
        <v>0.72409999999999997</v>
      </c>
      <c r="AS25" s="160">
        <v>0.72709999999999997</v>
      </c>
      <c r="AT25" s="160">
        <v>0.73029999999999995</v>
      </c>
      <c r="AU25" s="160">
        <v>0.73360000000000003</v>
      </c>
      <c r="AV25" s="160">
        <v>0.73719999999999997</v>
      </c>
      <c r="AW25" s="160">
        <v>0.7409</v>
      </c>
      <c r="AX25" s="160">
        <v>0.74470000000000003</v>
      </c>
      <c r="AY25" s="160">
        <v>0.74880000000000002</v>
      </c>
      <c r="AZ25" s="160">
        <v>0.75309999999999999</v>
      </c>
      <c r="BA25" s="160">
        <v>0.75760000000000005</v>
      </c>
      <c r="BB25" s="160">
        <v>0.76239999999999997</v>
      </c>
      <c r="BC25" s="160">
        <v>0.76729999999999998</v>
      </c>
      <c r="BD25" s="160">
        <v>0.77239999999999998</v>
      </c>
      <c r="BE25" s="160">
        <v>0.77780000000000005</v>
      </c>
      <c r="BF25" s="160">
        <v>0.78349999999999997</v>
      </c>
      <c r="BG25" s="160">
        <v>0.78939999999999999</v>
      </c>
      <c r="BH25" s="160">
        <v>0.79549999999999998</v>
      </c>
      <c r="BI25" s="160">
        <v>0.80189999999999995</v>
      </c>
      <c r="BJ25" s="160">
        <v>0.80859999999999999</v>
      </c>
      <c r="BK25" s="160">
        <v>0.8155</v>
      </c>
      <c r="BL25" s="160">
        <v>0.82269999999999999</v>
      </c>
      <c r="BM25" s="160">
        <v>0.83020000000000005</v>
      </c>
      <c r="BN25" s="160">
        <v>0.83789999999999998</v>
      </c>
      <c r="BO25" s="160">
        <v>0.84589999999999999</v>
      </c>
      <c r="BP25" s="160">
        <v>0.85429999999999995</v>
      </c>
      <c r="BQ25" s="160">
        <v>0.8629</v>
      </c>
      <c r="BR25" s="160">
        <v>0.87180000000000002</v>
      </c>
      <c r="BS25" s="160">
        <v>0.88090000000000002</v>
      </c>
      <c r="BT25" s="160">
        <v>0.89039999999999997</v>
      </c>
      <c r="BU25" s="160">
        <v>0.90010000000000001</v>
      </c>
      <c r="BV25" s="160">
        <v>0.91010000000000002</v>
      </c>
      <c r="BW25" s="160">
        <v>0.9204</v>
      </c>
      <c r="BX25" s="160">
        <v>0.93100000000000005</v>
      </c>
      <c r="BY25" s="160">
        <v>0.94179999999999997</v>
      </c>
      <c r="BZ25" s="160">
        <v>0.95279999999999998</v>
      </c>
      <c r="CA25" s="160">
        <v>0.96399999999999997</v>
      </c>
      <c r="CB25" s="160">
        <v>0.97540000000000004</v>
      </c>
      <c r="CC25" s="160">
        <v>0.98699999999999999</v>
      </c>
      <c r="CD25" s="160">
        <v>0.99870000000000003</v>
      </c>
      <c r="CE25" s="160">
        <v>1.0104</v>
      </c>
      <c r="CF25" s="160">
        <v>1.0222</v>
      </c>
      <c r="CG25" s="160">
        <v>1.034</v>
      </c>
      <c r="CH25" s="160">
        <v>1.0459000000000001</v>
      </c>
      <c r="CI25" s="160">
        <v>1.0577000000000001</v>
      </c>
      <c r="CJ25" s="160">
        <v>1.0696000000000001</v>
      </c>
      <c r="CK25" s="160">
        <v>1.0813999999999999</v>
      </c>
      <c r="CL25" s="160">
        <v>1.0931</v>
      </c>
      <c r="CM25" s="160">
        <v>1.1047</v>
      </c>
      <c r="CN25" s="131">
        <v>1.1160000000000001</v>
      </c>
      <c r="CO25" s="73"/>
      <c r="CP25" s="35"/>
      <c r="CQ25" s="35"/>
      <c r="CU25" s="51"/>
      <c r="CV25" s="51"/>
      <c r="CY25" s="42"/>
      <c r="DC25" t="s">
        <v>429</v>
      </c>
      <c r="DD25">
        <f>DCOUNT(Separated_Vesteds,"PVPBL_ANN_RATES",All_Criteria)</f>
        <v>0</v>
      </c>
      <c r="DE25" t="s">
        <v>177</v>
      </c>
      <c r="DF25" s="57">
        <f>DF9+DF17</f>
        <v>0</v>
      </c>
      <c r="DG25" s="57">
        <f>DG9+DG17</f>
        <v>0</v>
      </c>
      <c r="DH25" s="57">
        <f>DF25 + DG25</f>
        <v>0</v>
      </c>
      <c r="DN25" s="80">
        <v>1929</v>
      </c>
      <c r="DO25" s="84">
        <v>23928</v>
      </c>
      <c r="DP25" s="81">
        <v>24108</v>
      </c>
      <c r="DQ25" s="81">
        <v>24228</v>
      </c>
      <c r="DR25" s="81">
        <v>24312</v>
      </c>
      <c r="DS25" s="81">
        <v>24312</v>
      </c>
      <c r="DT25" s="81">
        <v>24312</v>
      </c>
      <c r="DU25" s="81">
        <v>24312</v>
      </c>
      <c r="DV25" s="81">
        <v>24312</v>
      </c>
      <c r="DW25" s="81">
        <v>24312</v>
      </c>
      <c r="DX25" s="81">
        <v>24312</v>
      </c>
      <c r="DY25" s="81">
        <v>24312</v>
      </c>
      <c r="DZ25" s="81">
        <v>24312</v>
      </c>
      <c r="EA25" s="81">
        <v>24312</v>
      </c>
      <c r="EB25" s="82">
        <v>24312</v>
      </c>
      <c r="EE25" s="88">
        <v>1929</v>
      </c>
      <c r="EF25" s="125">
        <v>18336</v>
      </c>
      <c r="EG25" s="103">
        <v>19368</v>
      </c>
      <c r="EH25" s="98">
        <v>19968</v>
      </c>
      <c r="EI25" s="103">
        <v>20436</v>
      </c>
      <c r="EJ25" s="103">
        <v>20988</v>
      </c>
      <c r="EK25" s="103">
        <v>21348</v>
      </c>
      <c r="EL25" s="103">
        <v>21552</v>
      </c>
      <c r="EM25" s="111">
        <v>23208</v>
      </c>
      <c r="EN25" s="103">
        <v>23688</v>
      </c>
      <c r="EO25" s="108">
        <v>23928</v>
      </c>
      <c r="EP25" s="81">
        <v>24108</v>
      </c>
      <c r="EQ25" s="81">
        <v>24228</v>
      </c>
      <c r="ER25" s="81">
        <v>24312</v>
      </c>
      <c r="ES25" s="81">
        <v>24312</v>
      </c>
      <c r="ET25" s="81">
        <v>24312</v>
      </c>
      <c r="EU25" s="81">
        <v>24312</v>
      </c>
      <c r="EV25" s="81">
        <v>24312</v>
      </c>
      <c r="EW25" s="81">
        <v>24312</v>
      </c>
      <c r="EX25" s="81">
        <v>24312</v>
      </c>
      <c r="EY25" s="81">
        <v>24312</v>
      </c>
      <c r="EZ25" s="81">
        <v>24312</v>
      </c>
      <c r="FA25" s="81">
        <v>24312</v>
      </c>
      <c r="FB25" s="82">
        <v>24312</v>
      </c>
    </row>
    <row r="26" spans="1:158" ht="15.75" x14ac:dyDescent="0.25">
      <c r="A26" s="133">
        <v>44</v>
      </c>
      <c r="B26" s="49">
        <v>0.24</v>
      </c>
      <c r="C26" s="73"/>
      <c r="D26" s="215">
        <f t="shared" si="0"/>
        <v>21</v>
      </c>
      <c r="E26" s="216">
        <f>[1]!PBGCLRF(65+D26/12)</f>
        <v>1.1825000000000001</v>
      </c>
      <c r="F26" s="73"/>
      <c r="G26" s="73"/>
      <c r="H26" s="73"/>
      <c r="I26" s="73"/>
      <c r="J26" s="48">
        <v>22</v>
      </c>
      <c r="K26" s="49">
        <v>0.89</v>
      </c>
      <c r="L26" s="73"/>
      <c r="M26" s="155">
        <v>22</v>
      </c>
      <c r="N26" s="49">
        <v>1.2475000000000001</v>
      </c>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c r="BY26" s="73"/>
      <c r="BZ26" s="73"/>
      <c r="CA26" s="73"/>
      <c r="CB26" s="73"/>
      <c r="CC26" s="73"/>
      <c r="CD26" s="73"/>
      <c r="CE26" s="73"/>
      <c r="CF26" s="73"/>
      <c r="CG26" s="73"/>
      <c r="CH26" s="73"/>
      <c r="CI26" s="73"/>
      <c r="CJ26" s="73"/>
      <c r="CK26" s="73"/>
      <c r="CL26" s="73"/>
      <c r="CM26" s="73"/>
      <c r="CN26" s="73"/>
      <c r="CO26" s="73"/>
      <c r="CP26" s="41">
        <v>0.06</v>
      </c>
      <c r="CQ26">
        <v>999</v>
      </c>
      <c r="DC26" t="s">
        <v>414</v>
      </c>
      <c r="DE26" t="s">
        <v>177</v>
      </c>
      <c r="DF26" s="57"/>
      <c r="DG26" s="57"/>
      <c r="DH26" s="57"/>
      <c r="DN26" s="80">
        <v>1930</v>
      </c>
      <c r="DO26" s="84">
        <v>25308</v>
      </c>
      <c r="DP26" s="81">
        <v>25548</v>
      </c>
      <c r="DQ26" s="81">
        <v>25728</v>
      </c>
      <c r="DR26" s="81">
        <v>25908</v>
      </c>
      <c r="DS26" s="81">
        <v>25920</v>
      </c>
      <c r="DT26" s="81">
        <v>25920</v>
      </c>
      <c r="DU26" s="81">
        <v>25920</v>
      </c>
      <c r="DV26" s="81">
        <v>25920</v>
      </c>
      <c r="DW26" s="81">
        <v>25920</v>
      </c>
      <c r="DX26" s="81">
        <v>25920</v>
      </c>
      <c r="DY26" s="81">
        <v>25920</v>
      </c>
      <c r="DZ26" s="81">
        <v>25920</v>
      </c>
      <c r="EA26" s="81">
        <v>25920</v>
      </c>
      <c r="EB26" s="82">
        <v>25920</v>
      </c>
      <c r="EE26" s="88">
        <v>1930</v>
      </c>
      <c r="EF26" s="125">
        <v>19128</v>
      </c>
      <c r="EG26" s="103">
        <v>20256</v>
      </c>
      <c r="EH26" s="98">
        <v>20916</v>
      </c>
      <c r="EI26" s="103">
        <v>21432</v>
      </c>
      <c r="EJ26" s="103">
        <v>22044</v>
      </c>
      <c r="EK26" s="103">
        <v>22452</v>
      </c>
      <c r="EL26" s="103">
        <v>22692</v>
      </c>
      <c r="EM26" s="111">
        <v>24444</v>
      </c>
      <c r="EN26" s="103">
        <v>25008</v>
      </c>
      <c r="EO26" s="108">
        <v>25308</v>
      </c>
      <c r="EP26" s="81">
        <v>25548</v>
      </c>
      <c r="EQ26" s="81">
        <v>25728</v>
      </c>
      <c r="ER26" s="81">
        <v>25908</v>
      </c>
      <c r="ES26" s="81">
        <v>25920</v>
      </c>
      <c r="ET26" s="81">
        <v>25920</v>
      </c>
      <c r="EU26" s="81">
        <v>25920</v>
      </c>
      <c r="EV26" s="81">
        <v>25920</v>
      </c>
      <c r="EW26" s="81">
        <v>25920</v>
      </c>
      <c r="EX26" s="81">
        <v>25920</v>
      </c>
      <c r="EY26" s="81">
        <v>25920</v>
      </c>
      <c r="EZ26" s="81">
        <v>25920</v>
      </c>
      <c r="FA26" s="81">
        <v>25920</v>
      </c>
      <c r="FB26" s="82">
        <v>25920</v>
      </c>
    </row>
    <row r="27" spans="1:158" ht="15.75" x14ac:dyDescent="0.25">
      <c r="A27" s="132">
        <v>43</v>
      </c>
      <c r="B27" s="49">
        <v>0.23</v>
      </c>
      <c r="C27" s="73"/>
      <c r="D27" s="215">
        <f t="shared" si="0"/>
        <v>22</v>
      </c>
      <c r="E27" s="216">
        <f>[1]!PBGCLRF(65+D27/12)</f>
        <v>1.1917</v>
      </c>
      <c r="F27" s="73"/>
      <c r="G27" s="73"/>
      <c r="H27" s="73"/>
      <c r="I27" s="73"/>
      <c r="J27" s="48">
        <v>23</v>
      </c>
      <c r="K27" s="49">
        <v>0.88500000000000001</v>
      </c>
      <c r="L27" s="73"/>
      <c r="M27" s="155">
        <v>23</v>
      </c>
      <c r="N27" s="49">
        <v>1.2603</v>
      </c>
      <c r="O27" s="73"/>
      <c r="P27" s="73"/>
      <c r="Q27" s="7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c r="BY27" s="73"/>
      <c r="BZ27" s="73"/>
      <c r="CA27" s="73"/>
      <c r="CB27" s="73"/>
      <c r="CC27" s="73"/>
      <c r="CD27" s="73"/>
      <c r="CE27" s="73"/>
      <c r="CF27" s="73"/>
      <c r="CG27" s="73"/>
      <c r="CH27" s="73"/>
      <c r="CI27" s="73"/>
      <c r="CJ27" s="73"/>
      <c r="CK27" s="73"/>
      <c r="CL27" s="73"/>
      <c r="CM27" s="73"/>
      <c r="CN27" s="73"/>
      <c r="CO27" s="73"/>
      <c r="DC27" t="s">
        <v>459</v>
      </c>
      <c r="DE27" t="s">
        <v>177</v>
      </c>
      <c r="DF27" s="57"/>
      <c r="DG27" s="57"/>
      <c r="DH27" s="57"/>
      <c r="DN27" s="80">
        <v>1931</v>
      </c>
      <c r="DO27" s="84">
        <v>26700</v>
      </c>
      <c r="DP27" s="81">
        <v>27000</v>
      </c>
      <c r="DQ27" s="81">
        <v>27240</v>
      </c>
      <c r="DR27" s="81">
        <v>27492</v>
      </c>
      <c r="DS27" s="81">
        <v>27528</v>
      </c>
      <c r="DT27" s="81">
        <v>27576</v>
      </c>
      <c r="DU27" s="81">
        <v>27576</v>
      </c>
      <c r="DV27" s="81">
        <v>27576</v>
      </c>
      <c r="DW27" s="81">
        <v>27576</v>
      </c>
      <c r="DX27" s="81">
        <v>27576</v>
      </c>
      <c r="DY27" s="81">
        <v>27576</v>
      </c>
      <c r="DZ27" s="81">
        <v>27576</v>
      </c>
      <c r="EA27" s="81">
        <v>27576</v>
      </c>
      <c r="EB27" s="82">
        <v>27576</v>
      </c>
      <c r="EE27" s="88">
        <v>1931</v>
      </c>
      <c r="EF27" s="125">
        <v>19908</v>
      </c>
      <c r="EG27" s="103">
        <v>21132</v>
      </c>
      <c r="EH27" s="98">
        <v>21852</v>
      </c>
      <c r="EI27" s="103">
        <v>22428</v>
      </c>
      <c r="EJ27" s="103">
        <v>23112</v>
      </c>
      <c r="EK27" s="103">
        <v>23568</v>
      </c>
      <c r="EL27" s="103">
        <v>23844</v>
      </c>
      <c r="EM27" s="111">
        <v>25680</v>
      </c>
      <c r="EN27" s="103">
        <v>26340</v>
      </c>
      <c r="EO27" s="108">
        <v>26700</v>
      </c>
      <c r="EP27" s="81">
        <v>27000</v>
      </c>
      <c r="EQ27" s="81">
        <v>27240</v>
      </c>
      <c r="ER27" s="81">
        <v>27492</v>
      </c>
      <c r="ES27" s="81">
        <v>27528</v>
      </c>
      <c r="ET27" s="81">
        <v>27576</v>
      </c>
      <c r="EU27" s="81">
        <v>27576</v>
      </c>
      <c r="EV27" s="81">
        <v>27576</v>
      </c>
      <c r="EW27" s="81">
        <v>27576</v>
      </c>
      <c r="EX27" s="81">
        <v>27576</v>
      </c>
      <c r="EY27" s="81">
        <v>27576</v>
      </c>
      <c r="EZ27" s="81">
        <v>27576</v>
      </c>
      <c r="FA27" s="81">
        <v>27576</v>
      </c>
      <c r="FB27" s="82">
        <v>27576</v>
      </c>
    </row>
    <row r="28" spans="1:158" ht="15.75" x14ac:dyDescent="0.25">
      <c r="A28" s="48">
        <v>42</v>
      </c>
      <c r="B28" s="49">
        <v>0.22</v>
      </c>
      <c r="C28" s="73"/>
      <c r="D28" s="215">
        <f t="shared" si="0"/>
        <v>23</v>
      </c>
      <c r="E28" s="216">
        <f>[1]!PBGCLRF(65+D28/12)</f>
        <v>1.2008000000000001</v>
      </c>
      <c r="F28" s="73"/>
      <c r="G28" s="73"/>
      <c r="H28" s="73"/>
      <c r="I28" s="73"/>
      <c r="J28" s="48">
        <v>24</v>
      </c>
      <c r="K28" s="49">
        <v>0.88</v>
      </c>
      <c r="L28" s="73"/>
      <c r="M28" s="155">
        <v>24</v>
      </c>
      <c r="N28" s="49">
        <v>1.2732000000000001</v>
      </c>
      <c r="O28" s="73"/>
      <c r="P28" s="73"/>
      <c r="Q28" s="7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c r="CC28" s="73"/>
      <c r="CD28" s="73"/>
      <c r="CE28" s="73"/>
      <c r="CF28" s="73"/>
      <c r="CG28" s="73"/>
      <c r="CH28" s="73"/>
      <c r="CI28" s="73"/>
      <c r="CJ28" s="73"/>
      <c r="CK28" s="73"/>
      <c r="CL28" s="73"/>
      <c r="CM28" s="73"/>
      <c r="CN28" s="73"/>
      <c r="CO28" s="73"/>
      <c r="DF28" s="57">
        <f>SUM(DF24:DF25)</f>
        <v>0</v>
      </c>
      <c r="DH28" s="297">
        <f>SUM(DH22:DH27)</f>
        <v>0</v>
      </c>
      <c r="DN28" s="80">
        <v>1932</v>
      </c>
      <c r="DO28" s="84">
        <v>28092</v>
      </c>
      <c r="DP28" s="81">
        <v>28452</v>
      </c>
      <c r="DQ28" s="81">
        <v>28752</v>
      </c>
      <c r="DR28" s="81">
        <v>29088</v>
      </c>
      <c r="DS28" s="81">
        <v>29148</v>
      </c>
      <c r="DT28" s="81">
        <v>29232</v>
      </c>
      <c r="DU28" s="81">
        <v>29304</v>
      </c>
      <c r="DV28" s="81">
        <v>29304</v>
      </c>
      <c r="DW28" s="81">
        <v>29304</v>
      </c>
      <c r="DX28" s="81">
        <v>29304</v>
      </c>
      <c r="DY28" s="81">
        <v>29304</v>
      </c>
      <c r="DZ28" s="81">
        <v>29304</v>
      </c>
      <c r="EA28" s="81">
        <v>29304</v>
      </c>
      <c r="EB28" s="82">
        <v>29304</v>
      </c>
      <c r="EE28" s="88">
        <v>1932</v>
      </c>
      <c r="EF28" s="125">
        <v>20700</v>
      </c>
      <c r="EG28" s="103">
        <v>22020</v>
      </c>
      <c r="EH28" s="98">
        <v>22800</v>
      </c>
      <c r="EI28" s="103">
        <v>23412</v>
      </c>
      <c r="EJ28" s="103">
        <v>24168</v>
      </c>
      <c r="EK28" s="103">
        <v>24684</v>
      </c>
      <c r="EL28" s="103">
        <v>24996</v>
      </c>
      <c r="EM28" s="111">
        <v>26916</v>
      </c>
      <c r="EN28" s="103">
        <v>27672</v>
      </c>
      <c r="EO28" s="108">
        <v>28092</v>
      </c>
      <c r="EP28" s="81">
        <v>28452</v>
      </c>
      <c r="EQ28" s="81">
        <v>28752</v>
      </c>
      <c r="ER28" s="81">
        <v>29088</v>
      </c>
      <c r="ES28" s="81">
        <v>29148</v>
      </c>
      <c r="ET28" s="81">
        <v>29232</v>
      </c>
      <c r="EU28" s="81">
        <v>29304</v>
      </c>
      <c r="EV28" s="81">
        <v>29304</v>
      </c>
      <c r="EW28" s="81">
        <v>29304</v>
      </c>
      <c r="EX28" s="81">
        <v>29304</v>
      </c>
      <c r="EY28" s="81">
        <v>29304</v>
      </c>
      <c r="EZ28" s="81">
        <v>29304</v>
      </c>
      <c r="FA28" s="81">
        <v>29304</v>
      </c>
      <c r="FB28" s="82">
        <v>29304</v>
      </c>
    </row>
    <row r="29" spans="1:158" ht="15.75" x14ac:dyDescent="0.25">
      <c r="A29" s="132">
        <v>41</v>
      </c>
      <c r="B29" s="49">
        <v>0.21</v>
      </c>
      <c r="C29" s="73"/>
      <c r="D29" s="215">
        <f t="shared" si="0"/>
        <v>24</v>
      </c>
      <c r="E29" s="216">
        <f>[1]!PBGCLRF(65+D29/12)</f>
        <v>1.21</v>
      </c>
      <c r="F29" s="73"/>
      <c r="G29" s="73"/>
      <c r="H29" s="73"/>
      <c r="I29" s="73"/>
      <c r="J29" s="48">
        <v>25</v>
      </c>
      <c r="K29" s="49">
        <v>0.875</v>
      </c>
      <c r="L29" s="73"/>
      <c r="M29" s="155">
        <v>25</v>
      </c>
      <c r="N29" s="49">
        <v>1.2864</v>
      </c>
      <c r="O29" s="73"/>
      <c r="P29" s="73"/>
      <c r="Q29" s="73"/>
      <c r="CO29" s="73"/>
      <c r="CP29" s="243" t="s">
        <v>568</v>
      </c>
      <c r="CQ29" s="158"/>
      <c r="DN29" s="80">
        <v>1933</v>
      </c>
      <c r="DO29" s="84">
        <v>29472</v>
      </c>
      <c r="DP29" s="81">
        <v>29892</v>
      </c>
      <c r="DQ29" s="81">
        <v>30252</v>
      </c>
      <c r="DR29" s="81">
        <v>30684</v>
      </c>
      <c r="DS29" s="81">
        <v>30756</v>
      </c>
      <c r="DT29" s="81">
        <v>30888</v>
      </c>
      <c r="DU29" s="81">
        <v>31032</v>
      </c>
      <c r="DV29" s="81">
        <v>31128</v>
      </c>
      <c r="DW29" s="81">
        <v>31128</v>
      </c>
      <c r="DX29" s="81">
        <v>31128</v>
      </c>
      <c r="DY29" s="81">
        <v>31128</v>
      </c>
      <c r="DZ29" s="81">
        <v>31128</v>
      </c>
      <c r="EA29" s="81">
        <v>31128</v>
      </c>
      <c r="EB29" s="82">
        <v>31128</v>
      </c>
      <c r="EE29" s="88">
        <v>1933</v>
      </c>
      <c r="EF29" s="125">
        <v>21492</v>
      </c>
      <c r="EG29" s="103">
        <v>22908</v>
      </c>
      <c r="EH29" s="98">
        <v>23748</v>
      </c>
      <c r="EI29" s="103">
        <v>24408</v>
      </c>
      <c r="EJ29" s="103">
        <v>25236</v>
      </c>
      <c r="EK29" s="103">
        <v>25800</v>
      </c>
      <c r="EL29" s="103">
        <v>26148</v>
      </c>
      <c r="EM29" s="111">
        <v>28152</v>
      </c>
      <c r="EN29" s="103">
        <v>28992</v>
      </c>
      <c r="EO29" s="108">
        <v>29472</v>
      </c>
      <c r="EP29" s="81">
        <v>29892</v>
      </c>
      <c r="EQ29" s="81">
        <v>30252</v>
      </c>
      <c r="ER29" s="81">
        <v>30684</v>
      </c>
      <c r="ES29" s="81">
        <v>30756</v>
      </c>
      <c r="ET29" s="81">
        <v>30888</v>
      </c>
      <c r="EU29" s="81">
        <v>31032</v>
      </c>
      <c r="EV29" s="81">
        <v>31128</v>
      </c>
      <c r="EW29" s="81">
        <v>31128</v>
      </c>
      <c r="EX29" s="81">
        <v>31128</v>
      </c>
      <c r="EY29" s="81">
        <v>31128</v>
      </c>
      <c r="EZ29" s="81">
        <v>31128</v>
      </c>
      <c r="FA29" s="81">
        <v>31128</v>
      </c>
      <c r="FB29" s="82">
        <v>31128</v>
      </c>
    </row>
    <row r="30" spans="1:158" ht="16.5" thickBot="1" x14ac:dyDescent="0.3">
      <c r="A30" s="48">
        <v>40</v>
      </c>
      <c r="B30" s="49">
        <v>0.2</v>
      </c>
      <c r="C30" s="73"/>
      <c r="D30" s="215">
        <f t="shared" si="0"/>
        <v>25</v>
      </c>
      <c r="E30" s="216">
        <f>[1]!PBGCLRF(65+D30/12)</f>
        <v>1.2208000000000001</v>
      </c>
      <c r="F30" s="73"/>
      <c r="G30" s="73"/>
      <c r="H30" s="73"/>
      <c r="I30" s="73"/>
      <c r="J30" s="48">
        <v>26</v>
      </c>
      <c r="K30" s="49">
        <v>0.87</v>
      </c>
      <c r="L30" s="73"/>
      <c r="M30" s="155">
        <v>26</v>
      </c>
      <c r="N30" s="49">
        <v>1.2998000000000001</v>
      </c>
      <c r="O30" s="73"/>
      <c r="P30" s="73"/>
      <c r="Q30" s="73"/>
      <c r="R30" s="158" t="s">
        <v>314</v>
      </c>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35"/>
      <c r="BZ30" s="35"/>
      <c r="CA30" s="35"/>
      <c r="CB30" s="35"/>
      <c r="CC30" s="35"/>
      <c r="CD30" s="35"/>
      <c r="CE30" s="35"/>
      <c r="CF30" s="35"/>
      <c r="CG30" s="35"/>
      <c r="CH30" s="35"/>
      <c r="CI30" s="35"/>
      <c r="CJ30" s="35"/>
      <c r="CK30" s="35"/>
      <c r="CL30" s="35"/>
      <c r="CM30" s="35"/>
      <c r="CN30" s="35"/>
      <c r="CO30" s="73"/>
      <c r="CP30" s="72">
        <v>7.4999999999999997E-2</v>
      </c>
      <c r="CQ30">
        <v>999</v>
      </c>
      <c r="DB30" t="s">
        <v>196</v>
      </c>
      <c r="DC30" t="s">
        <v>405</v>
      </c>
      <c r="DE30" t="s">
        <v>177</v>
      </c>
      <c r="DF30" s="57"/>
      <c r="DG30" s="226"/>
      <c r="DH30" s="57"/>
      <c r="DI30" s="57"/>
      <c r="DJ30" s="57"/>
      <c r="DN30" s="80">
        <v>1934</v>
      </c>
      <c r="DO30" s="84">
        <v>30864</v>
      </c>
      <c r="DP30" s="81">
        <v>31344</v>
      </c>
      <c r="DQ30" s="81">
        <v>31764</v>
      </c>
      <c r="DR30" s="81">
        <v>32280</v>
      </c>
      <c r="DS30" s="81">
        <v>32364</v>
      </c>
      <c r="DT30" s="81">
        <v>32532</v>
      </c>
      <c r="DU30" s="81">
        <v>32772</v>
      </c>
      <c r="DV30" s="81">
        <v>32940</v>
      </c>
      <c r="DW30" s="81">
        <v>33060</v>
      </c>
      <c r="DX30" s="81">
        <v>33060</v>
      </c>
      <c r="DY30" s="81">
        <v>33060</v>
      </c>
      <c r="DZ30" s="81">
        <v>33060</v>
      </c>
      <c r="EA30" s="81">
        <v>33060</v>
      </c>
      <c r="EB30" s="82">
        <v>33060</v>
      </c>
      <c r="EE30" s="88">
        <v>1934</v>
      </c>
      <c r="EF30" s="125">
        <v>22272</v>
      </c>
      <c r="EG30" s="103">
        <v>23784</v>
      </c>
      <c r="EH30" s="98">
        <v>24684</v>
      </c>
      <c r="EI30" s="103">
        <v>25404</v>
      </c>
      <c r="EJ30" s="103">
        <v>26292</v>
      </c>
      <c r="EK30" s="103">
        <v>26916</v>
      </c>
      <c r="EL30" s="103">
        <v>27288</v>
      </c>
      <c r="EM30" s="111">
        <v>29388</v>
      </c>
      <c r="EN30" s="103">
        <v>30324</v>
      </c>
      <c r="EO30" s="108">
        <v>30864</v>
      </c>
      <c r="EP30" s="81">
        <v>31344</v>
      </c>
      <c r="EQ30" s="81">
        <v>31764</v>
      </c>
      <c r="ER30" s="81">
        <v>32280</v>
      </c>
      <c r="ES30" s="81">
        <v>32364</v>
      </c>
      <c r="ET30" s="81">
        <v>32532</v>
      </c>
      <c r="EU30" s="81">
        <v>32772</v>
      </c>
      <c r="EV30" s="81">
        <v>32940</v>
      </c>
      <c r="EW30" s="81">
        <v>33060</v>
      </c>
      <c r="EX30" s="81">
        <v>33060</v>
      </c>
      <c r="EY30" s="81">
        <v>33060</v>
      </c>
      <c r="EZ30" s="81">
        <v>33060</v>
      </c>
      <c r="FA30" s="81">
        <v>33060</v>
      </c>
      <c r="FB30" s="82">
        <v>33060</v>
      </c>
    </row>
    <row r="31" spans="1:158" ht="16.5" thickBot="1" x14ac:dyDescent="0.3">
      <c r="A31" s="132">
        <v>39</v>
      </c>
      <c r="B31" s="49">
        <v>0.19</v>
      </c>
      <c r="C31" s="73"/>
      <c r="D31" s="215">
        <f t="shared" si="0"/>
        <v>26</v>
      </c>
      <c r="E31" s="216">
        <f>[1]!PBGCLRF(65+D31/12)</f>
        <v>1.2317</v>
      </c>
      <c r="F31" s="73"/>
      <c r="G31" s="73"/>
      <c r="H31" s="73"/>
      <c r="I31" s="73"/>
      <c r="J31" s="48">
        <v>27</v>
      </c>
      <c r="K31" s="49">
        <v>0.86499999999999999</v>
      </c>
      <c r="L31" s="73"/>
      <c r="M31" s="155">
        <v>27</v>
      </c>
      <c r="N31" s="49">
        <v>1.3132999999999999</v>
      </c>
      <c r="O31" s="73"/>
      <c r="P31" s="73"/>
      <c r="Q31" s="73"/>
      <c r="R31" s="219">
        <v>1</v>
      </c>
      <c r="S31" s="220">
        <v>2</v>
      </c>
      <c r="T31" s="220">
        <v>3</v>
      </c>
      <c r="U31" s="220">
        <v>4</v>
      </c>
      <c r="V31" s="220">
        <v>5</v>
      </c>
      <c r="W31" s="220">
        <v>6</v>
      </c>
      <c r="X31" s="220">
        <v>7</v>
      </c>
      <c r="Y31" s="220">
        <v>8</v>
      </c>
      <c r="Z31" s="220">
        <v>9</v>
      </c>
      <c r="AA31" s="220">
        <v>10</v>
      </c>
      <c r="AB31" s="220">
        <v>11</v>
      </c>
      <c r="AC31" s="220">
        <v>12</v>
      </c>
      <c r="AD31" s="220">
        <v>13</v>
      </c>
      <c r="AE31" s="220">
        <v>14</v>
      </c>
      <c r="AF31" s="220">
        <v>15</v>
      </c>
      <c r="AG31" s="220">
        <v>16</v>
      </c>
      <c r="AH31" s="220">
        <v>17</v>
      </c>
      <c r="AI31" s="220">
        <v>18</v>
      </c>
      <c r="AJ31" s="220">
        <v>19</v>
      </c>
      <c r="AK31" s="220">
        <v>20</v>
      </c>
      <c r="AL31" s="220">
        <v>21</v>
      </c>
      <c r="AM31" s="220">
        <v>22</v>
      </c>
      <c r="AN31" s="220">
        <v>23</v>
      </c>
      <c r="AO31" s="220">
        <v>24</v>
      </c>
      <c r="AP31" s="220">
        <v>25</v>
      </c>
      <c r="AQ31" s="220">
        <v>26</v>
      </c>
      <c r="AR31" s="220">
        <v>27</v>
      </c>
      <c r="AS31" s="220">
        <v>28</v>
      </c>
      <c r="AT31" s="220">
        <v>29</v>
      </c>
      <c r="AU31" s="220">
        <v>30</v>
      </c>
      <c r="AV31" s="220">
        <v>31</v>
      </c>
      <c r="AW31" s="220">
        <v>32</v>
      </c>
      <c r="AX31" s="220">
        <v>33</v>
      </c>
      <c r="AY31" s="220">
        <v>34</v>
      </c>
      <c r="AZ31" s="220">
        <v>35</v>
      </c>
      <c r="BA31" s="220">
        <v>36</v>
      </c>
      <c r="BB31" s="220">
        <v>37</v>
      </c>
      <c r="BC31" s="220">
        <v>38</v>
      </c>
      <c r="BD31" s="220">
        <v>39</v>
      </c>
      <c r="BE31" s="220">
        <v>40</v>
      </c>
      <c r="BF31" s="220">
        <v>41</v>
      </c>
      <c r="BG31" s="220">
        <v>42</v>
      </c>
      <c r="BH31" s="220">
        <v>43</v>
      </c>
      <c r="BI31" s="220">
        <v>44</v>
      </c>
      <c r="BJ31" s="220">
        <v>45</v>
      </c>
      <c r="BK31" s="220">
        <v>46</v>
      </c>
      <c r="BL31" s="220">
        <v>47</v>
      </c>
      <c r="BM31" s="220">
        <v>48</v>
      </c>
      <c r="BN31" s="220">
        <v>49</v>
      </c>
      <c r="BO31" s="220">
        <v>50</v>
      </c>
      <c r="BP31" s="220">
        <v>51</v>
      </c>
      <c r="BQ31" s="220">
        <v>52</v>
      </c>
      <c r="BR31" s="220">
        <v>53</v>
      </c>
      <c r="BS31" s="220">
        <v>54</v>
      </c>
      <c r="BT31" s="220">
        <v>55</v>
      </c>
      <c r="BU31" s="220">
        <v>56</v>
      </c>
      <c r="BV31" s="220">
        <v>57</v>
      </c>
      <c r="BW31" s="220">
        <v>58</v>
      </c>
      <c r="BX31" s="220">
        <v>59</v>
      </c>
      <c r="BY31" s="220">
        <v>60</v>
      </c>
      <c r="BZ31" s="220">
        <v>61</v>
      </c>
      <c r="CA31" s="220">
        <v>62</v>
      </c>
      <c r="CB31" s="220">
        <v>63</v>
      </c>
      <c r="CC31" s="220">
        <v>64</v>
      </c>
      <c r="CD31" s="220">
        <v>65</v>
      </c>
      <c r="CE31" s="220">
        <v>66</v>
      </c>
      <c r="CF31" s="220">
        <v>67</v>
      </c>
      <c r="CG31" s="220">
        <v>68</v>
      </c>
      <c r="CH31" s="220">
        <v>69</v>
      </c>
      <c r="CI31" s="220">
        <v>70</v>
      </c>
      <c r="CJ31" s="220">
        <v>71</v>
      </c>
      <c r="CK31" s="220">
        <v>72</v>
      </c>
      <c r="CL31" s="220">
        <v>73</v>
      </c>
      <c r="CM31" s="220">
        <v>74</v>
      </c>
      <c r="CN31" s="221">
        <v>75</v>
      </c>
      <c r="CO31" s="73"/>
      <c r="DC31" t="s">
        <v>457</v>
      </c>
      <c r="DF31" s="57"/>
      <c r="DG31" s="226"/>
      <c r="DH31" s="57"/>
      <c r="DI31" s="57"/>
      <c r="DJ31" s="57"/>
      <c r="DN31" s="80">
        <v>1935</v>
      </c>
      <c r="DO31" s="84">
        <v>32256</v>
      </c>
      <c r="DP31" s="81">
        <v>32796</v>
      </c>
      <c r="DQ31" s="81">
        <v>33276</v>
      </c>
      <c r="DR31" s="81">
        <v>33876</v>
      </c>
      <c r="DS31" s="81">
        <v>33972</v>
      </c>
      <c r="DT31" s="81">
        <v>34188</v>
      </c>
      <c r="DU31" s="81">
        <v>34500</v>
      </c>
      <c r="DV31" s="81">
        <v>34752</v>
      </c>
      <c r="DW31" s="81">
        <v>34992</v>
      </c>
      <c r="DX31" s="81">
        <v>35100</v>
      </c>
      <c r="DY31" s="81">
        <v>35100</v>
      </c>
      <c r="DZ31" s="81">
        <v>35100</v>
      </c>
      <c r="EA31" s="81">
        <v>35100</v>
      </c>
      <c r="EB31" s="82">
        <v>35100</v>
      </c>
      <c r="EE31" s="88">
        <v>1935</v>
      </c>
      <c r="EF31" s="125">
        <v>23064</v>
      </c>
      <c r="EG31" s="103">
        <v>24672</v>
      </c>
      <c r="EH31" s="98">
        <v>25632</v>
      </c>
      <c r="EI31" s="103">
        <v>26400</v>
      </c>
      <c r="EJ31" s="103">
        <v>27360</v>
      </c>
      <c r="EK31" s="103">
        <v>28032</v>
      </c>
      <c r="EL31" s="103">
        <v>28440</v>
      </c>
      <c r="EM31" s="111">
        <v>30612</v>
      </c>
      <c r="EN31" s="103">
        <v>31656</v>
      </c>
      <c r="EO31" s="108">
        <v>32256</v>
      </c>
      <c r="EP31" s="81">
        <v>32796</v>
      </c>
      <c r="EQ31" s="81">
        <v>33276</v>
      </c>
      <c r="ER31" s="81">
        <v>33876</v>
      </c>
      <c r="ES31" s="81">
        <v>33972</v>
      </c>
      <c r="ET31" s="81">
        <v>34188</v>
      </c>
      <c r="EU31" s="81">
        <v>34500</v>
      </c>
      <c r="EV31" s="81">
        <v>34752</v>
      </c>
      <c r="EW31" s="81">
        <v>34992</v>
      </c>
      <c r="EX31" s="81">
        <v>35100</v>
      </c>
      <c r="EY31" s="81">
        <v>35100</v>
      </c>
      <c r="EZ31" s="81">
        <v>35100</v>
      </c>
      <c r="FA31" s="81">
        <v>35100</v>
      </c>
      <c r="FB31" s="82">
        <v>35100</v>
      </c>
    </row>
    <row r="32" spans="1:158" ht="15.75" x14ac:dyDescent="0.25">
      <c r="A32" s="133">
        <v>38</v>
      </c>
      <c r="B32" s="49">
        <v>0.18</v>
      </c>
      <c r="C32" s="73"/>
      <c r="D32" s="215">
        <f t="shared" si="0"/>
        <v>27</v>
      </c>
      <c r="E32" s="216">
        <f>[1]!PBGCLRF(65+D32/12)</f>
        <v>1.2424999999999999</v>
      </c>
      <c r="F32" s="73"/>
      <c r="G32" s="73"/>
      <c r="H32" s="73"/>
      <c r="I32" s="73"/>
      <c r="J32" s="48">
        <v>28</v>
      </c>
      <c r="K32" s="49">
        <v>0.86</v>
      </c>
      <c r="L32" s="73"/>
      <c r="M32" s="155">
        <v>28</v>
      </c>
      <c r="N32" s="49">
        <v>1.3269</v>
      </c>
      <c r="O32" s="73"/>
      <c r="P32" s="73"/>
      <c r="Q32" s="73"/>
      <c r="R32" s="222">
        <v>0.67179999999999995</v>
      </c>
      <c r="S32" s="223">
        <v>0.67300000000000004</v>
      </c>
      <c r="T32" s="223">
        <v>0.67430000000000001</v>
      </c>
      <c r="U32" s="223">
        <v>0.67569999999999997</v>
      </c>
      <c r="V32" s="223">
        <v>0.67710000000000004</v>
      </c>
      <c r="W32" s="223">
        <v>0.67849999999999999</v>
      </c>
      <c r="X32" s="223">
        <v>0.68010000000000004</v>
      </c>
      <c r="Y32" s="223">
        <v>0.68169999999999997</v>
      </c>
      <c r="Z32" s="223">
        <v>0.68330000000000002</v>
      </c>
      <c r="AA32" s="223">
        <v>0.68510000000000004</v>
      </c>
      <c r="AB32" s="223">
        <v>0.68689999999999996</v>
      </c>
      <c r="AC32" s="223">
        <v>0.68879999999999997</v>
      </c>
      <c r="AD32" s="223">
        <v>0.69079999999999997</v>
      </c>
      <c r="AE32" s="223">
        <v>0.69289999999999996</v>
      </c>
      <c r="AF32" s="223">
        <v>0.69510000000000005</v>
      </c>
      <c r="AG32" s="223">
        <v>0.69730000000000003</v>
      </c>
      <c r="AH32" s="223">
        <v>0.69940000000000002</v>
      </c>
      <c r="AI32" s="223">
        <v>0.7016</v>
      </c>
      <c r="AJ32" s="223">
        <v>0.70389999999999997</v>
      </c>
      <c r="AK32" s="223">
        <v>0.70630000000000004</v>
      </c>
      <c r="AL32" s="223">
        <v>0.70879999999999999</v>
      </c>
      <c r="AM32" s="223">
        <v>0.71150000000000002</v>
      </c>
      <c r="AN32" s="223">
        <v>0.71430000000000005</v>
      </c>
      <c r="AO32" s="223">
        <v>0.71730000000000005</v>
      </c>
      <c r="AP32" s="223">
        <v>0.72040000000000004</v>
      </c>
      <c r="AQ32" s="223">
        <v>0.72370000000000001</v>
      </c>
      <c r="AR32" s="223">
        <v>0.72709999999999997</v>
      </c>
      <c r="AS32" s="223">
        <v>0.73070000000000002</v>
      </c>
      <c r="AT32" s="223">
        <v>0.73440000000000005</v>
      </c>
      <c r="AU32" s="223">
        <v>0.73829999999999996</v>
      </c>
      <c r="AV32" s="223">
        <v>0.74239999999999995</v>
      </c>
      <c r="AW32" s="223">
        <v>0.74660000000000004</v>
      </c>
      <c r="AX32" s="223">
        <v>0.751</v>
      </c>
      <c r="AY32" s="223">
        <v>0.75560000000000005</v>
      </c>
      <c r="AZ32" s="223">
        <v>0.76039999999999996</v>
      </c>
      <c r="BA32" s="223">
        <v>0.76529999999999998</v>
      </c>
      <c r="BB32" s="223">
        <v>0.77029999999999998</v>
      </c>
      <c r="BC32" s="223">
        <v>0.77549999999999997</v>
      </c>
      <c r="BD32" s="223">
        <v>0.78090000000000004</v>
      </c>
      <c r="BE32" s="223">
        <v>0.78649999999999998</v>
      </c>
      <c r="BF32" s="223">
        <v>0.79210000000000003</v>
      </c>
      <c r="BG32" s="223">
        <v>0.79800000000000004</v>
      </c>
      <c r="BH32" s="223">
        <v>0.80400000000000005</v>
      </c>
      <c r="BI32" s="223">
        <v>0.81010000000000004</v>
      </c>
      <c r="BJ32" s="223">
        <v>0.81630000000000003</v>
      </c>
      <c r="BK32" s="223">
        <v>0.8226</v>
      </c>
      <c r="BL32" s="223">
        <v>0.82909999999999995</v>
      </c>
      <c r="BM32" s="223">
        <v>0.83560000000000001</v>
      </c>
      <c r="BN32" s="223">
        <v>0.84230000000000005</v>
      </c>
      <c r="BO32" s="223">
        <v>0.84889999999999999</v>
      </c>
      <c r="BP32" s="223">
        <v>0.85570000000000002</v>
      </c>
      <c r="BQ32" s="223">
        <v>0.86240000000000006</v>
      </c>
      <c r="BR32" s="223">
        <v>0.86919999999999997</v>
      </c>
      <c r="BS32" s="223">
        <v>0.876</v>
      </c>
      <c r="BT32" s="223">
        <v>0.88280000000000003</v>
      </c>
      <c r="BU32" s="223">
        <v>0.88949999999999996</v>
      </c>
      <c r="BV32" s="223">
        <v>0.8962</v>
      </c>
      <c r="BW32" s="223">
        <v>0.90290000000000004</v>
      </c>
      <c r="BX32" s="223">
        <v>0.90949999999999998</v>
      </c>
      <c r="BY32" s="223">
        <v>0.91590000000000005</v>
      </c>
      <c r="BZ32" s="223">
        <v>0.92230000000000001</v>
      </c>
      <c r="CA32" s="223">
        <v>0.92849999999999999</v>
      </c>
      <c r="CB32" s="223">
        <v>0.93459999999999999</v>
      </c>
      <c r="CC32" s="223">
        <v>0.9405</v>
      </c>
      <c r="CD32" s="223">
        <v>0.94630000000000003</v>
      </c>
      <c r="CE32" s="223">
        <v>0.95179999999999998</v>
      </c>
      <c r="CF32" s="223">
        <v>0.95720000000000005</v>
      </c>
      <c r="CG32" s="223">
        <v>0.96230000000000004</v>
      </c>
      <c r="CH32" s="223">
        <v>0.96719999999999995</v>
      </c>
      <c r="CI32" s="223">
        <v>0.97199999999999998</v>
      </c>
      <c r="CJ32" s="223">
        <v>0.97650000000000003</v>
      </c>
      <c r="CK32" s="223">
        <v>0.98080000000000001</v>
      </c>
      <c r="CL32" s="223">
        <v>0.9849</v>
      </c>
      <c r="CM32" s="223">
        <v>0.98880000000000001</v>
      </c>
      <c r="CN32" s="224">
        <v>0.99239999999999995</v>
      </c>
      <c r="CO32" s="73"/>
      <c r="CP32" s="275" t="s">
        <v>309</v>
      </c>
      <c r="CQ32" s="158"/>
      <c r="CV32" s="37"/>
      <c r="DC32" t="s">
        <v>458</v>
      </c>
      <c r="DD32">
        <f>DCOUNT(Active_Vesteds,"PVPBL_ANN_RATES",All_Criteria)</f>
        <v>0</v>
      </c>
      <c r="DE32" t="s">
        <v>177</v>
      </c>
      <c r="DF32" s="57">
        <f>DSUM(Active_Vesteds,"PVMB_4022C_NO_LOAD",All_Criteria)</f>
        <v>0</v>
      </c>
      <c r="DG32" s="226">
        <f>DSUM(Active_Vesteds,"LOAD_4022C",All_Criteria)</f>
        <v>0</v>
      </c>
      <c r="DH32" s="57">
        <f t="shared" ref="DH32:DH33" si="2">DF32 + DG32</f>
        <v>0</v>
      </c>
      <c r="DN32" s="80">
        <v>1936</v>
      </c>
      <c r="DO32" s="84">
        <v>33588</v>
      </c>
      <c r="DP32" s="81">
        <v>34188</v>
      </c>
      <c r="DQ32" s="81">
        <v>34728</v>
      </c>
      <c r="DR32" s="81">
        <v>35412</v>
      </c>
      <c r="DS32" s="81">
        <v>35532</v>
      </c>
      <c r="DT32" s="81">
        <v>35796</v>
      </c>
      <c r="DU32" s="81">
        <v>36180</v>
      </c>
      <c r="DV32" s="81">
        <v>36528</v>
      </c>
      <c r="DW32" s="81">
        <v>36888</v>
      </c>
      <c r="DX32" s="81">
        <v>37092</v>
      </c>
      <c r="DY32" s="81">
        <v>37212</v>
      </c>
      <c r="DZ32" s="81">
        <v>37212</v>
      </c>
      <c r="EA32" s="81">
        <v>37212</v>
      </c>
      <c r="EB32" s="82">
        <v>37212</v>
      </c>
      <c r="EE32" s="88">
        <v>1936</v>
      </c>
      <c r="EF32" s="125">
        <v>23856</v>
      </c>
      <c r="EG32" s="103">
        <v>25548</v>
      </c>
      <c r="EH32" s="98">
        <v>26568</v>
      </c>
      <c r="EI32" s="103">
        <v>27396</v>
      </c>
      <c r="EJ32" s="103">
        <v>28428</v>
      </c>
      <c r="EK32" s="103">
        <v>29148</v>
      </c>
      <c r="EL32" s="103">
        <v>29592</v>
      </c>
      <c r="EM32" s="111">
        <v>31800</v>
      </c>
      <c r="EN32" s="103">
        <v>32928</v>
      </c>
      <c r="EO32" s="108">
        <v>33588</v>
      </c>
      <c r="EP32" s="81">
        <v>34188</v>
      </c>
      <c r="EQ32" s="81">
        <v>34728</v>
      </c>
      <c r="ER32" s="81">
        <v>35412</v>
      </c>
      <c r="ES32" s="81">
        <v>35532</v>
      </c>
      <c r="ET32" s="81">
        <v>35796</v>
      </c>
      <c r="EU32" s="81">
        <v>36180</v>
      </c>
      <c r="EV32" s="81">
        <v>36528</v>
      </c>
      <c r="EW32" s="81">
        <v>36888</v>
      </c>
      <c r="EX32" s="81">
        <v>37092</v>
      </c>
      <c r="EY32" s="81">
        <v>37212</v>
      </c>
      <c r="EZ32" s="81">
        <v>37212</v>
      </c>
      <c r="FA32" s="81">
        <v>37212</v>
      </c>
      <c r="FB32" s="82">
        <v>37212</v>
      </c>
    </row>
    <row r="33" spans="1:158" ht="15.75" x14ac:dyDescent="0.25">
      <c r="A33" s="132">
        <v>37</v>
      </c>
      <c r="B33" s="49">
        <v>0.17</v>
      </c>
      <c r="C33" s="73"/>
      <c r="D33" s="215">
        <f t="shared" si="0"/>
        <v>28</v>
      </c>
      <c r="E33" s="216">
        <f>[1]!PBGCLRF(65+D33/12)</f>
        <v>1.2533000000000001</v>
      </c>
      <c r="F33" s="73"/>
      <c r="G33" s="73"/>
      <c r="H33" s="73"/>
      <c r="I33" s="73"/>
      <c r="J33" s="48">
        <v>29</v>
      </c>
      <c r="K33" s="49">
        <v>0.85499999999999998</v>
      </c>
      <c r="L33" s="73"/>
      <c r="M33" s="155">
        <v>29</v>
      </c>
      <c r="N33" s="49">
        <v>1.3407</v>
      </c>
      <c r="O33" s="73"/>
      <c r="P33" s="73"/>
      <c r="Q33" s="73"/>
      <c r="R33" s="155">
        <v>0.6603</v>
      </c>
      <c r="S33" s="159">
        <v>0.66159999999999997</v>
      </c>
      <c r="T33" s="159">
        <v>0.66279999999999994</v>
      </c>
      <c r="U33" s="159">
        <v>0.66410000000000002</v>
      </c>
      <c r="V33" s="159">
        <v>0.66549999999999998</v>
      </c>
      <c r="W33" s="159">
        <v>0.66700000000000004</v>
      </c>
      <c r="X33" s="159">
        <v>0.66849999999999998</v>
      </c>
      <c r="Y33" s="159">
        <v>0.67010000000000003</v>
      </c>
      <c r="Z33" s="159">
        <v>0.67169999999999996</v>
      </c>
      <c r="AA33" s="159">
        <v>0.67349999999999999</v>
      </c>
      <c r="AB33" s="159">
        <v>0.67530000000000001</v>
      </c>
      <c r="AC33" s="159">
        <v>0.67720000000000002</v>
      </c>
      <c r="AD33" s="159">
        <v>0.67920000000000003</v>
      </c>
      <c r="AE33" s="159">
        <v>0.68120000000000003</v>
      </c>
      <c r="AF33" s="159">
        <v>0.68340000000000001</v>
      </c>
      <c r="AG33" s="159">
        <v>0.68569999999999998</v>
      </c>
      <c r="AH33" s="159">
        <v>0.68769999999999998</v>
      </c>
      <c r="AI33" s="159">
        <v>0.68979999999999997</v>
      </c>
      <c r="AJ33" s="159">
        <v>0.69210000000000005</v>
      </c>
      <c r="AK33" s="159">
        <v>0.69450000000000001</v>
      </c>
      <c r="AL33" s="159">
        <v>0.69699999999999995</v>
      </c>
      <c r="AM33" s="159">
        <v>0.69969999999999999</v>
      </c>
      <c r="AN33" s="159">
        <v>0.70250000000000001</v>
      </c>
      <c r="AO33" s="159">
        <v>0.70540000000000003</v>
      </c>
      <c r="AP33" s="159">
        <v>0.70850000000000002</v>
      </c>
      <c r="AQ33" s="159">
        <v>0.71179999999999999</v>
      </c>
      <c r="AR33" s="159">
        <v>0.71519999999999995</v>
      </c>
      <c r="AS33" s="159">
        <v>0.71879999999999999</v>
      </c>
      <c r="AT33" s="159">
        <v>0.72250000000000003</v>
      </c>
      <c r="AU33" s="159">
        <v>0.72640000000000005</v>
      </c>
      <c r="AV33" s="159">
        <v>0.73050000000000004</v>
      </c>
      <c r="AW33" s="159">
        <v>0.73470000000000002</v>
      </c>
      <c r="AX33" s="159">
        <v>0.73919999999999997</v>
      </c>
      <c r="AY33" s="159">
        <v>0.74380000000000002</v>
      </c>
      <c r="AZ33" s="159">
        <v>0.74850000000000005</v>
      </c>
      <c r="BA33" s="159">
        <v>0.75349999999999995</v>
      </c>
      <c r="BB33" s="159">
        <v>0.75860000000000005</v>
      </c>
      <c r="BC33" s="159">
        <v>0.76390000000000002</v>
      </c>
      <c r="BD33" s="159">
        <v>0.76929999999999998</v>
      </c>
      <c r="BE33" s="159">
        <v>0.77490000000000003</v>
      </c>
      <c r="BF33" s="159">
        <v>0.78069999999999995</v>
      </c>
      <c r="BG33" s="159">
        <v>0.78659999999999997</v>
      </c>
      <c r="BH33" s="159">
        <v>0.79269999999999996</v>
      </c>
      <c r="BI33" s="159">
        <v>0.79900000000000004</v>
      </c>
      <c r="BJ33" s="159">
        <v>0.8054</v>
      </c>
      <c r="BK33" s="159">
        <v>0.81189999999999996</v>
      </c>
      <c r="BL33" s="159">
        <v>0.81850000000000001</v>
      </c>
      <c r="BM33" s="159">
        <v>0.82520000000000004</v>
      </c>
      <c r="BN33" s="159">
        <v>0.83209999999999995</v>
      </c>
      <c r="BO33" s="159">
        <v>0.83899999999999997</v>
      </c>
      <c r="BP33" s="159">
        <v>0.84599999999999997</v>
      </c>
      <c r="BQ33" s="159">
        <v>0.85299999999999998</v>
      </c>
      <c r="BR33" s="159">
        <v>0.86009999999999998</v>
      </c>
      <c r="BS33" s="159">
        <v>0.86719999999999997</v>
      </c>
      <c r="BT33" s="159">
        <v>0.87429999999999997</v>
      </c>
      <c r="BU33" s="159">
        <v>0.88129999999999997</v>
      </c>
      <c r="BV33" s="159">
        <v>0.88839999999999997</v>
      </c>
      <c r="BW33" s="159">
        <v>0.89539999999999997</v>
      </c>
      <c r="BX33" s="159">
        <v>0.90239999999999998</v>
      </c>
      <c r="BY33" s="159">
        <v>0.9093</v>
      </c>
      <c r="BZ33" s="159">
        <v>0.91600000000000004</v>
      </c>
      <c r="CA33" s="159">
        <v>0.92269999999999996</v>
      </c>
      <c r="CB33" s="159">
        <v>0.92920000000000003</v>
      </c>
      <c r="CC33" s="159">
        <v>0.9355</v>
      </c>
      <c r="CD33" s="159">
        <v>0.94169999999999998</v>
      </c>
      <c r="CE33" s="159">
        <v>0.94769999999999999</v>
      </c>
      <c r="CF33" s="159">
        <v>0.95340000000000003</v>
      </c>
      <c r="CG33" s="159">
        <v>0.95899999999999996</v>
      </c>
      <c r="CH33" s="159">
        <v>0.96430000000000005</v>
      </c>
      <c r="CI33" s="159">
        <v>0.96940000000000004</v>
      </c>
      <c r="CJ33" s="159">
        <v>0.97440000000000004</v>
      </c>
      <c r="CK33" s="159">
        <v>0.97909999999999997</v>
      </c>
      <c r="CL33" s="159">
        <v>0.98350000000000004</v>
      </c>
      <c r="CM33" s="159">
        <v>0.98780000000000001</v>
      </c>
      <c r="CN33" s="49">
        <v>0.99180000000000001</v>
      </c>
      <c r="CO33" s="73"/>
      <c r="CP33" s="72">
        <v>7.0000000000000007E-2</v>
      </c>
      <c r="CQ33">
        <v>999</v>
      </c>
      <c r="DC33" t="s">
        <v>429</v>
      </c>
      <c r="DD33">
        <f>DCOUNT(Separated_Vesteds,"PVPBL_ANN_RATES",All_Criteria)</f>
        <v>0</v>
      </c>
      <c r="DE33" t="s">
        <v>177</v>
      </c>
      <c r="DF33" s="57">
        <f>DSUM(Separated_Vesteds,"PVMB_4022C_NO_LOAD",All_Criteria)</f>
        <v>0</v>
      </c>
      <c r="DG33" s="226">
        <f>DSUM(Separated_Vesteds,"LOAD_4022C",All_Criteria)</f>
        <v>0</v>
      </c>
      <c r="DH33" s="57">
        <f t="shared" si="2"/>
        <v>0</v>
      </c>
      <c r="DN33" s="80">
        <v>1937</v>
      </c>
      <c r="DO33" s="84">
        <v>34932</v>
      </c>
      <c r="DP33" s="81">
        <v>35592</v>
      </c>
      <c r="DQ33" s="81">
        <v>36192</v>
      </c>
      <c r="DR33" s="81">
        <v>36960</v>
      </c>
      <c r="DS33" s="81">
        <v>37092</v>
      </c>
      <c r="DT33" s="81">
        <v>37392</v>
      </c>
      <c r="DU33" s="81">
        <v>37860</v>
      </c>
      <c r="DV33" s="81">
        <v>38292</v>
      </c>
      <c r="DW33" s="81">
        <v>38772</v>
      </c>
      <c r="DX33" s="81">
        <v>39072</v>
      </c>
      <c r="DY33" s="81">
        <v>39312</v>
      </c>
      <c r="DZ33" s="81">
        <v>39444</v>
      </c>
      <c r="EA33" s="81">
        <v>39444</v>
      </c>
      <c r="EB33" s="82">
        <v>39444</v>
      </c>
      <c r="EE33" s="88">
        <v>1937</v>
      </c>
      <c r="EF33" s="125">
        <v>24588</v>
      </c>
      <c r="EG33" s="103">
        <v>26388</v>
      </c>
      <c r="EH33" s="98">
        <v>27468</v>
      </c>
      <c r="EI33" s="103">
        <v>28332</v>
      </c>
      <c r="EJ33" s="103">
        <v>29436</v>
      </c>
      <c r="EK33" s="103">
        <v>30204</v>
      </c>
      <c r="EL33" s="103">
        <v>30684</v>
      </c>
      <c r="EM33" s="111">
        <v>32988</v>
      </c>
      <c r="EN33" s="103">
        <v>34212</v>
      </c>
      <c r="EO33" s="108">
        <v>34932</v>
      </c>
      <c r="EP33" s="81">
        <v>35592</v>
      </c>
      <c r="EQ33" s="81">
        <v>36192</v>
      </c>
      <c r="ER33" s="81">
        <v>36960</v>
      </c>
      <c r="ES33" s="81">
        <v>37092</v>
      </c>
      <c r="ET33" s="81">
        <v>37392</v>
      </c>
      <c r="EU33" s="81">
        <v>37860</v>
      </c>
      <c r="EV33" s="81">
        <v>38292</v>
      </c>
      <c r="EW33" s="81">
        <v>38772</v>
      </c>
      <c r="EX33" s="81">
        <v>39072</v>
      </c>
      <c r="EY33" s="81">
        <v>39312</v>
      </c>
      <c r="EZ33" s="81">
        <v>39444</v>
      </c>
      <c r="FA33" s="81">
        <v>39444</v>
      </c>
      <c r="FB33" s="82">
        <v>39444</v>
      </c>
    </row>
    <row r="34" spans="1:158" ht="15.75" x14ac:dyDescent="0.25">
      <c r="A34" s="48">
        <v>36</v>
      </c>
      <c r="B34" s="49">
        <v>0.16</v>
      </c>
      <c r="C34" s="73"/>
      <c r="D34" s="215">
        <f t="shared" si="0"/>
        <v>29</v>
      </c>
      <c r="E34" s="216">
        <f>[1]!PBGCLRF(65+D34/12)</f>
        <v>1.2642</v>
      </c>
      <c r="F34" s="73"/>
      <c r="G34" s="73"/>
      <c r="H34" s="73"/>
      <c r="I34" s="73"/>
      <c r="J34" s="48">
        <v>30</v>
      </c>
      <c r="K34" s="49">
        <v>0.85</v>
      </c>
      <c r="L34" s="73"/>
      <c r="M34" s="155">
        <v>30</v>
      </c>
      <c r="N34" s="49">
        <v>1.3546</v>
      </c>
      <c r="O34" s="73"/>
      <c r="P34" s="73"/>
      <c r="Q34" s="73"/>
      <c r="R34" s="155">
        <v>0.64880000000000004</v>
      </c>
      <c r="S34" s="159">
        <v>0.65</v>
      </c>
      <c r="T34" s="159">
        <v>0.65129999999999999</v>
      </c>
      <c r="U34" s="159">
        <v>0.65259999999999996</v>
      </c>
      <c r="V34" s="159">
        <v>0.65390000000000004</v>
      </c>
      <c r="W34" s="159">
        <v>0.65539999999999998</v>
      </c>
      <c r="X34" s="159">
        <v>0.65690000000000004</v>
      </c>
      <c r="Y34" s="159">
        <v>0.65839999999999999</v>
      </c>
      <c r="Z34" s="159">
        <v>0.66010000000000002</v>
      </c>
      <c r="AA34" s="159">
        <v>0.66180000000000005</v>
      </c>
      <c r="AB34" s="159">
        <v>0.66359999999999997</v>
      </c>
      <c r="AC34" s="159">
        <v>0.66549999999999998</v>
      </c>
      <c r="AD34" s="159">
        <v>0.66739999999999999</v>
      </c>
      <c r="AE34" s="159">
        <v>0.66949999999999998</v>
      </c>
      <c r="AF34" s="159">
        <v>0.67159999999999997</v>
      </c>
      <c r="AG34" s="159">
        <v>0.67390000000000005</v>
      </c>
      <c r="AH34" s="159">
        <v>0.67589999999999995</v>
      </c>
      <c r="AI34" s="159">
        <v>0.67800000000000005</v>
      </c>
      <c r="AJ34" s="159">
        <v>0.68020000000000003</v>
      </c>
      <c r="AK34" s="159">
        <v>0.68259999999999998</v>
      </c>
      <c r="AL34" s="159">
        <v>0.68510000000000004</v>
      </c>
      <c r="AM34" s="159">
        <v>0.68769999999999998</v>
      </c>
      <c r="AN34" s="159">
        <v>0.6905</v>
      </c>
      <c r="AO34" s="159">
        <v>0.69340000000000002</v>
      </c>
      <c r="AP34" s="159">
        <v>0.69650000000000001</v>
      </c>
      <c r="AQ34" s="159">
        <v>0.69979999999999998</v>
      </c>
      <c r="AR34" s="159">
        <v>0.70320000000000005</v>
      </c>
      <c r="AS34" s="159">
        <v>0.70669999999999999</v>
      </c>
      <c r="AT34" s="159">
        <v>0.71050000000000002</v>
      </c>
      <c r="AU34" s="159">
        <v>0.71440000000000003</v>
      </c>
      <c r="AV34" s="159">
        <v>0.71840000000000004</v>
      </c>
      <c r="AW34" s="159">
        <v>0.72270000000000001</v>
      </c>
      <c r="AX34" s="159">
        <v>0.72709999999999997</v>
      </c>
      <c r="AY34" s="159">
        <v>0.73170000000000002</v>
      </c>
      <c r="AZ34" s="159">
        <v>0.73650000000000004</v>
      </c>
      <c r="BA34" s="159">
        <v>0.74150000000000005</v>
      </c>
      <c r="BB34" s="159">
        <v>0.74660000000000004</v>
      </c>
      <c r="BC34" s="159">
        <v>0.752</v>
      </c>
      <c r="BD34" s="159">
        <v>0.75749999999999995</v>
      </c>
      <c r="BE34" s="159">
        <v>0.76319999999999999</v>
      </c>
      <c r="BF34" s="159">
        <v>0.76900000000000002</v>
      </c>
      <c r="BG34" s="159">
        <v>0.77500000000000002</v>
      </c>
      <c r="BH34" s="159">
        <v>0.78120000000000001</v>
      </c>
      <c r="BI34" s="159">
        <v>0.78759999999999997</v>
      </c>
      <c r="BJ34" s="159">
        <v>0.79410000000000003</v>
      </c>
      <c r="BK34" s="159">
        <v>0.80079999999999996</v>
      </c>
      <c r="BL34" s="159">
        <v>0.80759999999999998</v>
      </c>
      <c r="BM34" s="159">
        <v>0.8145</v>
      </c>
      <c r="BN34" s="159">
        <v>0.82150000000000001</v>
      </c>
      <c r="BO34" s="159">
        <v>0.82869999999999999</v>
      </c>
      <c r="BP34" s="159">
        <v>0.83589999999999998</v>
      </c>
      <c r="BQ34" s="159">
        <v>0.84319999999999995</v>
      </c>
      <c r="BR34" s="159">
        <v>0.85050000000000003</v>
      </c>
      <c r="BS34" s="159">
        <v>0.8579</v>
      </c>
      <c r="BT34" s="159">
        <v>0.86539999999999995</v>
      </c>
      <c r="BU34" s="159">
        <v>0.87280000000000002</v>
      </c>
      <c r="BV34" s="159">
        <v>0.88019999999999998</v>
      </c>
      <c r="BW34" s="159">
        <v>0.88759999999999994</v>
      </c>
      <c r="BX34" s="159">
        <v>0.89490000000000003</v>
      </c>
      <c r="BY34" s="159">
        <v>0.9022</v>
      </c>
      <c r="BZ34" s="159">
        <v>0.90939999999999999</v>
      </c>
      <c r="CA34" s="159">
        <v>0.91649999999999998</v>
      </c>
      <c r="CB34" s="159">
        <v>0.9234</v>
      </c>
      <c r="CC34" s="159">
        <v>0.93020000000000003</v>
      </c>
      <c r="CD34" s="159">
        <v>0.93679999999999997</v>
      </c>
      <c r="CE34" s="159">
        <v>0.94320000000000004</v>
      </c>
      <c r="CF34" s="159">
        <v>0.94940000000000002</v>
      </c>
      <c r="CG34" s="159">
        <v>0.95540000000000003</v>
      </c>
      <c r="CH34" s="159">
        <v>0.96120000000000005</v>
      </c>
      <c r="CI34" s="159">
        <v>0.9667</v>
      </c>
      <c r="CJ34" s="159">
        <v>0.97209999999999996</v>
      </c>
      <c r="CK34" s="159">
        <v>0.97719999999999996</v>
      </c>
      <c r="CL34" s="159">
        <v>0.98209999999999997</v>
      </c>
      <c r="CM34" s="159">
        <v>0.98680000000000001</v>
      </c>
      <c r="CN34" s="49">
        <v>0.99109999999999998</v>
      </c>
      <c r="CO34" s="73"/>
      <c r="CP34" s="41"/>
      <c r="DC34" t="s">
        <v>414</v>
      </c>
      <c r="DE34" t="s">
        <v>177</v>
      </c>
      <c r="DF34" s="57"/>
      <c r="DG34" s="226"/>
      <c r="DH34" s="57"/>
      <c r="DN34" s="80">
        <v>1938</v>
      </c>
      <c r="DO34" s="84">
        <v>37536</v>
      </c>
      <c r="DP34" s="81">
        <v>38316</v>
      </c>
      <c r="DQ34" s="81">
        <v>39036</v>
      </c>
      <c r="DR34" s="81">
        <v>39972</v>
      </c>
      <c r="DS34" s="81">
        <v>40152</v>
      </c>
      <c r="DT34" s="81">
        <v>40536</v>
      </c>
      <c r="DU34" s="81">
        <v>41148</v>
      </c>
      <c r="DV34" s="81">
        <v>41748</v>
      </c>
      <c r="DW34" s="81">
        <v>42468</v>
      </c>
      <c r="DX34" s="81">
        <v>42984</v>
      </c>
      <c r="DY34" s="81">
        <v>43464</v>
      </c>
      <c r="DZ34" s="81">
        <v>43848</v>
      </c>
      <c r="EA34" s="81">
        <v>43968</v>
      </c>
      <c r="EB34" s="82">
        <v>43992</v>
      </c>
      <c r="EE34" s="88">
        <v>1938</v>
      </c>
      <c r="EF34" s="125">
        <v>25332</v>
      </c>
      <c r="EG34" s="103">
        <v>27216</v>
      </c>
      <c r="EH34" s="98">
        <v>28356</v>
      </c>
      <c r="EI34" s="103">
        <v>29280</v>
      </c>
      <c r="EJ34" s="103">
        <v>30444</v>
      </c>
      <c r="EK34" s="103">
        <v>31272</v>
      </c>
      <c r="EL34" s="103">
        <v>31788</v>
      </c>
      <c r="EM34" s="111">
        <v>35280</v>
      </c>
      <c r="EN34" s="103">
        <v>36696</v>
      </c>
      <c r="EO34" s="108">
        <v>37536</v>
      </c>
      <c r="EP34" s="81">
        <v>38316</v>
      </c>
      <c r="EQ34" s="81">
        <v>39036</v>
      </c>
      <c r="ER34" s="81">
        <v>39972</v>
      </c>
      <c r="ES34" s="81">
        <v>40152</v>
      </c>
      <c r="ET34" s="81">
        <v>40536</v>
      </c>
      <c r="EU34" s="81">
        <v>41148</v>
      </c>
      <c r="EV34" s="81">
        <v>41748</v>
      </c>
      <c r="EW34" s="81">
        <v>42468</v>
      </c>
      <c r="EX34" s="81">
        <v>42984</v>
      </c>
      <c r="EY34" s="81">
        <v>43464</v>
      </c>
      <c r="EZ34" s="81">
        <v>43848</v>
      </c>
      <c r="FA34" s="81">
        <v>43968</v>
      </c>
      <c r="FB34" s="82">
        <v>43992</v>
      </c>
    </row>
    <row r="35" spans="1:158" ht="15.75" x14ac:dyDescent="0.25">
      <c r="A35" s="132">
        <v>35</v>
      </c>
      <c r="B35" s="49">
        <v>0.15</v>
      </c>
      <c r="C35" s="73"/>
      <c r="D35" s="215">
        <f t="shared" si="0"/>
        <v>30</v>
      </c>
      <c r="E35" s="216">
        <f>[1]!PBGCLRF(65+D35/12)</f>
        <v>1.2749999999999999</v>
      </c>
      <c r="F35" s="73"/>
      <c r="G35" s="73"/>
      <c r="H35" s="73"/>
      <c r="I35" s="73"/>
      <c r="J35" s="48">
        <v>31</v>
      </c>
      <c r="K35" s="49">
        <v>0.84499999999999997</v>
      </c>
      <c r="L35" s="73"/>
      <c r="M35" s="155">
        <v>31</v>
      </c>
      <c r="N35" s="49">
        <v>1.3687</v>
      </c>
      <c r="O35" s="73"/>
      <c r="P35" s="73"/>
      <c r="Q35" s="73"/>
      <c r="R35" s="155">
        <v>0.63719999999999999</v>
      </c>
      <c r="S35" s="159">
        <v>0.63839999999999997</v>
      </c>
      <c r="T35" s="159">
        <v>0.63959999999999995</v>
      </c>
      <c r="U35" s="159">
        <v>0.64090000000000003</v>
      </c>
      <c r="V35" s="159">
        <v>0.64229999999999998</v>
      </c>
      <c r="W35" s="159">
        <v>0.64370000000000005</v>
      </c>
      <c r="X35" s="159">
        <v>0.6452</v>
      </c>
      <c r="Y35" s="159">
        <v>0.64680000000000004</v>
      </c>
      <c r="Z35" s="159">
        <v>0.64839999999999998</v>
      </c>
      <c r="AA35" s="159">
        <v>0.65010000000000001</v>
      </c>
      <c r="AB35" s="159">
        <v>0.65190000000000003</v>
      </c>
      <c r="AC35" s="159">
        <v>0.65369999999999995</v>
      </c>
      <c r="AD35" s="159">
        <v>0.65569999999999995</v>
      </c>
      <c r="AE35" s="159">
        <v>0.65769999999999995</v>
      </c>
      <c r="AF35" s="159">
        <v>0.65980000000000005</v>
      </c>
      <c r="AG35" s="159">
        <v>0.66200000000000003</v>
      </c>
      <c r="AH35" s="159">
        <v>0.66400000000000003</v>
      </c>
      <c r="AI35" s="159">
        <v>0.66610000000000003</v>
      </c>
      <c r="AJ35" s="159">
        <v>0.66830000000000001</v>
      </c>
      <c r="AK35" s="159">
        <v>0.67059999999999997</v>
      </c>
      <c r="AL35" s="159">
        <v>0.67310000000000003</v>
      </c>
      <c r="AM35" s="159">
        <v>0.67569999999999997</v>
      </c>
      <c r="AN35" s="159">
        <v>0.67849999999999999</v>
      </c>
      <c r="AO35" s="159">
        <v>0.68140000000000001</v>
      </c>
      <c r="AP35" s="159">
        <v>0.68440000000000001</v>
      </c>
      <c r="AQ35" s="159">
        <v>0.68769999999999998</v>
      </c>
      <c r="AR35" s="159">
        <v>0.69099999999999995</v>
      </c>
      <c r="AS35" s="159">
        <v>0.6946</v>
      </c>
      <c r="AT35" s="159">
        <v>0.69830000000000003</v>
      </c>
      <c r="AU35" s="159">
        <v>0.70220000000000005</v>
      </c>
      <c r="AV35" s="159">
        <v>0.70630000000000004</v>
      </c>
      <c r="AW35" s="159">
        <v>0.71050000000000002</v>
      </c>
      <c r="AX35" s="159">
        <v>0.71489999999999998</v>
      </c>
      <c r="AY35" s="159">
        <v>0.71960000000000002</v>
      </c>
      <c r="AZ35" s="159">
        <v>0.72440000000000004</v>
      </c>
      <c r="BA35" s="159">
        <v>0.72940000000000005</v>
      </c>
      <c r="BB35" s="159">
        <v>0.73450000000000004</v>
      </c>
      <c r="BC35" s="159">
        <v>0.7399</v>
      </c>
      <c r="BD35" s="159">
        <v>0.74550000000000005</v>
      </c>
      <c r="BE35" s="159">
        <v>0.75119999999999998</v>
      </c>
      <c r="BF35" s="159">
        <v>0.7571</v>
      </c>
      <c r="BG35" s="159">
        <v>0.76329999999999998</v>
      </c>
      <c r="BH35" s="159">
        <v>0.76949999999999996</v>
      </c>
      <c r="BI35" s="159">
        <v>0.77600000000000002</v>
      </c>
      <c r="BJ35" s="159">
        <v>0.78269999999999995</v>
      </c>
      <c r="BK35" s="159">
        <v>0.78949999999999998</v>
      </c>
      <c r="BL35" s="159">
        <v>0.7964</v>
      </c>
      <c r="BM35" s="159">
        <v>0.80349999999999999</v>
      </c>
      <c r="BN35" s="159">
        <v>0.81069999999999998</v>
      </c>
      <c r="BO35" s="159">
        <v>0.81810000000000005</v>
      </c>
      <c r="BP35" s="159">
        <v>0.82550000000000001</v>
      </c>
      <c r="BQ35" s="159">
        <v>0.83309999999999995</v>
      </c>
      <c r="BR35" s="159">
        <v>0.8407</v>
      </c>
      <c r="BS35" s="159">
        <v>0.84840000000000004</v>
      </c>
      <c r="BT35" s="159">
        <v>0.85609999999999997</v>
      </c>
      <c r="BU35" s="159">
        <v>0.8639</v>
      </c>
      <c r="BV35" s="159">
        <v>0.87170000000000003</v>
      </c>
      <c r="BW35" s="159">
        <v>0.87939999999999996</v>
      </c>
      <c r="BX35" s="159">
        <v>0.8871</v>
      </c>
      <c r="BY35" s="159">
        <v>0.89480000000000004</v>
      </c>
      <c r="BZ35" s="159">
        <v>0.90239999999999998</v>
      </c>
      <c r="CA35" s="159">
        <v>0.90990000000000004</v>
      </c>
      <c r="CB35" s="159">
        <v>0.9173</v>
      </c>
      <c r="CC35" s="159">
        <v>0.92449999999999999</v>
      </c>
      <c r="CD35" s="159">
        <v>0.93159999999999998</v>
      </c>
      <c r="CE35" s="159">
        <v>0.9385</v>
      </c>
      <c r="CF35" s="159">
        <v>0.94520000000000004</v>
      </c>
      <c r="CG35" s="159">
        <v>0.9516</v>
      </c>
      <c r="CH35" s="159">
        <v>0.95789999999999997</v>
      </c>
      <c r="CI35" s="159">
        <v>0.96389999999999998</v>
      </c>
      <c r="CJ35" s="159">
        <v>0.96970000000000001</v>
      </c>
      <c r="CK35" s="159">
        <v>0.97529999999999994</v>
      </c>
      <c r="CL35" s="159">
        <v>0.98060000000000003</v>
      </c>
      <c r="CM35" s="159">
        <v>0.98570000000000002</v>
      </c>
      <c r="CN35" s="49">
        <v>0.99050000000000005</v>
      </c>
      <c r="CO35" s="73"/>
      <c r="CP35" s="243" t="s">
        <v>510</v>
      </c>
      <c r="CQ35" s="158"/>
      <c r="DC35" t="s">
        <v>459</v>
      </c>
      <c r="DE35" t="s">
        <v>177</v>
      </c>
      <c r="DF35" s="57"/>
      <c r="DG35" s="226"/>
      <c r="DH35" s="57"/>
      <c r="DI35" s="57"/>
      <c r="DN35" s="80">
        <v>1939</v>
      </c>
      <c r="DO35" s="84">
        <v>38832</v>
      </c>
      <c r="DP35" s="81">
        <v>39672</v>
      </c>
      <c r="DQ35" s="81">
        <v>40452</v>
      </c>
      <c r="DR35" s="81">
        <v>41484</v>
      </c>
      <c r="DS35" s="81">
        <v>41676</v>
      </c>
      <c r="DT35" s="81">
        <v>42108</v>
      </c>
      <c r="DU35" s="81">
        <v>42792</v>
      </c>
      <c r="DV35" s="81">
        <v>43488</v>
      </c>
      <c r="DW35" s="81">
        <v>44328</v>
      </c>
      <c r="DX35" s="81">
        <v>44940</v>
      </c>
      <c r="DY35" s="81">
        <v>45540</v>
      </c>
      <c r="DZ35" s="81">
        <v>46056</v>
      </c>
      <c r="EA35" s="81">
        <v>46236</v>
      </c>
      <c r="EB35" s="82">
        <v>46284</v>
      </c>
      <c r="EE35" s="88">
        <v>1939</v>
      </c>
      <c r="EF35" s="125">
        <v>26028</v>
      </c>
      <c r="EG35" s="103">
        <v>28008</v>
      </c>
      <c r="EH35" s="98">
        <v>29208</v>
      </c>
      <c r="EI35" s="103">
        <v>30192</v>
      </c>
      <c r="EJ35" s="103">
        <v>31428</v>
      </c>
      <c r="EK35" s="103">
        <v>32292</v>
      </c>
      <c r="EL35" s="103">
        <v>32844</v>
      </c>
      <c r="EM35" s="111">
        <v>36432</v>
      </c>
      <c r="EN35" s="103">
        <v>37932</v>
      </c>
      <c r="EO35" s="108">
        <v>38832</v>
      </c>
      <c r="EP35" s="81">
        <v>39672</v>
      </c>
      <c r="EQ35" s="81">
        <v>40452</v>
      </c>
      <c r="ER35" s="81">
        <v>41484</v>
      </c>
      <c r="ES35" s="81">
        <v>41676</v>
      </c>
      <c r="ET35" s="81">
        <v>42108</v>
      </c>
      <c r="EU35" s="81">
        <v>42792</v>
      </c>
      <c r="EV35" s="81">
        <v>43488</v>
      </c>
      <c r="EW35" s="81">
        <v>44328</v>
      </c>
      <c r="EX35" s="81">
        <v>44940</v>
      </c>
      <c r="EY35" s="81">
        <v>45540</v>
      </c>
      <c r="EZ35" s="81">
        <v>46056</v>
      </c>
      <c r="FA35" s="81">
        <v>46236</v>
      </c>
      <c r="FB35" s="82">
        <v>46284</v>
      </c>
    </row>
    <row r="36" spans="1:158" ht="15.75" x14ac:dyDescent="0.25">
      <c r="A36" s="48">
        <v>34</v>
      </c>
      <c r="B36" s="49">
        <v>0.14499999999999999</v>
      </c>
      <c r="C36" s="73"/>
      <c r="D36" s="215">
        <f t="shared" si="0"/>
        <v>31</v>
      </c>
      <c r="E36" s="216">
        <f>[1]!PBGCLRF(65+D36/12)</f>
        <v>1.2858000000000001</v>
      </c>
      <c r="F36" s="73"/>
      <c r="G36" s="73"/>
      <c r="H36" s="73"/>
      <c r="I36" s="73"/>
      <c r="J36" s="48">
        <v>32</v>
      </c>
      <c r="K36" s="49">
        <v>0.84</v>
      </c>
      <c r="L36" s="73"/>
      <c r="M36" s="155">
        <v>32</v>
      </c>
      <c r="N36" s="49">
        <v>1.383</v>
      </c>
      <c r="O36" s="73"/>
      <c r="P36" s="73"/>
      <c r="Q36" s="73"/>
      <c r="R36" s="155">
        <v>0.62560000000000004</v>
      </c>
      <c r="S36" s="159">
        <v>0.62680000000000002</v>
      </c>
      <c r="T36" s="159">
        <v>0.628</v>
      </c>
      <c r="U36" s="159">
        <v>0.62929999999999997</v>
      </c>
      <c r="V36" s="159">
        <v>0.63060000000000005</v>
      </c>
      <c r="W36" s="159">
        <v>0.63200000000000001</v>
      </c>
      <c r="X36" s="159">
        <v>0.63349999999999995</v>
      </c>
      <c r="Y36" s="159">
        <v>0.63500000000000001</v>
      </c>
      <c r="Z36" s="159">
        <v>0.63670000000000004</v>
      </c>
      <c r="AA36" s="159">
        <v>0.63829999999999998</v>
      </c>
      <c r="AB36" s="159">
        <v>0.6401</v>
      </c>
      <c r="AC36" s="159">
        <v>0.64190000000000003</v>
      </c>
      <c r="AD36" s="159">
        <v>0.64390000000000003</v>
      </c>
      <c r="AE36" s="159">
        <v>0.64590000000000003</v>
      </c>
      <c r="AF36" s="159">
        <v>0.64800000000000002</v>
      </c>
      <c r="AG36" s="159">
        <v>0.6502</v>
      </c>
      <c r="AH36" s="159">
        <v>0.65210000000000001</v>
      </c>
      <c r="AI36" s="159">
        <v>0.6542</v>
      </c>
      <c r="AJ36" s="159">
        <v>0.65639999999999998</v>
      </c>
      <c r="AK36" s="159">
        <v>0.65869999999999995</v>
      </c>
      <c r="AL36" s="159">
        <v>0.66110000000000002</v>
      </c>
      <c r="AM36" s="159">
        <v>0.66369999999999996</v>
      </c>
      <c r="AN36" s="159">
        <v>0.66639999999999999</v>
      </c>
      <c r="AO36" s="159">
        <v>0.66930000000000001</v>
      </c>
      <c r="AP36" s="159">
        <v>0.67230000000000001</v>
      </c>
      <c r="AQ36" s="159">
        <v>0.67549999999999999</v>
      </c>
      <c r="AR36" s="159">
        <v>0.67889999999999995</v>
      </c>
      <c r="AS36" s="159">
        <v>0.68240000000000001</v>
      </c>
      <c r="AT36" s="159">
        <v>0.68610000000000004</v>
      </c>
      <c r="AU36" s="159">
        <v>0.69</v>
      </c>
      <c r="AV36" s="159">
        <v>0.69399999999999995</v>
      </c>
      <c r="AW36" s="159">
        <v>0.69830000000000003</v>
      </c>
      <c r="AX36" s="159">
        <v>0.70269999999999999</v>
      </c>
      <c r="AY36" s="159">
        <v>0.70730000000000004</v>
      </c>
      <c r="AZ36" s="159">
        <v>0.71209999999999996</v>
      </c>
      <c r="BA36" s="159">
        <v>0.71709999999999996</v>
      </c>
      <c r="BB36" s="159">
        <v>0.72230000000000005</v>
      </c>
      <c r="BC36" s="159">
        <v>0.72770000000000001</v>
      </c>
      <c r="BD36" s="159">
        <v>0.73329999999999995</v>
      </c>
      <c r="BE36" s="159">
        <v>0.73909999999999998</v>
      </c>
      <c r="BF36" s="159">
        <v>0.74509999999999998</v>
      </c>
      <c r="BG36" s="159">
        <v>0.75129999999999997</v>
      </c>
      <c r="BH36" s="159">
        <v>0.75770000000000004</v>
      </c>
      <c r="BI36" s="159">
        <v>0.76419999999999999</v>
      </c>
      <c r="BJ36" s="159">
        <v>0.77100000000000002</v>
      </c>
      <c r="BK36" s="159">
        <v>0.77790000000000004</v>
      </c>
      <c r="BL36" s="159">
        <v>0.78500000000000003</v>
      </c>
      <c r="BM36" s="159">
        <v>0.7923</v>
      </c>
      <c r="BN36" s="159">
        <v>0.79969999999999997</v>
      </c>
      <c r="BO36" s="159">
        <v>0.80720000000000003</v>
      </c>
      <c r="BP36" s="159">
        <v>0.81489999999999996</v>
      </c>
      <c r="BQ36" s="159">
        <v>0.82269999999999999</v>
      </c>
      <c r="BR36" s="159">
        <v>0.8306</v>
      </c>
      <c r="BS36" s="159">
        <v>0.83850000000000002</v>
      </c>
      <c r="BT36" s="159">
        <v>0.84660000000000002</v>
      </c>
      <c r="BU36" s="159">
        <v>0.85470000000000002</v>
      </c>
      <c r="BV36" s="159">
        <v>0.86280000000000001</v>
      </c>
      <c r="BW36" s="159">
        <v>0.87090000000000001</v>
      </c>
      <c r="BX36" s="159">
        <v>0.879</v>
      </c>
      <c r="BY36" s="159">
        <v>0.8871</v>
      </c>
      <c r="BZ36" s="159">
        <v>0.89510000000000001</v>
      </c>
      <c r="CA36" s="159">
        <v>0.90310000000000001</v>
      </c>
      <c r="CB36" s="159">
        <v>0.91090000000000004</v>
      </c>
      <c r="CC36" s="159">
        <v>0.91859999999999997</v>
      </c>
      <c r="CD36" s="159">
        <v>0.92620000000000002</v>
      </c>
      <c r="CE36" s="159">
        <v>0.9335</v>
      </c>
      <c r="CF36" s="159">
        <v>0.94069999999999998</v>
      </c>
      <c r="CG36" s="159">
        <v>0.9476</v>
      </c>
      <c r="CH36" s="159">
        <v>0.95440000000000003</v>
      </c>
      <c r="CI36" s="159">
        <v>0.96089999999999998</v>
      </c>
      <c r="CJ36" s="159">
        <v>0.96719999999999995</v>
      </c>
      <c r="CK36" s="159">
        <v>0.97319999999999995</v>
      </c>
      <c r="CL36" s="159">
        <v>0.97899999999999998</v>
      </c>
      <c r="CM36" s="159">
        <v>0.98460000000000003</v>
      </c>
      <c r="CN36" s="49">
        <v>0.98980000000000001</v>
      </c>
      <c r="CO36" s="73"/>
      <c r="CP36" s="72">
        <v>7.4999999999999997E-2</v>
      </c>
      <c r="CQ36">
        <v>999</v>
      </c>
      <c r="DH36" s="297">
        <f>SUM(DH30:DH35)</f>
        <v>0</v>
      </c>
      <c r="DN36" s="80">
        <v>1940</v>
      </c>
      <c r="DO36" s="84">
        <v>40140</v>
      </c>
      <c r="DP36" s="81">
        <v>41040</v>
      </c>
      <c r="DQ36" s="81">
        <v>41880</v>
      </c>
      <c r="DR36" s="81">
        <v>42996</v>
      </c>
      <c r="DS36" s="81">
        <v>43200</v>
      </c>
      <c r="DT36" s="81">
        <v>43668</v>
      </c>
      <c r="DU36" s="81">
        <v>44448</v>
      </c>
      <c r="DV36" s="81">
        <v>45216</v>
      </c>
      <c r="DW36" s="81">
        <v>46176</v>
      </c>
      <c r="DX36" s="81">
        <v>46896</v>
      </c>
      <c r="DY36" s="81">
        <v>47616</v>
      </c>
      <c r="DZ36" s="81">
        <v>48252</v>
      </c>
      <c r="EA36" s="81">
        <v>48492</v>
      </c>
      <c r="EB36" s="86">
        <v>48576</v>
      </c>
      <c r="EE36" s="88">
        <v>1940</v>
      </c>
      <c r="EF36" s="125">
        <v>26736</v>
      </c>
      <c r="EG36" s="103">
        <v>28812</v>
      </c>
      <c r="EH36" s="98">
        <v>30072</v>
      </c>
      <c r="EI36" s="103">
        <v>31092</v>
      </c>
      <c r="EJ36" s="103">
        <v>32400</v>
      </c>
      <c r="EK36" s="103">
        <v>33324</v>
      </c>
      <c r="EL36" s="103">
        <v>33912</v>
      </c>
      <c r="EM36" s="111">
        <v>37572</v>
      </c>
      <c r="EN36" s="103">
        <v>39180</v>
      </c>
      <c r="EO36" s="108">
        <v>40140</v>
      </c>
      <c r="EP36" s="81">
        <v>41040</v>
      </c>
      <c r="EQ36" s="81">
        <v>41880</v>
      </c>
      <c r="ER36" s="81">
        <v>42996</v>
      </c>
      <c r="ES36" s="81">
        <v>43200</v>
      </c>
      <c r="ET36" s="81">
        <v>43668</v>
      </c>
      <c r="EU36" s="81">
        <v>44448</v>
      </c>
      <c r="EV36" s="81">
        <v>45216</v>
      </c>
      <c r="EW36" s="81">
        <v>46176</v>
      </c>
      <c r="EX36" s="81">
        <v>46896</v>
      </c>
      <c r="EY36" s="81">
        <v>47616</v>
      </c>
      <c r="EZ36" s="81">
        <v>48252</v>
      </c>
      <c r="FA36" s="81">
        <v>48492</v>
      </c>
      <c r="FB36" s="86">
        <v>48576</v>
      </c>
    </row>
    <row r="37" spans="1:158" ht="15.75" x14ac:dyDescent="0.25">
      <c r="A37" s="132">
        <v>33</v>
      </c>
      <c r="B37" s="49">
        <v>0.14000000000000001</v>
      </c>
      <c r="C37" s="73"/>
      <c r="D37" s="215">
        <f t="shared" si="0"/>
        <v>32</v>
      </c>
      <c r="E37" s="216">
        <f>[1]!PBGCLRF(65+D37/12)</f>
        <v>1.2967</v>
      </c>
      <c r="F37" s="73"/>
      <c r="G37" s="73"/>
      <c r="H37" s="73"/>
      <c r="I37" s="73"/>
      <c r="J37" s="48">
        <v>33</v>
      </c>
      <c r="K37" s="49">
        <v>0.83499999999999996</v>
      </c>
      <c r="L37" s="73"/>
      <c r="M37" s="155">
        <v>33</v>
      </c>
      <c r="N37" s="49">
        <v>1.3974</v>
      </c>
      <c r="O37" s="73"/>
      <c r="P37" s="73"/>
      <c r="Q37" s="73"/>
      <c r="R37" s="155">
        <v>0.61399999999999999</v>
      </c>
      <c r="S37" s="159">
        <v>0.61519999999999997</v>
      </c>
      <c r="T37" s="159">
        <v>0.61639999999999995</v>
      </c>
      <c r="U37" s="159">
        <v>0.61770000000000003</v>
      </c>
      <c r="V37" s="159">
        <v>0.61899999999999999</v>
      </c>
      <c r="W37" s="159">
        <v>0.62039999999999995</v>
      </c>
      <c r="X37" s="159">
        <v>0.62180000000000002</v>
      </c>
      <c r="Y37" s="159">
        <v>0.62329999999999997</v>
      </c>
      <c r="Z37" s="159">
        <v>0.62490000000000001</v>
      </c>
      <c r="AA37" s="159">
        <v>0.62660000000000005</v>
      </c>
      <c r="AB37" s="159">
        <v>0.62829999999999997</v>
      </c>
      <c r="AC37" s="159">
        <v>0.63009999999999999</v>
      </c>
      <c r="AD37" s="159">
        <v>0.63200000000000001</v>
      </c>
      <c r="AE37" s="159">
        <v>0.63400000000000001</v>
      </c>
      <c r="AF37" s="159">
        <v>0.6361</v>
      </c>
      <c r="AG37" s="159">
        <v>0.63829999999999998</v>
      </c>
      <c r="AH37" s="159">
        <v>0.64019999999999999</v>
      </c>
      <c r="AI37" s="159">
        <v>0.64219999999999999</v>
      </c>
      <c r="AJ37" s="159">
        <v>0.64439999999999997</v>
      </c>
      <c r="AK37" s="159">
        <v>0.64670000000000005</v>
      </c>
      <c r="AL37" s="159">
        <v>0.64910000000000001</v>
      </c>
      <c r="AM37" s="159">
        <v>0.65159999999999996</v>
      </c>
      <c r="AN37" s="159">
        <v>0.65429999999999999</v>
      </c>
      <c r="AO37" s="159">
        <v>0.65720000000000001</v>
      </c>
      <c r="AP37" s="159">
        <v>0.66020000000000001</v>
      </c>
      <c r="AQ37" s="159">
        <v>0.6633</v>
      </c>
      <c r="AR37" s="159">
        <v>0.66669999999999996</v>
      </c>
      <c r="AS37" s="159">
        <v>0.67020000000000002</v>
      </c>
      <c r="AT37" s="159">
        <v>0.67379999999999995</v>
      </c>
      <c r="AU37" s="159">
        <v>0.67769999999999997</v>
      </c>
      <c r="AV37" s="159">
        <v>0.68169999999999997</v>
      </c>
      <c r="AW37" s="159">
        <v>0.68600000000000005</v>
      </c>
      <c r="AX37" s="159">
        <v>0.69040000000000001</v>
      </c>
      <c r="AY37" s="159">
        <v>0.69499999999999995</v>
      </c>
      <c r="AZ37" s="159">
        <v>0.69979999999999998</v>
      </c>
      <c r="BA37" s="159">
        <v>0.70479999999999998</v>
      </c>
      <c r="BB37" s="159">
        <v>0.71</v>
      </c>
      <c r="BC37" s="159">
        <v>0.71550000000000002</v>
      </c>
      <c r="BD37" s="159">
        <v>0.72109999999999996</v>
      </c>
      <c r="BE37" s="159">
        <v>0.72689999999999999</v>
      </c>
      <c r="BF37" s="159">
        <v>0.7329</v>
      </c>
      <c r="BG37" s="159">
        <v>0.73919999999999997</v>
      </c>
      <c r="BH37" s="159">
        <v>0.74560000000000004</v>
      </c>
      <c r="BI37" s="159">
        <v>0.75229999999999997</v>
      </c>
      <c r="BJ37" s="159">
        <v>0.7591</v>
      </c>
      <c r="BK37" s="159">
        <v>0.76619999999999999</v>
      </c>
      <c r="BL37" s="159">
        <v>0.77339999999999998</v>
      </c>
      <c r="BM37" s="159">
        <v>0.78080000000000005</v>
      </c>
      <c r="BN37" s="159">
        <v>0.78839999999999999</v>
      </c>
      <c r="BO37" s="159">
        <v>0.79610000000000003</v>
      </c>
      <c r="BP37" s="159">
        <v>0.80400000000000005</v>
      </c>
      <c r="BQ37" s="159">
        <v>0.81200000000000006</v>
      </c>
      <c r="BR37" s="159">
        <v>0.82010000000000005</v>
      </c>
      <c r="BS37" s="159">
        <v>0.82840000000000003</v>
      </c>
      <c r="BT37" s="159">
        <v>0.8367</v>
      </c>
      <c r="BU37" s="159">
        <v>0.84509999999999996</v>
      </c>
      <c r="BV37" s="159">
        <v>0.85360000000000003</v>
      </c>
      <c r="BW37" s="159">
        <v>0.86209999999999998</v>
      </c>
      <c r="BX37" s="159">
        <v>0.87060000000000004</v>
      </c>
      <c r="BY37" s="159">
        <v>0.87909999999999999</v>
      </c>
      <c r="BZ37" s="159">
        <v>0.88749999999999996</v>
      </c>
      <c r="CA37" s="159">
        <v>0.89590000000000003</v>
      </c>
      <c r="CB37" s="159">
        <v>0.9042</v>
      </c>
      <c r="CC37" s="159">
        <v>0.91239999999999999</v>
      </c>
      <c r="CD37" s="159">
        <v>0.92049999999999998</v>
      </c>
      <c r="CE37" s="159">
        <v>0.92830000000000001</v>
      </c>
      <c r="CF37" s="159">
        <v>0.93600000000000005</v>
      </c>
      <c r="CG37" s="159">
        <v>0.94340000000000002</v>
      </c>
      <c r="CH37" s="159">
        <v>0.95069999999999999</v>
      </c>
      <c r="CI37" s="159">
        <v>0.9577</v>
      </c>
      <c r="CJ37" s="159">
        <v>0.96450000000000002</v>
      </c>
      <c r="CK37" s="159">
        <v>0.97109999999999996</v>
      </c>
      <c r="CL37" s="159">
        <v>0.97740000000000005</v>
      </c>
      <c r="CM37" s="159">
        <v>0.98340000000000005</v>
      </c>
      <c r="CN37" s="49">
        <v>0.98919999999999997</v>
      </c>
      <c r="CO37" s="73"/>
      <c r="CP37" s="41"/>
      <c r="DN37" s="80">
        <v>1941</v>
      </c>
      <c r="DO37" s="84">
        <v>41412</v>
      </c>
      <c r="DP37" s="81">
        <v>42372</v>
      </c>
      <c r="DQ37" s="81">
        <v>43272</v>
      </c>
      <c r="DR37" s="81">
        <v>44472</v>
      </c>
      <c r="DS37" s="81">
        <v>44688</v>
      </c>
      <c r="DT37" s="81">
        <v>45204</v>
      </c>
      <c r="DU37" s="81">
        <v>46056</v>
      </c>
      <c r="DV37" s="81">
        <v>46908</v>
      </c>
      <c r="DW37" s="81">
        <v>47988</v>
      </c>
      <c r="DX37" s="81">
        <v>48816</v>
      </c>
      <c r="DY37" s="81">
        <v>49656</v>
      </c>
      <c r="DZ37" s="81">
        <v>50424</v>
      </c>
      <c r="EA37" s="81">
        <v>50724</v>
      </c>
      <c r="EB37" s="86">
        <v>50832</v>
      </c>
      <c r="EE37" s="88">
        <v>1941</v>
      </c>
      <c r="EF37" s="125">
        <v>27432</v>
      </c>
      <c r="EG37" s="103">
        <v>29604</v>
      </c>
      <c r="EH37" s="98">
        <v>30924</v>
      </c>
      <c r="EI37" s="103">
        <v>32004</v>
      </c>
      <c r="EJ37" s="103">
        <v>33372</v>
      </c>
      <c r="EK37" s="103">
        <v>34356</v>
      </c>
      <c r="EL37" s="103">
        <v>34968</v>
      </c>
      <c r="EM37" s="111">
        <v>38688</v>
      </c>
      <c r="EN37" s="103">
        <v>40392</v>
      </c>
      <c r="EO37" s="108">
        <v>41412</v>
      </c>
      <c r="EP37" s="81">
        <v>42372</v>
      </c>
      <c r="EQ37" s="81">
        <v>43272</v>
      </c>
      <c r="ER37" s="81">
        <v>44472</v>
      </c>
      <c r="ES37" s="81">
        <v>44688</v>
      </c>
      <c r="ET37" s="81">
        <v>45204</v>
      </c>
      <c r="EU37" s="81">
        <v>46056</v>
      </c>
      <c r="EV37" s="81">
        <v>46908</v>
      </c>
      <c r="EW37" s="81">
        <v>47988</v>
      </c>
      <c r="EX37" s="81">
        <v>48816</v>
      </c>
      <c r="EY37" s="81">
        <v>49656</v>
      </c>
      <c r="EZ37" s="81">
        <v>50424</v>
      </c>
      <c r="FA37" s="81">
        <v>50724</v>
      </c>
      <c r="FB37" s="86">
        <v>50832</v>
      </c>
    </row>
    <row r="38" spans="1:158" ht="15.75" x14ac:dyDescent="0.25">
      <c r="A38" s="48">
        <v>32</v>
      </c>
      <c r="B38" s="49">
        <v>0.13500000000000001</v>
      </c>
      <c r="C38" s="73"/>
      <c r="D38" s="215">
        <f t="shared" si="0"/>
        <v>33</v>
      </c>
      <c r="E38" s="216">
        <f>[1]!PBGCLRF(65+D38/12)</f>
        <v>1.3075000000000001</v>
      </c>
      <c r="F38" s="73"/>
      <c r="G38" s="73"/>
      <c r="H38" s="73"/>
      <c r="I38" s="73"/>
      <c r="J38" s="48">
        <v>34</v>
      </c>
      <c r="K38" s="49">
        <v>0.83</v>
      </c>
      <c r="L38" s="73"/>
      <c r="M38" s="155">
        <v>34</v>
      </c>
      <c r="N38" s="49">
        <v>1.4119999999999999</v>
      </c>
      <c r="O38" s="73"/>
      <c r="P38" s="73"/>
      <c r="Q38" s="73"/>
      <c r="R38" s="155">
        <v>0.60250000000000004</v>
      </c>
      <c r="S38" s="159">
        <v>0.60360000000000003</v>
      </c>
      <c r="T38" s="159">
        <v>0.6048</v>
      </c>
      <c r="U38" s="159">
        <v>0.60599999999999998</v>
      </c>
      <c r="V38" s="159">
        <v>0.60740000000000005</v>
      </c>
      <c r="W38" s="159">
        <v>0.60870000000000002</v>
      </c>
      <c r="X38" s="159">
        <v>0.61019999999999996</v>
      </c>
      <c r="Y38" s="159">
        <v>0.61170000000000002</v>
      </c>
      <c r="Z38" s="159">
        <v>0.61319999999999997</v>
      </c>
      <c r="AA38" s="159">
        <v>0.6149</v>
      </c>
      <c r="AB38" s="159">
        <v>0.61660000000000004</v>
      </c>
      <c r="AC38" s="159">
        <v>0.61839999999999995</v>
      </c>
      <c r="AD38" s="159">
        <v>0.62029999999999996</v>
      </c>
      <c r="AE38" s="159">
        <v>0.62219999999999998</v>
      </c>
      <c r="AF38" s="159">
        <v>0.62429999999999997</v>
      </c>
      <c r="AG38" s="159">
        <v>0.62639999999999996</v>
      </c>
      <c r="AH38" s="159">
        <v>0.62829999999999997</v>
      </c>
      <c r="AI38" s="159">
        <v>0.63029999999999997</v>
      </c>
      <c r="AJ38" s="159">
        <v>0.63239999999999996</v>
      </c>
      <c r="AK38" s="159">
        <v>0.63470000000000004</v>
      </c>
      <c r="AL38" s="159">
        <v>0.6371</v>
      </c>
      <c r="AM38" s="159">
        <v>0.63959999999999995</v>
      </c>
      <c r="AN38" s="159">
        <v>0.64219999999999999</v>
      </c>
      <c r="AO38" s="159">
        <v>0.64510000000000001</v>
      </c>
      <c r="AP38" s="159">
        <v>0.64800000000000002</v>
      </c>
      <c r="AQ38" s="159">
        <v>0.6512</v>
      </c>
      <c r="AR38" s="159">
        <v>0.65449999999999997</v>
      </c>
      <c r="AS38" s="159">
        <v>0.65790000000000004</v>
      </c>
      <c r="AT38" s="159">
        <v>0.66159999999999997</v>
      </c>
      <c r="AU38" s="159">
        <v>0.66539999999999999</v>
      </c>
      <c r="AV38" s="159">
        <v>0.6694</v>
      </c>
      <c r="AW38" s="159">
        <v>0.67359999999999998</v>
      </c>
      <c r="AX38" s="159">
        <v>0.67800000000000005</v>
      </c>
      <c r="AY38" s="159">
        <v>0.68269999999999997</v>
      </c>
      <c r="AZ38" s="159">
        <v>0.6875</v>
      </c>
      <c r="BA38" s="159">
        <v>0.6925</v>
      </c>
      <c r="BB38" s="159">
        <v>0.69769999999999999</v>
      </c>
      <c r="BC38" s="159">
        <v>0.70309999999999995</v>
      </c>
      <c r="BD38" s="159">
        <v>0.70879999999999999</v>
      </c>
      <c r="BE38" s="159">
        <v>0.71460000000000001</v>
      </c>
      <c r="BF38" s="159">
        <v>0.72070000000000001</v>
      </c>
      <c r="BG38" s="159">
        <v>0.72699999999999998</v>
      </c>
      <c r="BH38" s="159">
        <v>0.73350000000000004</v>
      </c>
      <c r="BI38" s="159">
        <v>0.74019999999999997</v>
      </c>
      <c r="BJ38" s="159">
        <v>0.74709999999999999</v>
      </c>
      <c r="BK38" s="159">
        <v>0.75429999999999997</v>
      </c>
      <c r="BL38" s="159">
        <v>0.76160000000000005</v>
      </c>
      <c r="BM38" s="159">
        <v>0.76919999999999999</v>
      </c>
      <c r="BN38" s="159">
        <v>0.77690000000000003</v>
      </c>
      <c r="BO38" s="159">
        <v>0.78480000000000005</v>
      </c>
      <c r="BP38" s="159">
        <v>0.79290000000000005</v>
      </c>
      <c r="BQ38" s="159">
        <v>0.80110000000000003</v>
      </c>
      <c r="BR38" s="159">
        <v>0.8095</v>
      </c>
      <c r="BS38" s="159">
        <v>0.81799999999999995</v>
      </c>
      <c r="BT38" s="159">
        <v>0.8266</v>
      </c>
      <c r="BU38" s="159">
        <v>0.83530000000000004</v>
      </c>
      <c r="BV38" s="159">
        <v>0.84409999999999996</v>
      </c>
      <c r="BW38" s="159">
        <v>0.85299999999999998</v>
      </c>
      <c r="BX38" s="159">
        <v>0.86180000000000001</v>
      </c>
      <c r="BY38" s="159">
        <v>0.87070000000000003</v>
      </c>
      <c r="BZ38" s="159">
        <v>0.87960000000000005</v>
      </c>
      <c r="CA38" s="159">
        <v>0.88849999999999996</v>
      </c>
      <c r="CB38" s="159">
        <v>0.89729999999999999</v>
      </c>
      <c r="CC38" s="159">
        <v>0.90590000000000004</v>
      </c>
      <c r="CD38" s="159">
        <v>0.91449999999999998</v>
      </c>
      <c r="CE38" s="159">
        <v>0.92279999999999995</v>
      </c>
      <c r="CF38" s="159">
        <v>0.93100000000000005</v>
      </c>
      <c r="CG38" s="159">
        <v>0.93899999999999995</v>
      </c>
      <c r="CH38" s="159">
        <v>0.94679999999999997</v>
      </c>
      <c r="CI38" s="159">
        <v>0.95440000000000003</v>
      </c>
      <c r="CJ38" s="159">
        <v>0.9617</v>
      </c>
      <c r="CK38" s="159">
        <v>0.96889999999999998</v>
      </c>
      <c r="CL38" s="159">
        <v>0.97570000000000001</v>
      </c>
      <c r="CM38" s="159">
        <v>0.98229999999999995</v>
      </c>
      <c r="CN38" s="49">
        <v>0.98850000000000005</v>
      </c>
      <c r="CO38" s="73"/>
      <c r="CP38" s="38">
        <v>36616</v>
      </c>
      <c r="DB38" t="s">
        <v>197</v>
      </c>
      <c r="DC38" t="s">
        <v>405</v>
      </c>
      <c r="DE38" t="s">
        <v>177</v>
      </c>
      <c r="DF38" s="57">
        <f t="shared" ref="DF38:DG41" si="3">DF6+DF30</f>
        <v>0</v>
      </c>
      <c r="DG38" s="57"/>
      <c r="DH38" s="57"/>
      <c r="DI38" s="57"/>
      <c r="DJ38" s="57"/>
      <c r="DN38" s="80">
        <v>1942</v>
      </c>
      <c r="DO38" s="84">
        <v>42624</v>
      </c>
      <c r="DP38" s="81">
        <v>43644</v>
      </c>
      <c r="DQ38" s="81">
        <v>44604</v>
      </c>
      <c r="DR38" s="81">
        <v>45888</v>
      </c>
      <c r="DS38" s="81">
        <v>46128</v>
      </c>
      <c r="DT38" s="81">
        <v>46692</v>
      </c>
      <c r="DU38" s="81">
        <v>47616</v>
      </c>
      <c r="DV38" s="81">
        <v>48552</v>
      </c>
      <c r="DW38" s="81">
        <v>49752</v>
      </c>
      <c r="DX38" s="81">
        <v>50688</v>
      </c>
      <c r="DY38" s="81">
        <v>51648</v>
      </c>
      <c r="DZ38" s="81">
        <v>52548</v>
      </c>
      <c r="EA38" s="81">
        <v>52908</v>
      </c>
      <c r="EB38" s="86">
        <v>53028</v>
      </c>
      <c r="EE38" s="88">
        <v>1942</v>
      </c>
      <c r="EF38" s="125">
        <v>28140</v>
      </c>
      <c r="EG38" s="103">
        <v>30408</v>
      </c>
      <c r="EH38" s="98">
        <v>31788</v>
      </c>
      <c r="EI38" s="103">
        <v>32916</v>
      </c>
      <c r="EJ38" s="103">
        <v>34356</v>
      </c>
      <c r="EK38" s="103">
        <v>35388</v>
      </c>
      <c r="EL38" s="103">
        <v>36036</v>
      </c>
      <c r="EM38" s="111">
        <v>39756</v>
      </c>
      <c r="EN38" s="103">
        <v>41544</v>
      </c>
      <c r="EO38" s="108">
        <v>42624</v>
      </c>
      <c r="EP38" s="81">
        <v>43644</v>
      </c>
      <c r="EQ38" s="81">
        <v>44604</v>
      </c>
      <c r="ER38" s="81">
        <v>45888</v>
      </c>
      <c r="ES38" s="81">
        <v>46128</v>
      </c>
      <c r="ET38" s="81">
        <v>46692</v>
      </c>
      <c r="EU38" s="81">
        <v>47616</v>
      </c>
      <c r="EV38" s="81">
        <v>48552</v>
      </c>
      <c r="EW38" s="81">
        <v>49752</v>
      </c>
      <c r="EX38" s="81">
        <v>50688</v>
      </c>
      <c r="EY38" s="81">
        <v>51648</v>
      </c>
      <c r="EZ38" s="81">
        <v>52548</v>
      </c>
      <c r="FA38" s="81">
        <v>52908</v>
      </c>
      <c r="FB38" s="86">
        <v>53028</v>
      </c>
    </row>
    <row r="39" spans="1:158" ht="16.5" thickBot="1" x14ac:dyDescent="0.3">
      <c r="A39" s="50">
        <v>31</v>
      </c>
      <c r="B39" s="131">
        <v>0.13</v>
      </c>
      <c r="C39" s="73"/>
      <c r="D39" s="215">
        <f t="shared" si="0"/>
        <v>34</v>
      </c>
      <c r="E39" s="216">
        <f>[1]!PBGCLRF(65+D39/12)</f>
        <v>1.3183</v>
      </c>
      <c r="F39" s="73"/>
      <c r="G39" s="73"/>
      <c r="H39" s="73"/>
      <c r="I39" s="73"/>
      <c r="J39" s="48">
        <v>35</v>
      </c>
      <c r="K39" s="49">
        <v>0.82499999999999996</v>
      </c>
      <c r="L39" s="73"/>
      <c r="M39" s="155">
        <v>35</v>
      </c>
      <c r="N39" s="49">
        <v>1.4267000000000001</v>
      </c>
      <c r="O39" s="73"/>
      <c r="P39" s="73"/>
      <c r="Q39" s="73"/>
      <c r="R39" s="155">
        <v>0.59089999999999998</v>
      </c>
      <c r="S39" s="159">
        <v>0.59209999999999996</v>
      </c>
      <c r="T39" s="159">
        <v>0.59330000000000005</v>
      </c>
      <c r="U39" s="159">
        <v>0.59450000000000003</v>
      </c>
      <c r="V39" s="159">
        <v>0.5958</v>
      </c>
      <c r="W39" s="159">
        <v>0.59709999999999996</v>
      </c>
      <c r="X39" s="159">
        <v>0.59860000000000002</v>
      </c>
      <c r="Y39" s="159">
        <v>0.6</v>
      </c>
      <c r="Z39" s="159">
        <v>0.60160000000000002</v>
      </c>
      <c r="AA39" s="159">
        <v>0.60319999999999996</v>
      </c>
      <c r="AB39" s="159">
        <v>0.60489999999999999</v>
      </c>
      <c r="AC39" s="159">
        <v>0.60670000000000002</v>
      </c>
      <c r="AD39" s="159">
        <v>0.60850000000000004</v>
      </c>
      <c r="AE39" s="159">
        <v>0.61050000000000004</v>
      </c>
      <c r="AF39" s="159">
        <v>0.61250000000000004</v>
      </c>
      <c r="AG39" s="159">
        <v>0.61460000000000004</v>
      </c>
      <c r="AH39" s="159">
        <v>0.61650000000000005</v>
      </c>
      <c r="AI39" s="159">
        <v>0.61850000000000005</v>
      </c>
      <c r="AJ39" s="159">
        <v>0.62050000000000005</v>
      </c>
      <c r="AK39" s="159">
        <v>0.62280000000000002</v>
      </c>
      <c r="AL39" s="159">
        <v>0.62509999999999999</v>
      </c>
      <c r="AM39" s="159">
        <v>0.62760000000000005</v>
      </c>
      <c r="AN39" s="159">
        <v>0.63019999999999998</v>
      </c>
      <c r="AO39" s="159">
        <v>0.63300000000000001</v>
      </c>
      <c r="AP39" s="159">
        <v>0.63590000000000002</v>
      </c>
      <c r="AQ39" s="159">
        <v>0.63900000000000001</v>
      </c>
      <c r="AR39" s="159">
        <v>0.64229999999999998</v>
      </c>
      <c r="AS39" s="159">
        <v>0.64570000000000005</v>
      </c>
      <c r="AT39" s="159">
        <v>0.64939999999999998</v>
      </c>
      <c r="AU39" s="159">
        <v>0.6532</v>
      </c>
      <c r="AV39" s="159">
        <v>0.65720000000000001</v>
      </c>
      <c r="AW39" s="159">
        <v>0.6613</v>
      </c>
      <c r="AX39" s="159">
        <v>0.66569999999999996</v>
      </c>
      <c r="AY39" s="159">
        <v>0.67030000000000001</v>
      </c>
      <c r="AZ39" s="159">
        <v>0.67510000000000003</v>
      </c>
      <c r="BA39" s="159">
        <v>0.68010000000000004</v>
      </c>
      <c r="BB39" s="159">
        <v>0.68530000000000002</v>
      </c>
      <c r="BC39" s="159">
        <v>0.69069999999999998</v>
      </c>
      <c r="BD39" s="159">
        <v>0.69640000000000002</v>
      </c>
      <c r="BE39" s="159">
        <v>0.70230000000000004</v>
      </c>
      <c r="BF39" s="159">
        <v>0.70840000000000003</v>
      </c>
      <c r="BG39" s="159">
        <v>0.7147</v>
      </c>
      <c r="BH39" s="159">
        <v>0.72119999999999995</v>
      </c>
      <c r="BI39" s="159">
        <v>0.72799999999999998</v>
      </c>
      <c r="BJ39" s="159">
        <v>0.73499999999999999</v>
      </c>
      <c r="BK39" s="159">
        <v>0.74229999999999996</v>
      </c>
      <c r="BL39" s="159">
        <v>0.74970000000000003</v>
      </c>
      <c r="BM39" s="159">
        <v>0.75739999999999996</v>
      </c>
      <c r="BN39" s="159">
        <v>0.76519999999999999</v>
      </c>
      <c r="BO39" s="159">
        <v>0.77329999999999999</v>
      </c>
      <c r="BP39" s="159">
        <v>0.78159999999999996</v>
      </c>
      <c r="BQ39" s="159">
        <v>0.79</v>
      </c>
      <c r="BR39" s="159">
        <v>0.79859999999999998</v>
      </c>
      <c r="BS39" s="159">
        <v>0.80730000000000002</v>
      </c>
      <c r="BT39" s="159">
        <v>0.81620000000000004</v>
      </c>
      <c r="BU39" s="159">
        <v>0.82520000000000004</v>
      </c>
      <c r="BV39" s="159">
        <v>0.83430000000000004</v>
      </c>
      <c r="BW39" s="159">
        <v>0.84360000000000002</v>
      </c>
      <c r="BX39" s="159">
        <v>0.8528</v>
      </c>
      <c r="BY39" s="159">
        <v>0.86209999999999998</v>
      </c>
      <c r="BZ39" s="159">
        <v>0.87139999999999995</v>
      </c>
      <c r="CA39" s="159">
        <v>0.88070000000000004</v>
      </c>
      <c r="CB39" s="159">
        <v>0.89</v>
      </c>
      <c r="CC39" s="159">
        <v>0.8992</v>
      </c>
      <c r="CD39" s="159">
        <v>0.90820000000000001</v>
      </c>
      <c r="CE39" s="159">
        <v>0.91710000000000003</v>
      </c>
      <c r="CF39" s="159">
        <v>0.92579999999999996</v>
      </c>
      <c r="CG39" s="159">
        <v>0.93440000000000001</v>
      </c>
      <c r="CH39" s="159">
        <v>0.94269999999999998</v>
      </c>
      <c r="CI39" s="159">
        <v>0.95089999999999997</v>
      </c>
      <c r="CJ39" s="159">
        <v>0.95879999999999999</v>
      </c>
      <c r="CK39" s="159">
        <v>0.96650000000000003</v>
      </c>
      <c r="CL39" s="159">
        <v>0.97389999999999999</v>
      </c>
      <c r="CM39" s="159">
        <v>0.98099999999999998</v>
      </c>
      <c r="CN39" s="49">
        <v>0.9879</v>
      </c>
      <c r="CO39" s="73"/>
      <c r="CP39" s="335"/>
      <c r="CQ39" s="333"/>
      <c r="CV39" s="51"/>
      <c r="DC39" t="s">
        <v>457</v>
      </c>
      <c r="DF39" s="57"/>
      <c r="DG39" s="57"/>
      <c r="DH39" s="57"/>
      <c r="DI39" s="57"/>
      <c r="DJ39" s="57"/>
      <c r="DN39" s="80">
        <v>1943</v>
      </c>
      <c r="DO39" s="84">
        <v>43776</v>
      </c>
      <c r="DP39" s="81">
        <v>44856</v>
      </c>
      <c r="DQ39" s="81">
        <v>45876</v>
      </c>
      <c r="DR39" s="81">
        <v>47244</v>
      </c>
      <c r="DS39" s="81">
        <v>47508</v>
      </c>
      <c r="DT39" s="81">
        <v>48108</v>
      </c>
      <c r="DU39" s="81">
        <v>49104</v>
      </c>
      <c r="DV39" s="81">
        <v>50136</v>
      </c>
      <c r="DW39" s="81">
        <v>51456</v>
      </c>
      <c r="DX39" s="81">
        <v>52488</v>
      </c>
      <c r="DY39" s="81">
        <v>53568</v>
      </c>
      <c r="DZ39" s="81">
        <v>54588</v>
      </c>
      <c r="EA39" s="81">
        <v>55008</v>
      </c>
      <c r="EB39" s="86">
        <v>55164</v>
      </c>
      <c r="EE39" s="88">
        <v>1943</v>
      </c>
      <c r="EF39" s="125">
        <v>28812</v>
      </c>
      <c r="EG39" s="103">
        <v>31164</v>
      </c>
      <c r="EH39" s="98">
        <v>35400</v>
      </c>
      <c r="EI39" s="103">
        <v>33792</v>
      </c>
      <c r="EJ39" s="103">
        <v>35292</v>
      </c>
      <c r="EK39" s="103">
        <v>36372</v>
      </c>
      <c r="EL39" s="103">
        <v>37068</v>
      </c>
      <c r="EM39" s="111">
        <v>40752</v>
      </c>
      <c r="EN39" s="103">
        <v>42636</v>
      </c>
      <c r="EO39" s="108">
        <v>43776</v>
      </c>
      <c r="EP39" s="81">
        <v>44856</v>
      </c>
      <c r="EQ39" s="81">
        <v>45876</v>
      </c>
      <c r="ER39" s="81">
        <v>47244</v>
      </c>
      <c r="ES39" s="81">
        <v>47508</v>
      </c>
      <c r="ET39" s="81">
        <v>48108</v>
      </c>
      <c r="EU39" s="81">
        <v>49104</v>
      </c>
      <c r="EV39" s="81">
        <v>50136</v>
      </c>
      <c r="EW39" s="81">
        <v>51456</v>
      </c>
      <c r="EX39" s="81">
        <v>52488</v>
      </c>
      <c r="EY39" s="81">
        <v>53568</v>
      </c>
      <c r="EZ39" s="81">
        <v>54588</v>
      </c>
      <c r="FA39" s="81">
        <v>55008</v>
      </c>
      <c r="FB39" s="86">
        <v>55164</v>
      </c>
    </row>
    <row r="40" spans="1:158" ht="15.75" x14ac:dyDescent="0.25">
      <c r="B40" s="73"/>
      <c r="C40" s="73"/>
      <c r="D40" s="215">
        <f t="shared" si="0"/>
        <v>35</v>
      </c>
      <c r="E40" s="216">
        <f>[1]!PBGCLRF(65+D40/12)</f>
        <v>1.3291999999999999</v>
      </c>
      <c r="F40" s="73"/>
      <c r="G40" s="73"/>
      <c r="H40" s="73"/>
      <c r="I40" s="73"/>
      <c r="J40" s="48">
        <v>36</v>
      </c>
      <c r="K40" s="49">
        <v>0.82</v>
      </c>
      <c r="L40" s="73"/>
      <c r="M40" s="155">
        <v>36</v>
      </c>
      <c r="N40" s="49">
        <v>1.4417</v>
      </c>
      <c r="O40" s="73"/>
      <c r="P40" s="73"/>
      <c r="Q40" s="73"/>
      <c r="R40" s="155">
        <v>0.57950000000000002</v>
      </c>
      <c r="S40" s="159">
        <v>0.58069999999999999</v>
      </c>
      <c r="T40" s="159">
        <v>0.58179999999999998</v>
      </c>
      <c r="U40" s="159">
        <v>0.58299999999999996</v>
      </c>
      <c r="V40" s="159">
        <v>0.58430000000000004</v>
      </c>
      <c r="W40" s="159">
        <v>0.58560000000000001</v>
      </c>
      <c r="X40" s="159">
        <v>0.58699999999999997</v>
      </c>
      <c r="Y40" s="159">
        <v>0.58850000000000002</v>
      </c>
      <c r="Z40" s="159">
        <v>0.59</v>
      </c>
      <c r="AA40" s="159">
        <v>0.59160000000000001</v>
      </c>
      <c r="AB40" s="159">
        <v>0.59330000000000005</v>
      </c>
      <c r="AC40" s="159">
        <v>0.59509999999999996</v>
      </c>
      <c r="AD40" s="159">
        <v>0.59689999999999999</v>
      </c>
      <c r="AE40" s="159">
        <v>0.5988</v>
      </c>
      <c r="AF40" s="159">
        <v>0.6008</v>
      </c>
      <c r="AG40" s="159">
        <v>0.60289999999999999</v>
      </c>
      <c r="AH40" s="159">
        <v>0.6048</v>
      </c>
      <c r="AI40" s="159">
        <v>0.60670000000000002</v>
      </c>
      <c r="AJ40" s="159">
        <v>0.60870000000000002</v>
      </c>
      <c r="AK40" s="159">
        <v>0.6109</v>
      </c>
      <c r="AL40" s="159">
        <v>0.61319999999999997</v>
      </c>
      <c r="AM40" s="159">
        <v>0.61570000000000003</v>
      </c>
      <c r="AN40" s="159">
        <v>0.61829999999999996</v>
      </c>
      <c r="AO40" s="159">
        <v>0.621</v>
      </c>
      <c r="AP40" s="159">
        <v>0.62390000000000001</v>
      </c>
      <c r="AQ40" s="159">
        <v>0.627</v>
      </c>
      <c r="AR40" s="159">
        <v>0.63019999999999998</v>
      </c>
      <c r="AS40" s="159">
        <v>0.63360000000000005</v>
      </c>
      <c r="AT40" s="159">
        <v>0.63719999999999999</v>
      </c>
      <c r="AU40" s="159">
        <v>0.64100000000000001</v>
      </c>
      <c r="AV40" s="159">
        <v>0.64490000000000003</v>
      </c>
      <c r="AW40" s="159">
        <v>0.64910000000000001</v>
      </c>
      <c r="AX40" s="159">
        <v>0.65339999999999998</v>
      </c>
      <c r="AY40" s="159">
        <v>0.65800000000000003</v>
      </c>
      <c r="AZ40" s="159">
        <v>0.66279999999999994</v>
      </c>
      <c r="BA40" s="159">
        <v>0.66779999999999995</v>
      </c>
      <c r="BB40" s="159">
        <v>0.67300000000000004</v>
      </c>
      <c r="BC40" s="159">
        <v>0.6784</v>
      </c>
      <c r="BD40" s="159">
        <v>0.68400000000000005</v>
      </c>
      <c r="BE40" s="159">
        <v>0.68989999999999996</v>
      </c>
      <c r="BF40" s="159">
        <v>0.69599999999999995</v>
      </c>
      <c r="BG40" s="159">
        <v>0.70240000000000002</v>
      </c>
      <c r="BH40" s="159">
        <v>0.70899999999999996</v>
      </c>
      <c r="BI40" s="159">
        <v>0.71579999999999999</v>
      </c>
      <c r="BJ40" s="159">
        <v>0.72289999999999999</v>
      </c>
      <c r="BK40" s="159">
        <v>0.73019999999999996</v>
      </c>
      <c r="BL40" s="159">
        <v>0.73770000000000002</v>
      </c>
      <c r="BM40" s="159">
        <v>0.74550000000000005</v>
      </c>
      <c r="BN40" s="159">
        <v>0.75349999999999995</v>
      </c>
      <c r="BO40" s="159">
        <v>0.76170000000000004</v>
      </c>
      <c r="BP40" s="159">
        <v>0.77010000000000001</v>
      </c>
      <c r="BQ40" s="159">
        <v>0.77869999999999995</v>
      </c>
      <c r="BR40" s="159">
        <v>0.78749999999999998</v>
      </c>
      <c r="BS40" s="159">
        <v>0.79649999999999999</v>
      </c>
      <c r="BT40" s="159">
        <v>0.80559999999999998</v>
      </c>
      <c r="BU40" s="159">
        <v>0.81489999999999996</v>
      </c>
      <c r="BV40" s="159">
        <v>0.82440000000000002</v>
      </c>
      <c r="BW40" s="159">
        <v>0.83389999999999997</v>
      </c>
      <c r="BX40" s="159">
        <v>0.84360000000000002</v>
      </c>
      <c r="BY40" s="159">
        <v>0.85329999999999995</v>
      </c>
      <c r="BZ40" s="159">
        <v>0.86299999999999999</v>
      </c>
      <c r="CA40" s="159">
        <v>0.87270000000000003</v>
      </c>
      <c r="CB40" s="159">
        <v>0.88249999999999995</v>
      </c>
      <c r="CC40" s="159">
        <v>0.8921</v>
      </c>
      <c r="CD40" s="159">
        <v>0.90169999999999995</v>
      </c>
      <c r="CE40" s="159">
        <v>0.91110000000000002</v>
      </c>
      <c r="CF40" s="159">
        <v>0.9204</v>
      </c>
      <c r="CG40" s="159">
        <v>0.92949999999999999</v>
      </c>
      <c r="CH40" s="159">
        <v>0.9385</v>
      </c>
      <c r="CI40" s="159">
        <v>0.94720000000000004</v>
      </c>
      <c r="CJ40" s="159">
        <v>0.95569999999999999</v>
      </c>
      <c r="CK40" s="159">
        <v>0.96399999999999997</v>
      </c>
      <c r="CL40" s="159">
        <v>0.97209999999999996</v>
      </c>
      <c r="CM40" s="159">
        <v>0.9798</v>
      </c>
      <c r="CN40" s="49">
        <v>0.98719999999999997</v>
      </c>
      <c r="CO40" s="73"/>
      <c r="CP40" s="38">
        <v>31138</v>
      </c>
      <c r="DC40" t="s">
        <v>458</v>
      </c>
      <c r="DD40">
        <f>DCOUNT(Active_Vesteds,"PVPBL_ANN_RATES",All_Criteria)</f>
        <v>0</v>
      </c>
      <c r="DE40" s="55">
        <f>DSUM(Active_Vesteds,"LS_TERM",All_Criteria)</f>
        <v>0</v>
      </c>
      <c r="DF40" s="57">
        <f t="shared" si="3"/>
        <v>0</v>
      </c>
      <c r="DG40" s="57">
        <f t="shared" si="3"/>
        <v>0</v>
      </c>
      <c r="DH40" s="57">
        <f t="shared" ref="DH40:DH41" si="4">DF40 + DG40</f>
        <v>0</v>
      </c>
      <c r="DN40" s="80">
        <v>1944</v>
      </c>
      <c r="DO40" s="84">
        <v>44892</v>
      </c>
      <c r="DP40" s="81">
        <v>46032</v>
      </c>
      <c r="DQ40" s="81">
        <v>47112</v>
      </c>
      <c r="DR40" s="81">
        <v>48576</v>
      </c>
      <c r="DS40" s="81">
        <v>48852</v>
      </c>
      <c r="DT40" s="81">
        <v>49488</v>
      </c>
      <c r="DU40" s="81">
        <v>50568</v>
      </c>
      <c r="DV40" s="81">
        <v>51684</v>
      </c>
      <c r="DW40" s="81">
        <v>53124</v>
      </c>
      <c r="DX40" s="81">
        <v>54252</v>
      </c>
      <c r="DY40" s="81">
        <v>55452</v>
      </c>
      <c r="DZ40" s="81">
        <v>56616</v>
      </c>
      <c r="EA40" s="81">
        <v>57096</v>
      </c>
      <c r="EB40" s="86">
        <v>57276</v>
      </c>
      <c r="EE40" s="88">
        <v>1944</v>
      </c>
      <c r="EF40" s="125">
        <v>29424</v>
      </c>
      <c r="EG40" s="103">
        <v>31872</v>
      </c>
      <c r="EH40" s="98">
        <v>33372</v>
      </c>
      <c r="EI40" s="103">
        <v>34608</v>
      </c>
      <c r="EJ40" s="103">
        <v>36192</v>
      </c>
      <c r="EK40" s="103">
        <v>37320</v>
      </c>
      <c r="EL40" s="103">
        <v>38040</v>
      </c>
      <c r="EM40" s="111">
        <v>41712</v>
      </c>
      <c r="EN40" s="103">
        <v>43692</v>
      </c>
      <c r="EO40" s="108">
        <v>44892</v>
      </c>
      <c r="EP40" s="81">
        <v>46032</v>
      </c>
      <c r="EQ40" s="81">
        <v>47112</v>
      </c>
      <c r="ER40" s="81">
        <v>48576</v>
      </c>
      <c r="ES40" s="81">
        <v>48852</v>
      </c>
      <c r="ET40" s="81">
        <v>49488</v>
      </c>
      <c r="EU40" s="81">
        <v>50568</v>
      </c>
      <c r="EV40" s="81">
        <v>51684</v>
      </c>
      <c r="EW40" s="81">
        <v>53124</v>
      </c>
      <c r="EX40" s="81">
        <v>54252</v>
      </c>
      <c r="EY40" s="81">
        <v>55452</v>
      </c>
      <c r="EZ40" s="81">
        <v>56616</v>
      </c>
      <c r="FA40" s="81">
        <v>57096</v>
      </c>
      <c r="FB40" s="86">
        <v>57276</v>
      </c>
    </row>
    <row r="41" spans="1:158" ht="15.75" x14ac:dyDescent="0.25">
      <c r="B41" s="73"/>
      <c r="C41" s="73"/>
      <c r="D41" s="215">
        <f t="shared" si="0"/>
        <v>36</v>
      </c>
      <c r="E41" s="216">
        <f>[1]!PBGCLRF(65+D41/12)</f>
        <v>1.34</v>
      </c>
      <c r="F41" s="73"/>
      <c r="G41" s="73"/>
      <c r="H41" s="73"/>
      <c r="I41" s="73"/>
      <c r="J41" s="48">
        <v>37</v>
      </c>
      <c r="K41" s="49">
        <v>0.81499999999999995</v>
      </c>
      <c r="L41" s="73"/>
      <c r="M41" s="155">
        <v>37</v>
      </c>
      <c r="N41" s="49">
        <v>1.4569000000000001</v>
      </c>
      <c r="O41" s="73"/>
      <c r="P41" s="73"/>
      <c r="Q41" s="73"/>
      <c r="R41" s="155">
        <v>0.56830000000000003</v>
      </c>
      <c r="S41" s="159">
        <v>0.56940000000000002</v>
      </c>
      <c r="T41" s="159">
        <v>0.57050000000000001</v>
      </c>
      <c r="U41" s="159">
        <v>0.57169999999999999</v>
      </c>
      <c r="V41" s="159">
        <v>0.57299999999999995</v>
      </c>
      <c r="W41" s="159">
        <v>0.57430000000000003</v>
      </c>
      <c r="X41" s="159">
        <v>0.57569999999999999</v>
      </c>
      <c r="Y41" s="159">
        <v>0.57709999999999995</v>
      </c>
      <c r="Z41" s="159">
        <v>0.5786</v>
      </c>
      <c r="AA41" s="159">
        <v>0.58020000000000005</v>
      </c>
      <c r="AB41" s="159">
        <v>0.58189999999999997</v>
      </c>
      <c r="AC41" s="159">
        <v>0.58360000000000001</v>
      </c>
      <c r="AD41" s="159">
        <v>0.58540000000000003</v>
      </c>
      <c r="AE41" s="159">
        <v>0.58730000000000004</v>
      </c>
      <c r="AF41" s="159">
        <v>0.58930000000000005</v>
      </c>
      <c r="AG41" s="159">
        <v>0.59140000000000004</v>
      </c>
      <c r="AH41" s="159">
        <v>0.59309999999999996</v>
      </c>
      <c r="AI41" s="159">
        <v>0.59499999999999997</v>
      </c>
      <c r="AJ41" s="159">
        <v>0.59709999999999996</v>
      </c>
      <c r="AK41" s="159">
        <v>0.59919999999999995</v>
      </c>
      <c r="AL41" s="159">
        <v>0.60150000000000003</v>
      </c>
      <c r="AM41" s="159">
        <v>0.60389999999999999</v>
      </c>
      <c r="AN41" s="159">
        <v>0.60640000000000005</v>
      </c>
      <c r="AO41" s="159">
        <v>0.60909999999999997</v>
      </c>
      <c r="AP41" s="159">
        <v>0.61199999999999999</v>
      </c>
      <c r="AQ41" s="159">
        <v>0.61499999999999999</v>
      </c>
      <c r="AR41" s="159">
        <v>0.61819999999999997</v>
      </c>
      <c r="AS41" s="159">
        <v>0.62160000000000004</v>
      </c>
      <c r="AT41" s="159">
        <v>0.62509999999999999</v>
      </c>
      <c r="AU41" s="159">
        <v>0.62890000000000001</v>
      </c>
      <c r="AV41" s="159">
        <v>0.63280000000000003</v>
      </c>
      <c r="AW41" s="159">
        <v>0.63690000000000002</v>
      </c>
      <c r="AX41" s="159">
        <v>0.64119999999999999</v>
      </c>
      <c r="AY41" s="159">
        <v>0.64580000000000004</v>
      </c>
      <c r="AZ41" s="159">
        <v>0.65049999999999997</v>
      </c>
      <c r="BA41" s="159">
        <v>0.65549999999999997</v>
      </c>
      <c r="BB41" s="159">
        <v>0.66069999999999995</v>
      </c>
      <c r="BC41" s="159">
        <v>0.66610000000000003</v>
      </c>
      <c r="BD41" s="159">
        <v>0.67169999999999996</v>
      </c>
      <c r="BE41" s="159">
        <v>0.67759999999999998</v>
      </c>
      <c r="BF41" s="159">
        <v>0.68369999999999997</v>
      </c>
      <c r="BG41" s="159">
        <v>0.69010000000000005</v>
      </c>
      <c r="BH41" s="159">
        <v>0.69669999999999999</v>
      </c>
      <c r="BI41" s="159">
        <v>0.7036</v>
      </c>
      <c r="BJ41" s="159">
        <v>0.7107</v>
      </c>
      <c r="BK41" s="159">
        <v>0.71809999999999996</v>
      </c>
      <c r="BL41" s="159">
        <v>0.72570000000000001</v>
      </c>
      <c r="BM41" s="159">
        <v>0.73350000000000004</v>
      </c>
      <c r="BN41" s="159">
        <v>0.74160000000000004</v>
      </c>
      <c r="BO41" s="159">
        <v>0.75</v>
      </c>
      <c r="BP41" s="159">
        <v>0.75849999999999995</v>
      </c>
      <c r="BQ41" s="159">
        <v>0.76729999999999998</v>
      </c>
      <c r="BR41" s="159">
        <v>0.77629999999999999</v>
      </c>
      <c r="BS41" s="159">
        <v>0.78549999999999998</v>
      </c>
      <c r="BT41" s="159">
        <v>0.79490000000000005</v>
      </c>
      <c r="BU41" s="159">
        <v>0.80449999999999999</v>
      </c>
      <c r="BV41" s="159">
        <v>0.81420000000000003</v>
      </c>
      <c r="BW41" s="159">
        <v>0.82410000000000005</v>
      </c>
      <c r="BX41" s="159">
        <v>0.83409999999999995</v>
      </c>
      <c r="BY41" s="159">
        <v>0.84419999999999995</v>
      </c>
      <c r="BZ41" s="159">
        <v>0.85429999999999995</v>
      </c>
      <c r="CA41" s="159">
        <v>0.86450000000000005</v>
      </c>
      <c r="CB41" s="159">
        <v>0.87470000000000003</v>
      </c>
      <c r="CC41" s="159">
        <v>0.88490000000000002</v>
      </c>
      <c r="CD41" s="159">
        <v>0.89500000000000002</v>
      </c>
      <c r="CE41" s="159">
        <v>0.90500000000000003</v>
      </c>
      <c r="CF41" s="159">
        <v>0.91479999999999995</v>
      </c>
      <c r="CG41" s="159">
        <v>0.92449999999999999</v>
      </c>
      <c r="CH41" s="159">
        <v>0.93400000000000005</v>
      </c>
      <c r="CI41" s="159">
        <v>0.94340000000000002</v>
      </c>
      <c r="CJ41" s="159">
        <v>0.95250000000000001</v>
      </c>
      <c r="CK41" s="159">
        <v>0.96150000000000002</v>
      </c>
      <c r="CL41" s="159">
        <v>0.97009999999999996</v>
      </c>
      <c r="CM41" s="159">
        <v>0.97850000000000004</v>
      </c>
      <c r="CN41" s="49">
        <v>0.98650000000000004</v>
      </c>
      <c r="CO41" s="73"/>
      <c r="CP41" s="41"/>
      <c r="DC41" t="s">
        <v>429</v>
      </c>
      <c r="DD41">
        <f>DCOUNT(Separated_Vesteds,"PVPBL_ANN_RATES",All_Criteria)</f>
        <v>0</v>
      </c>
      <c r="DE41" s="55">
        <f>DSUM(Separated_Vesteds,"LS_TERM",All_Criteria)</f>
        <v>0</v>
      </c>
      <c r="DF41" s="57">
        <f t="shared" si="3"/>
        <v>0</v>
      </c>
      <c r="DG41" s="57">
        <f t="shared" si="3"/>
        <v>0</v>
      </c>
      <c r="DH41" s="57">
        <f t="shared" si="4"/>
        <v>0</v>
      </c>
      <c r="DN41" s="80">
        <v>1945</v>
      </c>
      <c r="DO41" s="84">
        <v>45984</v>
      </c>
      <c r="DP41" s="81">
        <v>47184</v>
      </c>
      <c r="DQ41" s="81">
        <v>48324</v>
      </c>
      <c r="DR41" s="81">
        <v>49872</v>
      </c>
      <c r="DS41" s="81">
        <v>50160</v>
      </c>
      <c r="DT41" s="81">
        <v>50844</v>
      </c>
      <c r="DU41" s="81">
        <v>52008</v>
      </c>
      <c r="DV41" s="81">
        <v>53208</v>
      </c>
      <c r="DW41" s="81">
        <v>54768</v>
      </c>
      <c r="DX41" s="81">
        <v>55992</v>
      </c>
      <c r="DY41" s="81">
        <v>57312</v>
      </c>
      <c r="DZ41" s="81">
        <v>58608</v>
      </c>
      <c r="EA41" s="81">
        <v>59418</v>
      </c>
      <c r="EB41" s="86">
        <v>59352</v>
      </c>
      <c r="EE41" s="88">
        <v>1945</v>
      </c>
      <c r="EF41" s="125">
        <v>29976</v>
      </c>
      <c r="EG41" s="103">
        <v>32520</v>
      </c>
      <c r="EH41" s="98">
        <v>34060</v>
      </c>
      <c r="EI41" s="103">
        <v>35364</v>
      </c>
      <c r="EJ41" s="103">
        <v>37008</v>
      </c>
      <c r="EK41" s="103">
        <v>38196</v>
      </c>
      <c r="EL41" s="103">
        <v>38952</v>
      </c>
      <c r="EM41" s="111">
        <v>42648</v>
      </c>
      <c r="EN41" s="103">
        <v>44724</v>
      </c>
      <c r="EO41" s="108">
        <v>45984</v>
      </c>
      <c r="EP41" s="81">
        <v>47184</v>
      </c>
      <c r="EQ41" s="81">
        <v>48324</v>
      </c>
      <c r="ER41" s="81">
        <v>49872</v>
      </c>
      <c r="ES41" s="81">
        <v>50160</v>
      </c>
      <c r="ET41" s="81">
        <v>50844</v>
      </c>
      <c r="EU41" s="81">
        <v>52008</v>
      </c>
      <c r="EV41" s="81">
        <v>53208</v>
      </c>
      <c r="EW41" s="81">
        <v>54768</v>
      </c>
      <c r="EX41" s="81">
        <v>55992</v>
      </c>
      <c r="EY41" s="81">
        <v>57312</v>
      </c>
      <c r="EZ41" s="81">
        <v>58608</v>
      </c>
      <c r="FA41" s="81">
        <v>59418</v>
      </c>
      <c r="FB41" s="86">
        <v>59352</v>
      </c>
    </row>
    <row r="42" spans="1:158" ht="15.75" x14ac:dyDescent="0.25">
      <c r="B42" s="73"/>
      <c r="C42" s="73"/>
      <c r="D42" s="215">
        <f t="shared" si="0"/>
        <v>37</v>
      </c>
      <c r="E42" s="216">
        <f>[1]!PBGCLRF(65+D42/12)</f>
        <v>1.3525</v>
      </c>
      <c r="F42" s="73"/>
      <c r="G42" s="73"/>
      <c r="H42" s="73"/>
      <c r="I42" s="73"/>
      <c r="J42" s="48">
        <v>38</v>
      </c>
      <c r="K42" s="49">
        <v>0.81</v>
      </c>
      <c r="L42" s="73"/>
      <c r="M42" s="155">
        <v>38</v>
      </c>
      <c r="N42" s="49">
        <v>1.4722999999999999</v>
      </c>
      <c r="O42" s="73"/>
      <c r="P42" s="73"/>
      <c r="Q42" s="73"/>
      <c r="R42" s="155">
        <v>0.55710000000000004</v>
      </c>
      <c r="S42" s="159">
        <v>0.55820000000000003</v>
      </c>
      <c r="T42" s="159">
        <v>0.55940000000000001</v>
      </c>
      <c r="U42" s="159">
        <v>0.5605</v>
      </c>
      <c r="V42" s="159">
        <v>0.56179999999999997</v>
      </c>
      <c r="W42" s="159">
        <v>0.56310000000000004</v>
      </c>
      <c r="X42" s="159">
        <v>0.56440000000000001</v>
      </c>
      <c r="Y42" s="159">
        <v>0.56589999999999996</v>
      </c>
      <c r="Z42" s="159">
        <v>0.56740000000000002</v>
      </c>
      <c r="AA42" s="159">
        <v>0.56889999999999996</v>
      </c>
      <c r="AB42" s="159">
        <v>0.57050000000000001</v>
      </c>
      <c r="AC42" s="159">
        <v>0.57230000000000003</v>
      </c>
      <c r="AD42" s="159">
        <v>0.57399999999999995</v>
      </c>
      <c r="AE42" s="159">
        <v>0.57589999999999997</v>
      </c>
      <c r="AF42" s="159">
        <v>0.57789999999999997</v>
      </c>
      <c r="AG42" s="159">
        <v>0.57989999999999997</v>
      </c>
      <c r="AH42" s="159">
        <v>0.58169999999999999</v>
      </c>
      <c r="AI42" s="159">
        <v>0.58350000000000002</v>
      </c>
      <c r="AJ42" s="159">
        <v>0.58550000000000002</v>
      </c>
      <c r="AK42" s="159">
        <v>0.58760000000000001</v>
      </c>
      <c r="AL42" s="159">
        <v>0.58989999999999998</v>
      </c>
      <c r="AM42" s="159">
        <v>0.59219999999999995</v>
      </c>
      <c r="AN42" s="159">
        <v>0.59470000000000001</v>
      </c>
      <c r="AO42" s="159">
        <v>0.59740000000000004</v>
      </c>
      <c r="AP42" s="159">
        <v>0.60019999999999996</v>
      </c>
      <c r="AQ42" s="159">
        <v>0.60319999999999996</v>
      </c>
      <c r="AR42" s="159">
        <v>0.60640000000000005</v>
      </c>
      <c r="AS42" s="159">
        <v>0.60970000000000002</v>
      </c>
      <c r="AT42" s="159">
        <v>0.61319999999999997</v>
      </c>
      <c r="AU42" s="159">
        <v>0.6169</v>
      </c>
      <c r="AV42" s="159">
        <v>0.62080000000000002</v>
      </c>
      <c r="AW42" s="159">
        <v>0.62490000000000001</v>
      </c>
      <c r="AX42" s="159">
        <v>0.62919999999999998</v>
      </c>
      <c r="AY42" s="159">
        <v>0.63370000000000004</v>
      </c>
      <c r="AZ42" s="159">
        <v>0.63839999999999997</v>
      </c>
      <c r="BA42" s="159">
        <v>0.64339999999999997</v>
      </c>
      <c r="BB42" s="159">
        <v>0.64849999999999997</v>
      </c>
      <c r="BC42" s="159">
        <v>0.65390000000000004</v>
      </c>
      <c r="BD42" s="159">
        <v>0.65949999999999998</v>
      </c>
      <c r="BE42" s="159">
        <v>0.66539999999999999</v>
      </c>
      <c r="BF42" s="159">
        <v>0.67149999999999999</v>
      </c>
      <c r="BG42" s="159">
        <v>0.67789999999999995</v>
      </c>
      <c r="BH42" s="159">
        <v>0.6845</v>
      </c>
      <c r="BI42" s="159">
        <v>0.69140000000000001</v>
      </c>
      <c r="BJ42" s="159">
        <v>0.6986</v>
      </c>
      <c r="BK42" s="159">
        <v>0.70599999999999996</v>
      </c>
      <c r="BL42" s="159">
        <v>0.7137</v>
      </c>
      <c r="BM42" s="159">
        <v>0.72160000000000002</v>
      </c>
      <c r="BN42" s="159">
        <v>0.7298</v>
      </c>
      <c r="BO42" s="159">
        <v>0.73819999999999997</v>
      </c>
      <c r="BP42" s="159">
        <v>0.74690000000000001</v>
      </c>
      <c r="BQ42" s="159">
        <v>0.75590000000000002</v>
      </c>
      <c r="BR42" s="159">
        <v>0.76500000000000001</v>
      </c>
      <c r="BS42" s="159">
        <v>0.77439999999999998</v>
      </c>
      <c r="BT42" s="159">
        <v>0.78400000000000003</v>
      </c>
      <c r="BU42" s="159">
        <v>0.79390000000000005</v>
      </c>
      <c r="BV42" s="159">
        <v>0.80389999999999995</v>
      </c>
      <c r="BW42" s="159">
        <v>0.81410000000000005</v>
      </c>
      <c r="BX42" s="159">
        <v>0.82440000000000002</v>
      </c>
      <c r="BY42" s="159">
        <v>0.83489999999999998</v>
      </c>
      <c r="BZ42" s="159">
        <v>0.84540000000000004</v>
      </c>
      <c r="CA42" s="159">
        <v>0.85609999999999997</v>
      </c>
      <c r="CB42" s="159">
        <v>0.86670000000000003</v>
      </c>
      <c r="CC42" s="159">
        <v>0.87739999999999996</v>
      </c>
      <c r="CD42" s="159">
        <v>0.88800000000000001</v>
      </c>
      <c r="CE42" s="159">
        <v>0.89859999999999995</v>
      </c>
      <c r="CF42" s="159">
        <v>0.90900000000000003</v>
      </c>
      <c r="CG42" s="159">
        <v>0.91930000000000001</v>
      </c>
      <c r="CH42" s="159">
        <v>0.9294</v>
      </c>
      <c r="CI42" s="159">
        <v>0.93940000000000001</v>
      </c>
      <c r="CJ42" s="159">
        <v>0.94920000000000004</v>
      </c>
      <c r="CK42" s="159">
        <v>0.95879999999999999</v>
      </c>
      <c r="CL42" s="159">
        <v>0.96809999999999996</v>
      </c>
      <c r="CM42" s="159">
        <v>0.97719999999999996</v>
      </c>
      <c r="CN42" s="49">
        <v>0.9859</v>
      </c>
      <c r="CO42" s="73"/>
      <c r="CP42" s="37" t="s">
        <v>245</v>
      </c>
      <c r="CQ42" s="37"/>
      <c r="DC42" t="s">
        <v>414</v>
      </c>
      <c r="DF42" s="57"/>
      <c r="DG42" s="57"/>
      <c r="DH42" s="57"/>
      <c r="DN42" s="80">
        <v>1946</v>
      </c>
      <c r="DO42" s="84">
        <v>47040</v>
      </c>
      <c r="DP42" s="81">
        <v>48300</v>
      </c>
      <c r="DQ42" s="81">
        <v>49500</v>
      </c>
      <c r="DR42" s="81">
        <v>51132</v>
      </c>
      <c r="DS42" s="81">
        <v>51432</v>
      </c>
      <c r="DT42" s="81">
        <v>52164</v>
      </c>
      <c r="DU42" s="81">
        <v>53400</v>
      </c>
      <c r="DV42" s="81">
        <v>54684</v>
      </c>
      <c r="DW42" s="81">
        <v>56364</v>
      </c>
      <c r="DX42" s="81">
        <v>57708</v>
      </c>
      <c r="DY42" s="81">
        <v>59148</v>
      </c>
      <c r="DZ42" s="81">
        <v>60552</v>
      </c>
      <c r="EA42" s="81">
        <v>61152</v>
      </c>
      <c r="EB42" s="86">
        <v>61392</v>
      </c>
      <c r="EE42" s="88">
        <v>1946</v>
      </c>
      <c r="EF42" s="125">
        <v>30492</v>
      </c>
      <c r="EG42" s="103">
        <v>33132</v>
      </c>
      <c r="EH42" s="98">
        <v>34752</v>
      </c>
      <c r="EI42" s="103">
        <v>36096</v>
      </c>
      <c r="EJ42" s="103">
        <v>37812</v>
      </c>
      <c r="EK42" s="103">
        <v>39048</v>
      </c>
      <c r="EL42" s="103">
        <v>39828</v>
      </c>
      <c r="EM42" s="111">
        <v>43548</v>
      </c>
      <c r="EN42" s="103">
        <v>45720</v>
      </c>
      <c r="EO42" s="108">
        <v>47040</v>
      </c>
      <c r="EP42" s="81">
        <v>48300</v>
      </c>
      <c r="EQ42" s="81">
        <v>49500</v>
      </c>
      <c r="ER42" s="81">
        <v>51132</v>
      </c>
      <c r="ES42" s="81">
        <v>51432</v>
      </c>
      <c r="ET42" s="81">
        <v>52164</v>
      </c>
      <c r="EU42" s="81">
        <v>53400</v>
      </c>
      <c r="EV42" s="81">
        <v>54684</v>
      </c>
      <c r="EW42" s="81">
        <v>56364</v>
      </c>
      <c r="EX42" s="81">
        <v>57708</v>
      </c>
      <c r="EY42" s="81">
        <v>59148</v>
      </c>
      <c r="EZ42" s="81">
        <v>60552</v>
      </c>
      <c r="FA42" s="81">
        <v>61152</v>
      </c>
      <c r="FB42" s="86">
        <v>61392</v>
      </c>
    </row>
    <row r="43" spans="1:158" ht="15.75" x14ac:dyDescent="0.25">
      <c r="B43" s="73"/>
      <c r="C43" s="73"/>
      <c r="D43" s="215">
        <f t="shared" si="0"/>
        <v>38</v>
      </c>
      <c r="E43" s="216">
        <f>[1]!PBGCLRF(65+D43/12)</f>
        <v>1.365</v>
      </c>
      <c r="F43" s="73"/>
      <c r="G43" s="73"/>
      <c r="H43" s="73"/>
      <c r="I43" s="73"/>
      <c r="J43" s="48">
        <v>39</v>
      </c>
      <c r="K43" s="49">
        <v>0.80500000000000005</v>
      </c>
      <c r="L43" s="73"/>
      <c r="M43" s="155">
        <v>39</v>
      </c>
      <c r="N43" s="49">
        <v>1.4878</v>
      </c>
      <c r="O43" s="73"/>
      <c r="P43" s="73"/>
      <c r="Q43" s="73"/>
      <c r="R43" s="155">
        <v>0.54620000000000002</v>
      </c>
      <c r="S43" s="159">
        <v>0.54730000000000001</v>
      </c>
      <c r="T43" s="159">
        <v>0.5484</v>
      </c>
      <c r="U43" s="159">
        <v>0.54959999999999998</v>
      </c>
      <c r="V43" s="159">
        <v>0.55079999999999996</v>
      </c>
      <c r="W43" s="159">
        <v>0.55210000000000004</v>
      </c>
      <c r="X43" s="159">
        <v>0.5534</v>
      </c>
      <c r="Y43" s="159">
        <v>0.55479999999999996</v>
      </c>
      <c r="Z43" s="159">
        <v>0.55630000000000002</v>
      </c>
      <c r="AA43" s="159">
        <v>0.55779999999999996</v>
      </c>
      <c r="AB43" s="159">
        <v>0.55940000000000001</v>
      </c>
      <c r="AC43" s="159">
        <v>0.56110000000000004</v>
      </c>
      <c r="AD43" s="159">
        <v>0.56289999999999996</v>
      </c>
      <c r="AE43" s="159">
        <v>0.56469999999999998</v>
      </c>
      <c r="AF43" s="159">
        <v>0.56669999999999998</v>
      </c>
      <c r="AG43" s="159">
        <v>0.56869999999999998</v>
      </c>
      <c r="AH43" s="159">
        <v>0.57040000000000002</v>
      </c>
      <c r="AI43" s="159">
        <v>0.57230000000000003</v>
      </c>
      <c r="AJ43" s="159">
        <v>0.57420000000000004</v>
      </c>
      <c r="AK43" s="159">
        <v>0.57630000000000003</v>
      </c>
      <c r="AL43" s="159">
        <v>0.57850000000000001</v>
      </c>
      <c r="AM43" s="159">
        <v>0.58079999999999998</v>
      </c>
      <c r="AN43" s="159">
        <v>0.58330000000000004</v>
      </c>
      <c r="AO43" s="159">
        <v>0.58589999999999998</v>
      </c>
      <c r="AP43" s="159">
        <v>0.5887</v>
      </c>
      <c r="AQ43" s="159">
        <v>0.59160000000000001</v>
      </c>
      <c r="AR43" s="159">
        <v>0.59470000000000001</v>
      </c>
      <c r="AS43" s="159">
        <v>0.59799999999999998</v>
      </c>
      <c r="AT43" s="159">
        <v>0.60150000000000003</v>
      </c>
      <c r="AU43" s="159">
        <v>0.60519999999999996</v>
      </c>
      <c r="AV43" s="159">
        <v>0.60899999999999999</v>
      </c>
      <c r="AW43" s="159">
        <v>0.61309999999999998</v>
      </c>
      <c r="AX43" s="159">
        <v>0.61729999999999996</v>
      </c>
      <c r="AY43" s="159">
        <v>0.62180000000000002</v>
      </c>
      <c r="AZ43" s="159">
        <v>0.62649999999999995</v>
      </c>
      <c r="BA43" s="159">
        <v>0.63139999999999996</v>
      </c>
      <c r="BB43" s="159">
        <v>0.63649999999999995</v>
      </c>
      <c r="BC43" s="159">
        <v>0.64190000000000003</v>
      </c>
      <c r="BD43" s="159">
        <v>0.64749999999999996</v>
      </c>
      <c r="BE43" s="159">
        <v>0.65329999999999999</v>
      </c>
      <c r="BF43" s="159">
        <v>0.65939999999999999</v>
      </c>
      <c r="BG43" s="159">
        <v>0.66579999999999995</v>
      </c>
      <c r="BH43" s="159">
        <v>0.67249999999999999</v>
      </c>
      <c r="BI43" s="159">
        <v>0.6794</v>
      </c>
      <c r="BJ43" s="159">
        <v>0.6865</v>
      </c>
      <c r="BK43" s="159">
        <v>0.69399999999999995</v>
      </c>
      <c r="BL43" s="159">
        <v>0.70169999999999999</v>
      </c>
      <c r="BM43" s="159">
        <v>0.7097</v>
      </c>
      <c r="BN43" s="159">
        <v>0.71799999999999997</v>
      </c>
      <c r="BO43" s="159">
        <v>0.72650000000000003</v>
      </c>
      <c r="BP43" s="159">
        <v>0.73529999999999995</v>
      </c>
      <c r="BQ43" s="159">
        <v>0.74439999999999995</v>
      </c>
      <c r="BR43" s="159">
        <v>0.75370000000000004</v>
      </c>
      <c r="BS43" s="159">
        <v>0.76329999999999998</v>
      </c>
      <c r="BT43" s="159">
        <v>0.77310000000000001</v>
      </c>
      <c r="BU43" s="159">
        <v>0.78320000000000001</v>
      </c>
      <c r="BV43" s="159">
        <v>0.79349999999999998</v>
      </c>
      <c r="BW43" s="159">
        <v>0.80400000000000005</v>
      </c>
      <c r="BX43" s="159">
        <v>0.81459999999999999</v>
      </c>
      <c r="BY43" s="159">
        <v>0.82550000000000001</v>
      </c>
      <c r="BZ43" s="159">
        <v>0.83640000000000003</v>
      </c>
      <c r="CA43" s="159">
        <v>0.84750000000000003</v>
      </c>
      <c r="CB43" s="159">
        <v>0.85860000000000003</v>
      </c>
      <c r="CC43" s="159">
        <v>0.86980000000000002</v>
      </c>
      <c r="CD43" s="159">
        <v>0.88090000000000002</v>
      </c>
      <c r="CE43" s="159">
        <v>0.89200000000000002</v>
      </c>
      <c r="CF43" s="159">
        <v>0.90300000000000002</v>
      </c>
      <c r="CG43" s="159">
        <v>0.91390000000000005</v>
      </c>
      <c r="CH43" s="159">
        <v>0.92459999999999998</v>
      </c>
      <c r="CI43" s="159">
        <v>0.93530000000000002</v>
      </c>
      <c r="CJ43" s="159">
        <v>0.94579999999999997</v>
      </c>
      <c r="CK43" s="159">
        <v>0.95599999999999996</v>
      </c>
      <c r="CL43" s="159">
        <v>0.96609999999999996</v>
      </c>
      <c r="CM43" s="159">
        <v>0.9758</v>
      </c>
      <c r="CN43" s="49">
        <v>0.98529999999999995</v>
      </c>
      <c r="CO43" s="73"/>
      <c r="CP43" s="327"/>
      <c r="CQ43" s="327"/>
      <c r="CR43" s="327"/>
      <c r="DC43" t="s">
        <v>459</v>
      </c>
      <c r="DF43" s="57"/>
      <c r="DG43" s="57"/>
      <c r="DH43" s="57"/>
      <c r="DN43" s="80">
        <v>1947</v>
      </c>
      <c r="DO43" s="84">
        <v>48060</v>
      </c>
      <c r="DP43" s="81">
        <v>49380</v>
      </c>
      <c r="DQ43" s="81">
        <v>50640</v>
      </c>
      <c r="DR43" s="81">
        <v>52356</v>
      </c>
      <c r="DS43" s="81">
        <v>52680</v>
      </c>
      <c r="DT43" s="81">
        <v>53448</v>
      </c>
      <c r="DU43" s="81">
        <v>54768</v>
      </c>
      <c r="DV43" s="81">
        <v>56136</v>
      </c>
      <c r="DW43" s="81">
        <v>57936</v>
      </c>
      <c r="DX43" s="81">
        <v>59376</v>
      </c>
      <c r="DY43" s="81">
        <v>60936</v>
      </c>
      <c r="DZ43" s="81">
        <v>62472</v>
      </c>
      <c r="EA43" s="81">
        <v>63132</v>
      </c>
      <c r="EB43" s="86">
        <v>63396</v>
      </c>
      <c r="EE43" s="88">
        <v>1947</v>
      </c>
      <c r="EF43" s="125">
        <v>30984</v>
      </c>
      <c r="EG43" s="103">
        <v>33720</v>
      </c>
      <c r="EH43" s="98">
        <v>35400</v>
      </c>
      <c r="EI43" s="103">
        <v>36792</v>
      </c>
      <c r="EJ43" s="103">
        <v>38568</v>
      </c>
      <c r="EK43" s="103">
        <v>39852</v>
      </c>
      <c r="EL43" s="103">
        <v>40680</v>
      </c>
      <c r="EM43" s="111">
        <v>44412</v>
      </c>
      <c r="EN43" s="103">
        <v>46680</v>
      </c>
      <c r="EO43" s="108">
        <v>48060</v>
      </c>
      <c r="EP43" s="81">
        <v>49380</v>
      </c>
      <c r="EQ43" s="81">
        <v>50640</v>
      </c>
      <c r="ER43" s="81">
        <v>52356</v>
      </c>
      <c r="ES43" s="81">
        <v>52680</v>
      </c>
      <c r="ET43" s="81">
        <v>53448</v>
      </c>
      <c r="EU43" s="81">
        <v>54768</v>
      </c>
      <c r="EV43" s="81">
        <v>56136</v>
      </c>
      <c r="EW43" s="81">
        <v>57936</v>
      </c>
      <c r="EX43" s="81">
        <v>59376</v>
      </c>
      <c r="EY43" s="81">
        <v>60936</v>
      </c>
      <c r="EZ43" s="81">
        <v>62472</v>
      </c>
      <c r="FA43" s="81">
        <v>63132</v>
      </c>
      <c r="FB43" s="86">
        <v>63396</v>
      </c>
    </row>
    <row r="44" spans="1:158" ht="15.75" x14ac:dyDescent="0.25">
      <c r="B44" s="73"/>
      <c r="C44" s="73"/>
      <c r="D44" s="215">
        <f t="shared" si="0"/>
        <v>39</v>
      </c>
      <c r="E44" s="216">
        <f>[1]!PBGCLRF(65+D44/12)</f>
        <v>1.3774999999999999</v>
      </c>
      <c r="F44" s="73"/>
      <c r="G44" s="73"/>
      <c r="H44" s="73"/>
      <c r="I44" s="73"/>
      <c r="J44" s="48">
        <v>40</v>
      </c>
      <c r="K44" s="49">
        <v>0.8</v>
      </c>
      <c r="L44" s="73"/>
      <c r="M44" s="155">
        <v>40</v>
      </c>
      <c r="N44" s="49">
        <v>1.5036</v>
      </c>
      <c r="O44" s="73"/>
      <c r="P44" s="73"/>
      <c r="Q44" s="73"/>
      <c r="R44" s="155">
        <v>0.53549999999999998</v>
      </c>
      <c r="S44" s="159">
        <v>0.53659999999999997</v>
      </c>
      <c r="T44" s="159">
        <v>0.53769999999999996</v>
      </c>
      <c r="U44" s="159">
        <v>0.53879999999999995</v>
      </c>
      <c r="V44" s="159">
        <v>0.54010000000000002</v>
      </c>
      <c r="W44" s="159">
        <v>0.5413</v>
      </c>
      <c r="X44" s="159">
        <v>0.54259999999999997</v>
      </c>
      <c r="Y44" s="159">
        <v>0.54400000000000004</v>
      </c>
      <c r="Z44" s="159">
        <v>0.54549999999999998</v>
      </c>
      <c r="AA44" s="159">
        <v>0.54700000000000004</v>
      </c>
      <c r="AB44" s="159">
        <v>0.54859999999999998</v>
      </c>
      <c r="AC44" s="159">
        <v>0.55020000000000002</v>
      </c>
      <c r="AD44" s="159">
        <v>0.55200000000000005</v>
      </c>
      <c r="AE44" s="159">
        <v>0.55379999999999996</v>
      </c>
      <c r="AF44" s="159">
        <v>0.55569999999999997</v>
      </c>
      <c r="AG44" s="159">
        <v>0.55769999999999997</v>
      </c>
      <c r="AH44" s="159">
        <v>0.55940000000000001</v>
      </c>
      <c r="AI44" s="159">
        <v>0.56120000000000003</v>
      </c>
      <c r="AJ44" s="159">
        <v>0.56310000000000004</v>
      </c>
      <c r="AK44" s="159">
        <v>0.56510000000000005</v>
      </c>
      <c r="AL44" s="159">
        <v>0.56730000000000003</v>
      </c>
      <c r="AM44" s="159">
        <v>0.5696</v>
      </c>
      <c r="AN44" s="159">
        <v>0.57199999999999995</v>
      </c>
      <c r="AO44" s="159">
        <v>0.5746</v>
      </c>
      <c r="AP44" s="159">
        <v>0.57740000000000002</v>
      </c>
      <c r="AQ44" s="159">
        <v>0.58030000000000004</v>
      </c>
      <c r="AR44" s="159">
        <v>0.58330000000000004</v>
      </c>
      <c r="AS44" s="159">
        <v>0.58660000000000001</v>
      </c>
      <c r="AT44" s="159">
        <v>0.59</v>
      </c>
      <c r="AU44" s="159">
        <v>0.59360000000000002</v>
      </c>
      <c r="AV44" s="159">
        <v>0.59740000000000004</v>
      </c>
      <c r="AW44" s="159">
        <v>0.60140000000000005</v>
      </c>
      <c r="AX44" s="159">
        <v>0.60570000000000002</v>
      </c>
      <c r="AY44" s="159">
        <v>0.61009999999999998</v>
      </c>
      <c r="AZ44" s="159">
        <v>0.61470000000000002</v>
      </c>
      <c r="BA44" s="159">
        <v>0.61960000000000004</v>
      </c>
      <c r="BB44" s="159">
        <v>0.62470000000000003</v>
      </c>
      <c r="BC44" s="159">
        <v>0.63</v>
      </c>
      <c r="BD44" s="159">
        <v>0.63560000000000005</v>
      </c>
      <c r="BE44" s="159">
        <v>0.64149999999999996</v>
      </c>
      <c r="BF44" s="159">
        <v>0.64759999999999995</v>
      </c>
      <c r="BG44" s="159">
        <v>0.65390000000000004</v>
      </c>
      <c r="BH44" s="159">
        <v>0.66059999999999997</v>
      </c>
      <c r="BI44" s="159">
        <v>0.66749999999999998</v>
      </c>
      <c r="BJ44" s="159">
        <v>0.67469999999999997</v>
      </c>
      <c r="BK44" s="159">
        <v>0.68210000000000004</v>
      </c>
      <c r="BL44" s="159">
        <v>0.68989999999999996</v>
      </c>
      <c r="BM44" s="159">
        <v>0.69789999999999996</v>
      </c>
      <c r="BN44" s="159">
        <v>0.70630000000000004</v>
      </c>
      <c r="BO44" s="159">
        <v>0.71489999999999998</v>
      </c>
      <c r="BP44" s="159">
        <v>0.7238</v>
      </c>
      <c r="BQ44" s="159">
        <v>0.73299999999999998</v>
      </c>
      <c r="BR44" s="159">
        <v>0.74250000000000005</v>
      </c>
      <c r="BS44" s="159">
        <v>0.75219999999999998</v>
      </c>
      <c r="BT44" s="159">
        <v>0.76219999999999999</v>
      </c>
      <c r="BU44" s="159">
        <v>0.77249999999999996</v>
      </c>
      <c r="BV44" s="159">
        <v>0.78310000000000002</v>
      </c>
      <c r="BW44" s="159">
        <v>0.79379999999999995</v>
      </c>
      <c r="BX44" s="159">
        <v>0.80479999999999996</v>
      </c>
      <c r="BY44" s="159">
        <v>0.81599999999999995</v>
      </c>
      <c r="BZ44" s="159">
        <v>0.82730000000000004</v>
      </c>
      <c r="CA44" s="159">
        <v>0.83879999999999999</v>
      </c>
      <c r="CB44" s="159">
        <v>0.85029999999999994</v>
      </c>
      <c r="CC44" s="159">
        <v>0.86199999999999999</v>
      </c>
      <c r="CD44" s="159">
        <v>0.87360000000000004</v>
      </c>
      <c r="CE44" s="159">
        <v>0.88529999999999998</v>
      </c>
      <c r="CF44" s="159">
        <v>0.89690000000000003</v>
      </c>
      <c r="CG44" s="159">
        <v>0.90839999999999999</v>
      </c>
      <c r="CH44" s="159">
        <v>0.91979999999999995</v>
      </c>
      <c r="CI44" s="159">
        <v>0.93110000000000004</v>
      </c>
      <c r="CJ44" s="159">
        <v>0.94230000000000003</v>
      </c>
      <c r="CK44" s="159">
        <v>0.95320000000000005</v>
      </c>
      <c r="CL44" s="159">
        <v>0.96399999999999997</v>
      </c>
      <c r="CM44" s="159">
        <v>0.97450000000000003</v>
      </c>
      <c r="CN44" s="49">
        <v>0.98470000000000002</v>
      </c>
      <c r="CO44" s="73"/>
      <c r="CP44" s="72">
        <v>7.0000000000000007E-2</v>
      </c>
      <c r="CQ44">
        <v>999</v>
      </c>
      <c r="CS44" s="72">
        <v>7.0000000000000007E-2</v>
      </c>
      <c r="DC44" t="s">
        <v>200</v>
      </c>
      <c r="DD44">
        <f>SUM(DD40:DD43)</f>
        <v>0</v>
      </c>
      <c r="DE44" s="55">
        <f>SUM(DE40:DE43)</f>
        <v>0</v>
      </c>
      <c r="DF44" s="57"/>
      <c r="DH44" s="297">
        <f>SUM(DH38:DH43)</f>
        <v>0</v>
      </c>
      <c r="DN44" s="80">
        <v>1948</v>
      </c>
      <c r="DO44" s="84">
        <v>48936</v>
      </c>
      <c r="DP44" s="81">
        <v>50316</v>
      </c>
      <c r="DQ44" s="81">
        <v>51636</v>
      </c>
      <c r="DR44" s="81">
        <v>53436</v>
      </c>
      <c r="DS44" s="81">
        <v>53772</v>
      </c>
      <c r="DT44" s="81">
        <v>54588</v>
      </c>
      <c r="DU44" s="81">
        <v>55980</v>
      </c>
      <c r="DV44" s="81">
        <v>57432</v>
      </c>
      <c r="DW44" s="81">
        <v>59352</v>
      </c>
      <c r="DX44" s="81">
        <v>60900</v>
      </c>
      <c r="DY44" s="81">
        <v>62580</v>
      </c>
      <c r="DZ44" s="81">
        <v>64248</v>
      </c>
      <c r="EA44" s="81">
        <v>64968</v>
      </c>
      <c r="EB44" s="86">
        <v>65256</v>
      </c>
      <c r="EE44" s="88">
        <v>1948</v>
      </c>
      <c r="EF44" s="125">
        <v>31440</v>
      </c>
      <c r="EG44" s="103">
        <v>34272</v>
      </c>
      <c r="EH44" s="98">
        <v>36012</v>
      </c>
      <c r="EI44" s="103">
        <v>37452</v>
      </c>
      <c r="EJ44" s="103">
        <v>39300</v>
      </c>
      <c r="EK44" s="103">
        <v>40632</v>
      </c>
      <c r="EL44" s="103">
        <v>41496</v>
      </c>
      <c r="EM44" s="111">
        <v>45132</v>
      </c>
      <c r="EN44" s="103">
        <v>47496</v>
      </c>
      <c r="EO44" s="108">
        <v>48936</v>
      </c>
      <c r="EP44" s="81">
        <v>50316</v>
      </c>
      <c r="EQ44" s="81">
        <v>51636</v>
      </c>
      <c r="ER44" s="81">
        <v>53436</v>
      </c>
      <c r="ES44" s="81">
        <v>53772</v>
      </c>
      <c r="ET44" s="81">
        <v>54588</v>
      </c>
      <c r="EU44" s="81">
        <v>55980</v>
      </c>
      <c r="EV44" s="81">
        <v>57432</v>
      </c>
      <c r="EW44" s="81">
        <v>59352</v>
      </c>
      <c r="EX44" s="81">
        <v>60900</v>
      </c>
      <c r="EY44" s="81">
        <v>62580</v>
      </c>
      <c r="EZ44" s="81">
        <v>64248</v>
      </c>
      <c r="FA44" s="81">
        <v>64968</v>
      </c>
      <c r="FB44" s="86">
        <v>65256</v>
      </c>
    </row>
    <row r="45" spans="1:158" ht="15.75" x14ac:dyDescent="0.25">
      <c r="B45" s="73"/>
      <c r="C45" s="73"/>
      <c r="D45" s="215">
        <f t="shared" si="0"/>
        <v>40</v>
      </c>
      <c r="E45" s="216">
        <f>[1]!PBGCLRF(65+D45/12)</f>
        <v>1.39</v>
      </c>
      <c r="F45" s="73"/>
      <c r="G45" s="73"/>
      <c r="H45" s="73"/>
      <c r="I45" s="73"/>
      <c r="J45" s="48">
        <v>41</v>
      </c>
      <c r="K45" s="49">
        <v>0.79500000000000004</v>
      </c>
      <c r="L45" s="73"/>
      <c r="M45" s="155">
        <v>41</v>
      </c>
      <c r="N45" s="49">
        <v>1.5195000000000001</v>
      </c>
      <c r="O45" s="73"/>
      <c r="P45" s="73"/>
      <c r="Q45" s="73"/>
      <c r="R45" s="155">
        <v>0.52510000000000001</v>
      </c>
      <c r="S45" s="159">
        <v>0.5262</v>
      </c>
      <c r="T45" s="159">
        <v>0.5272</v>
      </c>
      <c r="U45" s="159">
        <v>0.52839999999999998</v>
      </c>
      <c r="V45" s="159">
        <v>0.52959999999999996</v>
      </c>
      <c r="W45" s="159">
        <v>0.53080000000000005</v>
      </c>
      <c r="X45" s="159">
        <v>0.53210000000000002</v>
      </c>
      <c r="Y45" s="159">
        <v>0.53349999999999997</v>
      </c>
      <c r="Z45" s="159">
        <v>0.53490000000000004</v>
      </c>
      <c r="AA45" s="159">
        <v>0.53639999999999999</v>
      </c>
      <c r="AB45" s="159">
        <v>0.53800000000000003</v>
      </c>
      <c r="AC45" s="159">
        <v>0.53959999999999997</v>
      </c>
      <c r="AD45" s="159">
        <v>0.54139999999999999</v>
      </c>
      <c r="AE45" s="159">
        <v>0.54310000000000003</v>
      </c>
      <c r="AF45" s="159">
        <v>0.54500000000000004</v>
      </c>
      <c r="AG45" s="159">
        <v>0.54700000000000004</v>
      </c>
      <c r="AH45" s="159">
        <v>0.54869999999999997</v>
      </c>
      <c r="AI45" s="159">
        <v>0.5504</v>
      </c>
      <c r="AJ45" s="159">
        <v>0.55230000000000001</v>
      </c>
      <c r="AK45" s="159">
        <v>0.55430000000000001</v>
      </c>
      <c r="AL45" s="159">
        <v>0.55640000000000001</v>
      </c>
      <c r="AM45" s="159">
        <v>0.55869999999999997</v>
      </c>
      <c r="AN45" s="159">
        <v>0.56110000000000004</v>
      </c>
      <c r="AO45" s="159">
        <v>0.56359999999999999</v>
      </c>
      <c r="AP45" s="159">
        <v>0.56630000000000003</v>
      </c>
      <c r="AQ45" s="159">
        <v>0.56920000000000004</v>
      </c>
      <c r="AR45" s="159">
        <v>0.57220000000000004</v>
      </c>
      <c r="AS45" s="159">
        <v>0.57540000000000002</v>
      </c>
      <c r="AT45" s="159">
        <v>0.57879999999999998</v>
      </c>
      <c r="AU45" s="159">
        <v>0.58240000000000003</v>
      </c>
      <c r="AV45" s="159">
        <v>0.58609999999999995</v>
      </c>
      <c r="AW45" s="159">
        <v>0.59009999999999996</v>
      </c>
      <c r="AX45" s="159">
        <v>0.59430000000000005</v>
      </c>
      <c r="AY45" s="159">
        <v>0.59870000000000001</v>
      </c>
      <c r="AZ45" s="159">
        <v>0.60329999999999995</v>
      </c>
      <c r="BA45" s="159">
        <v>0.60809999999999997</v>
      </c>
      <c r="BB45" s="159">
        <v>0.61319999999999997</v>
      </c>
      <c r="BC45" s="159">
        <v>0.61850000000000005</v>
      </c>
      <c r="BD45" s="159">
        <v>0.624</v>
      </c>
      <c r="BE45" s="159">
        <v>0.62980000000000003</v>
      </c>
      <c r="BF45" s="159">
        <v>0.63590000000000002</v>
      </c>
      <c r="BG45" s="159">
        <v>0.64219999999999999</v>
      </c>
      <c r="BH45" s="159">
        <v>0.64890000000000003</v>
      </c>
      <c r="BI45" s="159">
        <v>0.65580000000000005</v>
      </c>
      <c r="BJ45" s="159">
        <v>0.66300000000000003</v>
      </c>
      <c r="BK45" s="159">
        <v>0.67049999999999998</v>
      </c>
      <c r="BL45" s="159">
        <v>0.67820000000000003</v>
      </c>
      <c r="BM45" s="159">
        <v>0.68630000000000002</v>
      </c>
      <c r="BN45" s="159">
        <v>0.69469999999999998</v>
      </c>
      <c r="BO45" s="159">
        <v>0.70340000000000003</v>
      </c>
      <c r="BP45" s="159">
        <v>0.71240000000000003</v>
      </c>
      <c r="BQ45" s="159">
        <v>0.72170000000000001</v>
      </c>
      <c r="BR45" s="159">
        <v>0.73129999999999995</v>
      </c>
      <c r="BS45" s="159">
        <v>0.74119999999999997</v>
      </c>
      <c r="BT45" s="159">
        <v>0.75139999999999996</v>
      </c>
      <c r="BU45" s="159">
        <v>0.76190000000000002</v>
      </c>
      <c r="BV45" s="159">
        <v>0.77259999999999995</v>
      </c>
      <c r="BW45" s="159">
        <v>0.78369999999999995</v>
      </c>
      <c r="BX45" s="159">
        <v>0.79490000000000005</v>
      </c>
      <c r="BY45" s="159">
        <v>0.80640000000000001</v>
      </c>
      <c r="BZ45" s="159">
        <v>0.81810000000000005</v>
      </c>
      <c r="CA45" s="159">
        <v>0.83</v>
      </c>
      <c r="CB45" s="159">
        <v>0.84199999999999997</v>
      </c>
      <c r="CC45" s="159">
        <v>0.85409999999999997</v>
      </c>
      <c r="CD45" s="159">
        <v>0.86629999999999996</v>
      </c>
      <c r="CE45" s="159">
        <v>0.87849999999999995</v>
      </c>
      <c r="CF45" s="159">
        <v>0.89070000000000005</v>
      </c>
      <c r="CG45" s="159">
        <v>0.90280000000000005</v>
      </c>
      <c r="CH45" s="159">
        <v>0.91479999999999995</v>
      </c>
      <c r="CI45" s="159">
        <v>0.92679999999999996</v>
      </c>
      <c r="CJ45" s="159">
        <v>0.93869999999999998</v>
      </c>
      <c r="CK45" s="159">
        <v>0.95040000000000002</v>
      </c>
      <c r="CL45" s="159">
        <v>0.96189999999999998</v>
      </c>
      <c r="CM45" s="159">
        <v>0.97319999999999995</v>
      </c>
      <c r="CN45" s="49">
        <v>0.98409999999999997</v>
      </c>
      <c r="CO45" s="73"/>
      <c r="DE45" s="55"/>
      <c r="DF45" s="55"/>
      <c r="DG45" s="55"/>
      <c r="DH45" s="55"/>
      <c r="DI45" s="57"/>
      <c r="DJ45" s="57"/>
      <c r="DN45" s="80">
        <v>1949</v>
      </c>
      <c r="DO45" s="84">
        <v>49716</v>
      </c>
      <c r="DP45" s="81">
        <v>51156</v>
      </c>
      <c r="DQ45" s="81">
        <v>52536</v>
      </c>
      <c r="DR45" s="81">
        <v>54420</v>
      </c>
      <c r="DS45" s="81">
        <v>54780</v>
      </c>
      <c r="DT45" s="81">
        <v>55644</v>
      </c>
      <c r="DU45" s="81">
        <v>57108</v>
      </c>
      <c r="DV45" s="81">
        <v>58644</v>
      </c>
      <c r="DW45" s="81">
        <v>60684</v>
      </c>
      <c r="DX45" s="81">
        <v>62340</v>
      </c>
      <c r="DY45" s="81">
        <v>64140</v>
      </c>
      <c r="DZ45" s="81">
        <v>65940</v>
      </c>
      <c r="EA45" s="81">
        <v>66720</v>
      </c>
      <c r="EB45" s="86">
        <v>67020</v>
      </c>
      <c r="EE45" s="88">
        <v>1949</v>
      </c>
      <c r="EF45" s="125">
        <v>31860</v>
      </c>
      <c r="EG45" s="103">
        <v>34788</v>
      </c>
      <c r="EH45" s="98">
        <v>36588</v>
      </c>
      <c r="EI45" s="103">
        <v>38076</v>
      </c>
      <c r="EJ45" s="103">
        <v>39996</v>
      </c>
      <c r="EK45" s="103">
        <v>41388</v>
      </c>
      <c r="EL45" s="103">
        <v>42276</v>
      </c>
      <c r="EM45" s="111">
        <v>45768</v>
      </c>
      <c r="EN45" s="103">
        <v>48216</v>
      </c>
      <c r="EO45" s="108">
        <v>49716</v>
      </c>
      <c r="EP45" s="81">
        <v>51156</v>
      </c>
      <c r="EQ45" s="81">
        <v>52536</v>
      </c>
      <c r="ER45" s="81">
        <v>54420</v>
      </c>
      <c r="ES45" s="81">
        <v>54780</v>
      </c>
      <c r="ET45" s="81">
        <v>55644</v>
      </c>
      <c r="EU45" s="81">
        <v>57108</v>
      </c>
      <c r="EV45" s="81">
        <v>58644</v>
      </c>
      <c r="EW45" s="81">
        <v>60684</v>
      </c>
      <c r="EX45" s="81">
        <v>62340</v>
      </c>
      <c r="EY45" s="81">
        <v>64140</v>
      </c>
      <c r="EZ45" s="81">
        <v>65940</v>
      </c>
      <c r="FA45" s="81">
        <v>66720</v>
      </c>
      <c r="FB45" s="86">
        <v>67020</v>
      </c>
    </row>
    <row r="46" spans="1:158" ht="15.75" x14ac:dyDescent="0.25">
      <c r="B46" s="73"/>
      <c r="C46" s="73"/>
      <c r="D46" s="215">
        <f t="shared" si="0"/>
        <v>41</v>
      </c>
      <c r="E46" s="216">
        <f>[1]!PBGCLRF(65+D46/12)</f>
        <v>1.4025000000000001</v>
      </c>
      <c r="F46" s="73"/>
      <c r="G46" s="73"/>
      <c r="H46" s="73"/>
      <c r="I46" s="73"/>
      <c r="J46" s="48">
        <v>42</v>
      </c>
      <c r="K46" s="49">
        <v>0.79</v>
      </c>
      <c r="L46" s="73"/>
      <c r="M46" s="155">
        <v>42</v>
      </c>
      <c r="N46" s="49">
        <v>1.5356000000000001</v>
      </c>
      <c r="O46" s="73"/>
      <c r="P46" s="73"/>
      <c r="Q46" s="73"/>
      <c r="R46" s="155">
        <v>0.51500000000000001</v>
      </c>
      <c r="S46" s="159">
        <v>0.51600000000000001</v>
      </c>
      <c r="T46" s="159">
        <v>0.5171</v>
      </c>
      <c r="U46" s="159">
        <v>0.51819999999999999</v>
      </c>
      <c r="V46" s="159">
        <v>0.51939999999999997</v>
      </c>
      <c r="W46" s="159">
        <v>0.52059999999999995</v>
      </c>
      <c r="X46" s="159">
        <v>0.52190000000000003</v>
      </c>
      <c r="Y46" s="159">
        <v>0.5232</v>
      </c>
      <c r="Z46" s="159">
        <v>0.52459999999999996</v>
      </c>
      <c r="AA46" s="159">
        <v>0.52610000000000001</v>
      </c>
      <c r="AB46" s="159">
        <v>0.52769999999999995</v>
      </c>
      <c r="AC46" s="159">
        <v>0.52929999999999999</v>
      </c>
      <c r="AD46" s="159">
        <v>0.53100000000000003</v>
      </c>
      <c r="AE46" s="159">
        <v>0.53280000000000005</v>
      </c>
      <c r="AF46" s="159">
        <v>0.53459999999999996</v>
      </c>
      <c r="AG46" s="159">
        <v>0.53659999999999997</v>
      </c>
      <c r="AH46" s="159">
        <v>0.53820000000000001</v>
      </c>
      <c r="AI46" s="159">
        <v>0.53990000000000005</v>
      </c>
      <c r="AJ46" s="159">
        <v>0.54179999999999995</v>
      </c>
      <c r="AK46" s="159">
        <v>0.54369999999999996</v>
      </c>
      <c r="AL46" s="159">
        <v>0.54579999999999995</v>
      </c>
      <c r="AM46" s="159">
        <v>0.54800000000000004</v>
      </c>
      <c r="AN46" s="159">
        <v>0.5504</v>
      </c>
      <c r="AO46" s="159">
        <v>0.55289999999999995</v>
      </c>
      <c r="AP46" s="159">
        <v>0.55549999999999999</v>
      </c>
      <c r="AQ46" s="159">
        <v>0.55840000000000001</v>
      </c>
      <c r="AR46" s="159">
        <v>0.56130000000000002</v>
      </c>
      <c r="AS46" s="159">
        <v>0.5645</v>
      </c>
      <c r="AT46" s="159">
        <v>0.56789999999999996</v>
      </c>
      <c r="AU46" s="159">
        <v>0.57140000000000002</v>
      </c>
      <c r="AV46" s="159">
        <v>0.57509999999999994</v>
      </c>
      <c r="AW46" s="159">
        <v>0.57899999999999996</v>
      </c>
      <c r="AX46" s="159">
        <v>0.58309999999999995</v>
      </c>
      <c r="AY46" s="159">
        <v>0.58750000000000002</v>
      </c>
      <c r="AZ46" s="159">
        <v>0.59209999999999996</v>
      </c>
      <c r="BA46" s="159">
        <v>0.5968</v>
      </c>
      <c r="BB46" s="159">
        <v>0.60189999999999999</v>
      </c>
      <c r="BC46" s="159">
        <v>0.60709999999999997</v>
      </c>
      <c r="BD46" s="159">
        <v>0.61260000000000003</v>
      </c>
      <c r="BE46" s="159">
        <v>0.61839999999999995</v>
      </c>
      <c r="BF46" s="159">
        <v>0.62450000000000006</v>
      </c>
      <c r="BG46" s="159">
        <v>0.63080000000000003</v>
      </c>
      <c r="BH46" s="159">
        <v>0.63739999999999997</v>
      </c>
      <c r="BI46" s="159">
        <v>0.64429999999999998</v>
      </c>
      <c r="BJ46" s="159">
        <v>0.65149999999999997</v>
      </c>
      <c r="BK46" s="159">
        <v>0.65900000000000003</v>
      </c>
      <c r="BL46" s="159">
        <v>0.66679999999999995</v>
      </c>
      <c r="BM46" s="159">
        <v>0.67490000000000006</v>
      </c>
      <c r="BN46" s="159">
        <v>0.68330000000000002</v>
      </c>
      <c r="BO46" s="159">
        <v>0.69210000000000005</v>
      </c>
      <c r="BP46" s="159">
        <v>0.70120000000000005</v>
      </c>
      <c r="BQ46" s="159">
        <v>0.71060000000000001</v>
      </c>
      <c r="BR46" s="159">
        <v>0.72030000000000005</v>
      </c>
      <c r="BS46" s="159">
        <v>0.73029999999999995</v>
      </c>
      <c r="BT46" s="159">
        <v>0.74060000000000004</v>
      </c>
      <c r="BU46" s="159">
        <v>0.75129999999999997</v>
      </c>
      <c r="BV46" s="159">
        <v>0.76229999999999998</v>
      </c>
      <c r="BW46" s="159">
        <v>0.77349999999999997</v>
      </c>
      <c r="BX46" s="159">
        <v>0.78510000000000002</v>
      </c>
      <c r="BY46" s="159">
        <v>0.79690000000000005</v>
      </c>
      <c r="BZ46" s="159">
        <v>0.80900000000000005</v>
      </c>
      <c r="CA46" s="159">
        <v>0.82120000000000004</v>
      </c>
      <c r="CB46" s="159">
        <v>0.8337</v>
      </c>
      <c r="CC46" s="159">
        <v>0.84619999999999995</v>
      </c>
      <c r="CD46" s="159">
        <v>0.8589</v>
      </c>
      <c r="CE46" s="159">
        <v>0.87170000000000003</v>
      </c>
      <c r="CF46" s="159">
        <v>0.88439999999999996</v>
      </c>
      <c r="CG46" s="159">
        <v>0.89710000000000001</v>
      </c>
      <c r="CH46" s="159">
        <v>0.90980000000000005</v>
      </c>
      <c r="CI46" s="159">
        <v>0.92249999999999999</v>
      </c>
      <c r="CJ46" s="159">
        <v>0.93510000000000004</v>
      </c>
      <c r="CK46" s="159">
        <v>0.9476</v>
      </c>
      <c r="CL46" s="159">
        <v>0.95989999999999998</v>
      </c>
      <c r="CM46" s="159">
        <v>0.97199999999999998</v>
      </c>
      <c r="CN46" s="49">
        <v>0.98370000000000002</v>
      </c>
      <c r="CO46" s="73"/>
      <c r="CP46" s="327"/>
      <c r="CQ46" s="327"/>
      <c r="CR46" s="327"/>
      <c r="CZ46" t="e">
        <f>Total_Title_IV_PV</f>
        <v>#NAME?</v>
      </c>
      <c r="DB46" t="s">
        <v>198</v>
      </c>
      <c r="DC46" t="s">
        <v>199</v>
      </c>
      <c r="DE46" s="55">
        <f>SUM(DH6:DH11)</f>
        <v>0</v>
      </c>
      <c r="DF46" s="57">
        <f>SUM(DH6:DH11)</f>
        <v>0</v>
      </c>
      <c r="DG46" s="42" t="s">
        <v>200</v>
      </c>
      <c r="DH46" s="42" t="s">
        <v>200</v>
      </c>
      <c r="DI46" s="42" t="s">
        <v>201</v>
      </c>
      <c r="DJ46" s="42" t="s">
        <v>201</v>
      </c>
      <c r="DN46" s="80">
        <v>1950</v>
      </c>
      <c r="DO46" s="84">
        <v>50400</v>
      </c>
      <c r="DP46" s="81">
        <v>51900</v>
      </c>
      <c r="DQ46" s="81">
        <v>53340</v>
      </c>
      <c r="DR46" s="81">
        <v>55308</v>
      </c>
      <c r="DS46" s="81">
        <v>55680</v>
      </c>
      <c r="DT46" s="81">
        <v>56580</v>
      </c>
      <c r="DU46" s="81">
        <v>58128</v>
      </c>
      <c r="DV46" s="81">
        <v>59760</v>
      </c>
      <c r="DW46" s="81">
        <v>61920</v>
      </c>
      <c r="DX46" s="81">
        <v>63660</v>
      </c>
      <c r="DY46" s="81">
        <v>65580</v>
      </c>
      <c r="DZ46" s="81">
        <v>67512</v>
      </c>
      <c r="EA46" s="81">
        <v>68352</v>
      </c>
      <c r="EB46" s="86">
        <v>68688</v>
      </c>
      <c r="EE46" s="88">
        <v>1950</v>
      </c>
      <c r="EF46" s="125">
        <v>32316</v>
      </c>
      <c r="EG46" s="103">
        <v>35148</v>
      </c>
      <c r="EH46" s="98">
        <v>37008</v>
      </c>
      <c r="EI46" s="103">
        <v>38556</v>
      </c>
      <c r="EJ46" s="103">
        <v>40536</v>
      </c>
      <c r="EK46" s="103">
        <v>41976</v>
      </c>
      <c r="EL46" s="103">
        <v>42900</v>
      </c>
      <c r="EM46" s="111">
        <v>46284</v>
      </c>
      <c r="EN46" s="103">
        <v>48840</v>
      </c>
      <c r="EO46" s="108">
        <v>50400</v>
      </c>
      <c r="EP46" s="81">
        <v>51900</v>
      </c>
      <c r="EQ46" s="81">
        <v>53340</v>
      </c>
      <c r="ER46" s="81">
        <v>55308</v>
      </c>
      <c r="ES46" s="81">
        <v>55680</v>
      </c>
      <c r="ET46" s="81">
        <v>56580</v>
      </c>
      <c r="EU46" s="81">
        <v>58128</v>
      </c>
      <c r="EV46" s="81">
        <v>59760</v>
      </c>
      <c r="EW46" s="81">
        <v>61920</v>
      </c>
      <c r="EX46" s="81">
        <v>63660</v>
      </c>
      <c r="EY46" s="81">
        <v>65580</v>
      </c>
      <c r="EZ46" s="81">
        <v>67512</v>
      </c>
      <c r="FA46" s="81">
        <v>68352</v>
      </c>
      <c r="FB46" s="86">
        <v>68688</v>
      </c>
    </row>
    <row r="47" spans="1:158" ht="15.75" x14ac:dyDescent="0.25">
      <c r="B47" s="73"/>
      <c r="C47" s="73"/>
      <c r="D47" s="215">
        <f t="shared" si="0"/>
        <v>42</v>
      </c>
      <c r="E47" s="216">
        <f>[1]!PBGCLRF(65+D47/12)</f>
        <v>1.415</v>
      </c>
      <c r="F47" s="73"/>
      <c r="G47" s="73"/>
      <c r="H47" s="73"/>
      <c r="I47" s="73"/>
      <c r="J47" s="48">
        <v>43</v>
      </c>
      <c r="K47" s="49">
        <v>0.78500000000000003</v>
      </c>
      <c r="L47" s="73"/>
      <c r="M47" s="155">
        <v>43</v>
      </c>
      <c r="N47" s="49">
        <v>1.5519000000000001</v>
      </c>
      <c r="O47" s="73"/>
      <c r="P47" s="73"/>
      <c r="Q47" s="73"/>
      <c r="R47" s="155">
        <v>0.50519999999999998</v>
      </c>
      <c r="S47" s="159">
        <v>0.50619999999999998</v>
      </c>
      <c r="T47" s="159">
        <v>0.50719999999999998</v>
      </c>
      <c r="U47" s="159">
        <v>0.50829999999999997</v>
      </c>
      <c r="V47" s="159">
        <v>0.50949999999999995</v>
      </c>
      <c r="W47" s="159">
        <v>0.51070000000000004</v>
      </c>
      <c r="X47" s="159">
        <v>0.51190000000000002</v>
      </c>
      <c r="Y47" s="159">
        <v>0.51329999999999998</v>
      </c>
      <c r="Z47" s="159">
        <v>0.51470000000000005</v>
      </c>
      <c r="AA47" s="159">
        <v>0.5161</v>
      </c>
      <c r="AB47" s="159">
        <v>0.51770000000000005</v>
      </c>
      <c r="AC47" s="159">
        <v>0.51929999999999998</v>
      </c>
      <c r="AD47" s="159">
        <v>0.52090000000000003</v>
      </c>
      <c r="AE47" s="159">
        <v>0.52270000000000005</v>
      </c>
      <c r="AF47" s="159">
        <v>0.52449999999999997</v>
      </c>
      <c r="AG47" s="159">
        <v>0.52639999999999998</v>
      </c>
      <c r="AH47" s="159">
        <v>0.52800000000000002</v>
      </c>
      <c r="AI47" s="159">
        <v>0.52969999999999995</v>
      </c>
      <c r="AJ47" s="159">
        <v>0.53149999999999997</v>
      </c>
      <c r="AK47" s="159">
        <v>0.53339999999999999</v>
      </c>
      <c r="AL47" s="159">
        <v>0.53549999999999998</v>
      </c>
      <c r="AM47" s="159">
        <v>0.53769999999999996</v>
      </c>
      <c r="AN47" s="159">
        <v>0.54</v>
      </c>
      <c r="AO47" s="159">
        <v>0.54249999999999998</v>
      </c>
      <c r="AP47" s="159">
        <v>0.54510000000000003</v>
      </c>
      <c r="AQ47" s="159">
        <v>0.54790000000000005</v>
      </c>
      <c r="AR47" s="159">
        <v>0.55079999999999996</v>
      </c>
      <c r="AS47" s="159">
        <v>0.55389999999999995</v>
      </c>
      <c r="AT47" s="159">
        <v>0.55720000000000003</v>
      </c>
      <c r="AU47" s="159">
        <v>0.56069999999999998</v>
      </c>
      <c r="AV47" s="159">
        <v>0.56440000000000001</v>
      </c>
      <c r="AW47" s="159">
        <v>0.56820000000000004</v>
      </c>
      <c r="AX47" s="159">
        <v>0.57230000000000003</v>
      </c>
      <c r="AY47" s="159">
        <v>0.5766</v>
      </c>
      <c r="AZ47" s="159">
        <v>0.58109999999999995</v>
      </c>
      <c r="BA47" s="159">
        <v>0.58589999999999998</v>
      </c>
      <c r="BB47" s="159">
        <v>0.59089999999999998</v>
      </c>
      <c r="BC47" s="159">
        <v>0.59609999999999996</v>
      </c>
      <c r="BD47" s="159">
        <v>0.60160000000000002</v>
      </c>
      <c r="BE47" s="159">
        <v>0.60729999999999995</v>
      </c>
      <c r="BF47" s="159">
        <v>0.61329999999999996</v>
      </c>
      <c r="BG47" s="159">
        <v>0.61960000000000004</v>
      </c>
      <c r="BH47" s="159">
        <v>0.62619999999999998</v>
      </c>
      <c r="BI47" s="159">
        <v>0.6331</v>
      </c>
      <c r="BJ47" s="159">
        <v>0.64029999999999998</v>
      </c>
      <c r="BK47" s="159">
        <v>0.64780000000000004</v>
      </c>
      <c r="BL47" s="159">
        <v>0.65559999999999996</v>
      </c>
      <c r="BM47" s="159">
        <v>0.66369999999999996</v>
      </c>
      <c r="BN47" s="159">
        <v>0.67220000000000002</v>
      </c>
      <c r="BO47" s="159">
        <v>0.68100000000000005</v>
      </c>
      <c r="BP47" s="159">
        <v>0.69010000000000005</v>
      </c>
      <c r="BQ47" s="159">
        <v>0.6996</v>
      </c>
      <c r="BR47" s="159">
        <v>0.70940000000000003</v>
      </c>
      <c r="BS47" s="159">
        <v>0.71950000000000003</v>
      </c>
      <c r="BT47" s="159">
        <v>0.73</v>
      </c>
      <c r="BU47" s="159">
        <v>0.74080000000000001</v>
      </c>
      <c r="BV47" s="159">
        <v>0.752</v>
      </c>
      <c r="BW47" s="159">
        <v>0.76349999999999996</v>
      </c>
      <c r="BX47" s="159">
        <v>0.77529999999999999</v>
      </c>
      <c r="BY47" s="159">
        <v>0.78739999999999999</v>
      </c>
      <c r="BZ47" s="159">
        <v>0.79979999999999996</v>
      </c>
      <c r="CA47" s="159">
        <v>0.8125</v>
      </c>
      <c r="CB47" s="159">
        <v>0.82530000000000003</v>
      </c>
      <c r="CC47" s="159">
        <v>0.83840000000000003</v>
      </c>
      <c r="CD47" s="159">
        <v>0.85150000000000003</v>
      </c>
      <c r="CE47" s="159">
        <v>0.86480000000000001</v>
      </c>
      <c r="CF47" s="159">
        <v>0.87809999999999999</v>
      </c>
      <c r="CG47" s="159">
        <v>0.89149999999999996</v>
      </c>
      <c r="CH47" s="159">
        <v>0.90490000000000004</v>
      </c>
      <c r="CI47" s="159">
        <v>0.91820000000000002</v>
      </c>
      <c r="CJ47" s="159">
        <v>0.93159999999999998</v>
      </c>
      <c r="CK47" s="159">
        <v>0.94489999999999996</v>
      </c>
      <c r="CL47" s="159">
        <v>0.95799999999999996</v>
      </c>
      <c r="CM47" s="159">
        <v>0.97089999999999999</v>
      </c>
      <c r="CN47" s="49">
        <v>0.98350000000000004</v>
      </c>
      <c r="CO47" s="73"/>
      <c r="CP47" s="37" t="s">
        <v>415</v>
      </c>
      <c r="CQ47" s="37" t="s">
        <v>168</v>
      </c>
      <c r="DB47" t="s">
        <v>34</v>
      </c>
      <c r="DC47" t="s">
        <v>202</v>
      </c>
      <c r="DE47" s="55">
        <v>333139</v>
      </c>
      <c r="DG47" s="42" t="s">
        <v>203</v>
      </c>
      <c r="DH47" s="42" t="s">
        <v>204</v>
      </c>
      <c r="DI47" s="42" t="s">
        <v>203</v>
      </c>
      <c r="DJ47" s="42" t="s">
        <v>204</v>
      </c>
      <c r="DN47" s="80">
        <v>1951</v>
      </c>
      <c r="DO47" s="84">
        <v>51000</v>
      </c>
      <c r="DP47" s="81">
        <v>52560</v>
      </c>
      <c r="DQ47" s="81">
        <v>54060</v>
      </c>
      <c r="DR47" s="81">
        <v>56112</v>
      </c>
      <c r="DS47" s="81">
        <v>56508</v>
      </c>
      <c r="DT47" s="81">
        <v>57444</v>
      </c>
      <c r="DU47" s="81">
        <v>59064</v>
      </c>
      <c r="DV47" s="81">
        <v>60780</v>
      </c>
      <c r="DW47" s="81">
        <v>63060</v>
      </c>
      <c r="DX47" s="81">
        <v>64920</v>
      </c>
      <c r="DY47" s="81">
        <v>66960</v>
      </c>
      <c r="DZ47" s="81">
        <v>69012</v>
      </c>
      <c r="EA47" s="81">
        <v>69912</v>
      </c>
      <c r="EB47" s="86">
        <v>70272</v>
      </c>
      <c r="EE47" s="88">
        <v>1951</v>
      </c>
      <c r="EF47" s="125">
        <v>32316</v>
      </c>
      <c r="EG47" s="103">
        <v>35424</v>
      </c>
      <c r="EH47" s="98">
        <v>37344</v>
      </c>
      <c r="EI47" s="103">
        <v>38940</v>
      </c>
      <c r="EJ47" s="103">
        <v>41004</v>
      </c>
      <c r="EK47" s="103">
        <v>42492</v>
      </c>
      <c r="EL47" s="103">
        <v>43452</v>
      </c>
      <c r="EM47" s="111">
        <v>46740</v>
      </c>
      <c r="EN47" s="103">
        <v>49380</v>
      </c>
      <c r="EO47" s="108">
        <v>51000</v>
      </c>
      <c r="EP47" s="81">
        <v>52560</v>
      </c>
      <c r="EQ47" s="81">
        <v>54060</v>
      </c>
      <c r="ER47" s="81">
        <v>56112</v>
      </c>
      <c r="ES47" s="81">
        <v>56508</v>
      </c>
      <c r="ET47" s="81">
        <v>57444</v>
      </c>
      <c r="EU47" s="81">
        <v>59064</v>
      </c>
      <c r="EV47" s="81">
        <v>60780</v>
      </c>
      <c r="EW47" s="81">
        <v>63060</v>
      </c>
      <c r="EX47" s="81">
        <v>64920</v>
      </c>
      <c r="EY47" s="81">
        <v>66960</v>
      </c>
      <c r="EZ47" s="81">
        <v>69012</v>
      </c>
      <c r="FA47" s="81">
        <v>69912</v>
      </c>
      <c r="FB47" s="86">
        <v>70272</v>
      </c>
    </row>
    <row r="48" spans="1:158" ht="15.75" x14ac:dyDescent="0.25">
      <c r="B48" s="73"/>
      <c r="C48" s="73"/>
      <c r="D48" s="215">
        <f t="shared" si="0"/>
        <v>43</v>
      </c>
      <c r="E48" s="216">
        <f>[1]!PBGCLRF(65+D48/12)</f>
        <v>1.4275</v>
      </c>
      <c r="F48" s="73"/>
      <c r="G48" s="73"/>
      <c r="H48" s="73"/>
      <c r="I48" s="73"/>
      <c r="J48" s="48">
        <v>44</v>
      </c>
      <c r="K48" s="49">
        <v>0.78</v>
      </c>
      <c r="L48" s="73"/>
      <c r="M48" s="155">
        <v>44</v>
      </c>
      <c r="N48" s="49">
        <v>1.5684</v>
      </c>
      <c r="O48" s="73"/>
      <c r="P48" s="73"/>
      <c r="Q48" s="73"/>
      <c r="R48" s="155">
        <v>0.49559999999999998</v>
      </c>
      <c r="S48" s="159">
        <v>0.49659999999999999</v>
      </c>
      <c r="T48" s="159">
        <v>0.49769999999999998</v>
      </c>
      <c r="U48" s="159">
        <v>0.49880000000000002</v>
      </c>
      <c r="V48" s="159">
        <v>0.49990000000000001</v>
      </c>
      <c r="W48" s="159">
        <v>0.50109999999999999</v>
      </c>
      <c r="X48" s="159">
        <v>0.50229999999999997</v>
      </c>
      <c r="Y48" s="159">
        <v>0.50370000000000004</v>
      </c>
      <c r="Z48" s="159">
        <v>0.505</v>
      </c>
      <c r="AA48" s="159">
        <v>0.50649999999999995</v>
      </c>
      <c r="AB48" s="159">
        <v>0.50800000000000001</v>
      </c>
      <c r="AC48" s="159">
        <v>0.50960000000000005</v>
      </c>
      <c r="AD48" s="159">
        <v>0.51119999999999999</v>
      </c>
      <c r="AE48" s="159">
        <v>0.51290000000000002</v>
      </c>
      <c r="AF48" s="159">
        <v>0.51470000000000005</v>
      </c>
      <c r="AG48" s="159">
        <v>0.51659999999999995</v>
      </c>
      <c r="AH48" s="159">
        <v>0.51819999999999999</v>
      </c>
      <c r="AI48" s="159">
        <v>0.51990000000000003</v>
      </c>
      <c r="AJ48" s="159">
        <v>0.52159999999999995</v>
      </c>
      <c r="AK48" s="159">
        <v>0.52349999999999997</v>
      </c>
      <c r="AL48" s="159">
        <v>0.52549999999999997</v>
      </c>
      <c r="AM48" s="159">
        <v>0.52769999999999995</v>
      </c>
      <c r="AN48" s="159">
        <v>0.53</v>
      </c>
      <c r="AO48" s="159">
        <v>0.53239999999999998</v>
      </c>
      <c r="AP48" s="159">
        <v>0.53500000000000003</v>
      </c>
      <c r="AQ48" s="159">
        <v>0.53769999999999996</v>
      </c>
      <c r="AR48" s="159">
        <v>0.54059999999999997</v>
      </c>
      <c r="AS48" s="159">
        <v>0.54369999999999996</v>
      </c>
      <c r="AT48" s="159">
        <v>0.54690000000000005</v>
      </c>
      <c r="AU48" s="159">
        <v>0.5504</v>
      </c>
      <c r="AV48" s="159">
        <v>0.55400000000000005</v>
      </c>
      <c r="AW48" s="159">
        <v>0.55779999999999996</v>
      </c>
      <c r="AX48" s="159">
        <v>0.56179999999999997</v>
      </c>
      <c r="AY48" s="159">
        <v>0.56610000000000005</v>
      </c>
      <c r="AZ48" s="159">
        <v>0.5706</v>
      </c>
      <c r="BA48" s="159">
        <v>0.57530000000000003</v>
      </c>
      <c r="BB48" s="159">
        <v>0.58020000000000005</v>
      </c>
      <c r="BC48" s="159">
        <v>0.58540000000000003</v>
      </c>
      <c r="BD48" s="159">
        <v>0.59079999999999999</v>
      </c>
      <c r="BE48" s="159">
        <v>0.59650000000000003</v>
      </c>
      <c r="BF48" s="159">
        <v>0.60250000000000004</v>
      </c>
      <c r="BG48" s="159">
        <v>0.60880000000000001</v>
      </c>
      <c r="BH48" s="159">
        <v>0.61529999999999996</v>
      </c>
      <c r="BI48" s="159">
        <v>0.62219999999999998</v>
      </c>
      <c r="BJ48" s="159">
        <v>0.62929999999999997</v>
      </c>
      <c r="BK48" s="159">
        <v>0.63680000000000003</v>
      </c>
      <c r="BL48" s="159">
        <v>0.64470000000000005</v>
      </c>
      <c r="BM48" s="159">
        <v>0.65280000000000005</v>
      </c>
      <c r="BN48" s="159">
        <v>0.6613</v>
      </c>
      <c r="BO48" s="159">
        <v>0.67010000000000003</v>
      </c>
      <c r="BP48" s="159">
        <v>0.67930000000000001</v>
      </c>
      <c r="BQ48" s="159">
        <v>0.68879999999999997</v>
      </c>
      <c r="BR48" s="159">
        <v>0.69869999999999999</v>
      </c>
      <c r="BS48" s="159">
        <v>0.70899999999999996</v>
      </c>
      <c r="BT48" s="159">
        <v>0.71960000000000002</v>
      </c>
      <c r="BU48" s="159">
        <v>0.73060000000000003</v>
      </c>
      <c r="BV48" s="159">
        <v>0.7419</v>
      </c>
      <c r="BW48" s="159">
        <v>0.75360000000000005</v>
      </c>
      <c r="BX48" s="159">
        <v>0.76570000000000005</v>
      </c>
      <c r="BY48" s="159">
        <v>0.77810000000000001</v>
      </c>
      <c r="BZ48" s="159">
        <v>0.79079999999999995</v>
      </c>
      <c r="CA48" s="159">
        <v>0.80379999999999996</v>
      </c>
      <c r="CB48" s="159">
        <v>0.81710000000000005</v>
      </c>
      <c r="CC48" s="159">
        <v>0.83050000000000002</v>
      </c>
      <c r="CD48" s="159">
        <v>0.84419999999999995</v>
      </c>
      <c r="CE48" s="159">
        <v>0.85799999999999998</v>
      </c>
      <c r="CF48" s="159">
        <v>0.87190000000000001</v>
      </c>
      <c r="CG48" s="159">
        <v>0.88590000000000002</v>
      </c>
      <c r="CH48" s="159">
        <v>0.89990000000000003</v>
      </c>
      <c r="CI48" s="159">
        <v>0.91400000000000003</v>
      </c>
      <c r="CJ48" s="159">
        <v>0.92810000000000004</v>
      </c>
      <c r="CK48" s="159">
        <v>0.94220000000000004</v>
      </c>
      <c r="CL48" s="159">
        <v>0.95620000000000005</v>
      </c>
      <c r="CM48" s="159">
        <v>0.97</v>
      </c>
      <c r="CN48" s="49">
        <v>0.98350000000000004</v>
      </c>
      <c r="CO48" s="73"/>
      <c r="CP48">
        <v>0.05</v>
      </c>
      <c r="CQ48">
        <v>999</v>
      </c>
      <c r="DB48" t="s">
        <v>205</v>
      </c>
      <c r="DC48" t="s">
        <v>206</v>
      </c>
      <c r="DE48" s="55">
        <f>DE46-DE47</f>
        <v>-333139</v>
      </c>
      <c r="DF48" t="s">
        <v>405</v>
      </c>
      <c r="DG48" s="62"/>
      <c r="DH48" s="62"/>
      <c r="DI48" s="63"/>
      <c r="DJ48" s="63"/>
      <c r="DN48" s="80">
        <v>1952</v>
      </c>
      <c r="DO48" s="84">
        <v>51504</v>
      </c>
      <c r="DP48" s="81">
        <v>53124</v>
      </c>
      <c r="DQ48" s="81">
        <v>54684</v>
      </c>
      <c r="DR48" s="81">
        <v>56820</v>
      </c>
      <c r="DS48" s="81">
        <v>57240</v>
      </c>
      <c r="DT48" s="81">
        <v>58224</v>
      </c>
      <c r="DU48" s="81">
        <v>59916</v>
      </c>
      <c r="DV48" s="81">
        <v>61716</v>
      </c>
      <c r="DW48" s="81">
        <v>64116</v>
      </c>
      <c r="DX48" s="81">
        <v>66072</v>
      </c>
      <c r="DY48" s="81">
        <v>68232</v>
      </c>
      <c r="DZ48" s="81">
        <v>70416</v>
      </c>
      <c r="EA48" s="81">
        <v>71376</v>
      </c>
      <c r="EB48" s="86">
        <v>71760</v>
      </c>
      <c r="EE48" s="88">
        <v>1952</v>
      </c>
      <c r="EF48" s="125">
        <v>32400</v>
      </c>
      <c r="EG48" s="103">
        <v>35604</v>
      </c>
      <c r="EH48" s="98">
        <v>37584</v>
      </c>
      <c r="EI48" s="103">
        <v>39228</v>
      </c>
      <c r="EJ48" s="103">
        <v>41352</v>
      </c>
      <c r="EK48" s="103">
        <v>42900</v>
      </c>
      <c r="EL48" s="103">
        <v>43884</v>
      </c>
      <c r="EM48" s="111">
        <v>47088</v>
      </c>
      <c r="EN48" s="103">
        <v>49824</v>
      </c>
      <c r="EO48" s="108">
        <v>51504</v>
      </c>
      <c r="EP48" s="81">
        <v>53124</v>
      </c>
      <c r="EQ48" s="81">
        <v>54684</v>
      </c>
      <c r="ER48" s="81">
        <v>56820</v>
      </c>
      <c r="ES48" s="81">
        <v>57240</v>
      </c>
      <c r="ET48" s="81">
        <v>58224</v>
      </c>
      <c r="EU48" s="81">
        <v>59916</v>
      </c>
      <c r="EV48" s="81">
        <v>61716</v>
      </c>
      <c r="EW48" s="81">
        <v>64116</v>
      </c>
      <c r="EX48" s="81">
        <v>66072</v>
      </c>
      <c r="EY48" s="81">
        <v>68232</v>
      </c>
      <c r="EZ48" s="81">
        <v>70416</v>
      </c>
      <c r="FA48" s="81">
        <v>71376</v>
      </c>
      <c r="FB48" s="86">
        <v>71760</v>
      </c>
    </row>
    <row r="49" spans="2:158" ht="15.75" x14ac:dyDescent="0.25">
      <c r="B49" s="73"/>
      <c r="C49" s="73"/>
      <c r="D49" s="215">
        <f t="shared" si="0"/>
        <v>44</v>
      </c>
      <c r="E49" s="216">
        <f>[1]!PBGCLRF(65+D49/12)</f>
        <v>1.44</v>
      </c>
      <c r="F49" s="73"/>
      <c r="G49" s="73"/>
      <c r="H49" s="73"/>
      <c r="I49" s="73"/>
      <c r="J49" s="48">
        <v>45</v>
      </c>
      <c r="K49" s="49">
        <v>0.77500000000000002</v>
      </c>
      <c r="L49" s="73"/>
      <c r="M49" s="155">
        <v>45</v>
      </c>
      <c r="N49" s="49">
        <v>1.5851</v>
      </c>
      <c r="O49" s="73"/>
      <c r="P49" s="73"/>
      <c r="Q49" s="73"/>
      <c r="R49" s="155">
        <v>0.48649999999999999</v>
      </c>
      <c r="S49" s="159">
        <v>0.48749999999999999</v>
      </c>
      <c r="T49" s="159">
        <v>0.48849999999999999</v>
      </c>
      <c r="U49" s="159">
        <v>0.48959999999999998</v>
      </c>
      <c r="V49" s="159">
        <v>0.49070000000000003</v>
      </c>
      <c r="W49" s="159">
        <v>0.4919</v>
      </c>
      <c r="X49" s="159">
        <v>0.49309999999999998</v>
      </c>
      <c r="Y49" s="159">
        <v>0.49440000000000001</v>
      </c>
      <c r="Z49" s="159">
        <v>0.49580000000000002</v>
      </c>
      <c r="AA49" s="159">
        <v>0.49719999999999998</v>
      </c>
      <c r="AB49" s="159">
        <v>0.49869999999999998</v>
      </c>
      <c r="AC49" s="159">
        <v>0.50019999999999998</v>
      </c>
      <c r="AD49" s="159">
        <v>0.50190000000000001</v>
      </c>
      <c r="AE49" s="159">
        <v>0.50360000000000005</v>
      </c>
      <c r="AF49" s="159">
        <v>0.50539999999999996</v>
      </c>
      <c r="AG49" s="159">
        <v>0.50719999999999998</v>
      </c>
      <c r="AH49" s="159">
        <v>0.50880000000000003</v>
      </c>
      <c r="AI49" s="159">
        <v>0.51039999999999996</v>
      </c>
      <c r="AJ49" s="159">
        <v>0.5121</v>
      </c>
      <c r="AK49" s="159">
        <v>0.51400000000000001</v>
      </c>
      <c r="AL49" s="159">
        <v>0.51600000000000001</v>
      </c>
      <c r="AM49" s="159">
        <v>0.5181</v>
      </c>
      <c r="AN49" s="159">
        <v>0.52029999999999998</v>
      </c>
      <c r="AO49" s="159">
        <v>0.52270000000000005</v>
      </c>
      <c r="AP49" s="159">
        <v>0.5252</v>
      </c>
      <c r="AQ49" s="159">
        <v>0.52790000000000004</v>
      </c>
      <c r="AR49" s="159">
        <v>0.53080000000000005</v>
      </c>
      <c r="AS49" s="159">
        <v>0.53380000000000005</v>
      </c>
      <c r="AT49" s="159">
        <v>0.53700000000000003</v>
      </c>
      <c r="AU49" s="159">
        <v>0.54039999999999999</v>
      </c>
      <c r="AV49" s="159">
        <v>0.54400000000000004</v>
      </c>
      <c r="AW49" s="159">
        <v>0.54779999999999995</v>
      </c>
      <c r="AX49" s="159">
        <v>0.55179999999999996</v>
      </c>
      <c r="AY49" s="159">
        <v>0.55600000000000005</v>
      </c>
      <c r="AZ49" s="159">
        <v>0.56040000000000001</v>
      </c>
      <c r="BA49" s="159">
        <v>0.56510000000000005</v>
      </c>
      <c r="BB49" s="159">
        <v>0.56989999999999996</v>
      </c>
      <c r="BC49" s="159">
        <v>0.57509999999999994</v>
      </c>
      <c r="BD49" s="159">
        <v>0.58050000000000002</v>
      </c>
      <c r="BE49" s="159">
        <v>0.58609999999999995</v>
      </c>
      <c r="BF49" s="159">
        <v>0.59209999999999996</v>
      </c>
      <c r="BG49" s="159">
        <v>0.59830000000000005</v>
      </c>
      <c r="BH49" s="159">
        <v>0.6048</v>
      </c>
      <c r="BI49" s="159">
        <v>0.61160000000000003</v>
      </c>
      <c r="BJ49" s="159">
        <v>0.61880000000000002</v>
      </c>
      <c r="BK49" s="159">
        <v>0.62629999999999997</v>
      </c>
      <c r="BL49" s="159">
        <v>0.6341</v>
      </c>
      <c r="BM49" s="159">
        <v>0.64219999999999999</v>
      </c>
      <c r="BN49" s="159">
        <v>0.65069999999999995</v>
      </c>
      <c r="BO49" s="159">
        <v>0.65959999999999996</v>
      </c>
      <c r="BP49" s="159">
        <v>0.66879999999999995</v>
      </c>
      <c r="BQ49" s="159">
        <v>0.6784</v>
      </c>
      <c r="BR49" s="159">
        <v>0.68830000000000002</v>
      </c>
      <c r="BS49" s="159">
        <v>0.69869999999999999</v>
      </c>
      <c r="BT49" s="159">
        <v>0.70940000000000003</v>
      </c>
      <c r="BU49" s="159">
        <v>0.72050000000000003</v>
      </c>
      <c r="BV49" s="159">
        <v>0.73209999999999997</v>
      </c>
      <c r="BW49" s="159">
        <v>0.74399999999999999</v>
      </c>
      <c r="BX49" s="159">
        <v>0.75629999999999997</v>
      </c>
      <c r="BY49" s="159">
        <v>0.76890000000000003</v>
      </c>
      <c r="BZ49" s="159">
        <v>0.78190000000000004</v>
      </c>
      <c r="CA49" s="159">
        <v>0.79530000000000001</v>
      </c>
      <c r="CB49" s="159">
        <v>0.80889999999999995</v>
      </c>
      <c r="CC49" s="159">
        <v>0.82289999999999996</v>
      </c>
      <c r="CD49" s="159">
        <v>0.83699999999999997</v>
      </c>
      <c r="CE49" s="159">
        <v>0.85129999999999995</v>
      </c>
      <c r="CF49" s="159">
        <v>0.86580000000000001</v>
      </c>
      <c r="CG49" s="159">
        <v>0.88039999999999996</v>
      </c>
      <c r="CH49" s="159">
        <v>0.89510000000000001</v>
      </c>
      <c r="CI49" s="159">
        <v>0.90990000000000004</v>
      </c>
      <c r="CJ49" s="159">
        <v>0.92479999999999996</v>
      </c>
      <c r="CK49" s="159">
        <v>0.93969999999999998</v>
      </c>
      <c r="CL49" s="159">
        <v>0.9546</v>
      </c>
      <c r="CM49" s="159">
        <v>0.96930000000000005</v>
      </c>
      <c r="CN49" s="49">
        <v>0.98380000000000001</v>
      </c>
      <c r="CO49" s="73"/>
      <c r="DB49" t="s">
        <v>207</v>
      </c>
      <c r="DC49" t="s">
        <v>190</v>
      </c>
      <c r="DE49" s="55">
        <f>SUM(DH14:DH19)</f>
        <v>0</v>
      </c>
      <c r="DF49" t="s">
        <v>457</v>
      </c>
      <c r="DG49" s="62"/>
      <c r="DH49" s="62"/>
      <c r="DI49" s="63"/>
      <c r="DJ49" s="63"/>
      <c r="DN49" s="80">
        <v>1953</v>
      </c>
      <c r="DO49" s="84">
        <v>51948</v>
      </c>
      <c r="DP49" s="81">
        <v>53628</v>
      </c>
      <c r="DQ49" s="81">
        <v>55248</v>
      </c>
      <c r="DR49" s="81">
        <v>57480</v>
      </c>
      <c r="DS49" s="81">
        <v>57900</v>
      </c>
      <c r="DT49" s="81">
        <v>58932</v>
      </c>
      <c r="DU49" s="81">
        <v>60708</v>
      </c>
      <c r="DV49" s="81">
        <v>62592</v>
      </c>
      <c r="DW49" s="81">
        <v>65112</v>
      </c>
      <c r="DX49" s="81">
        <v>67164</v>
      </c>
      <c r="DY49" s="81">
        <v>69444</v>
      </c>
      <c r="DZ49" s="81">
        <v>71760</v>
      </c>
      <c r="EA49" s="81">
        <v>72780</v>
      </c>
      <c r="EB49" s="86">
        <v>73200</v>
      </c>
      <c r="EE49" s="88">
        <v>1953</v>
      </c>
      <c r="EF49" s="125">
        <v>32400</v>
      </c>
      <c r="EG49" s="103">
        <v>35700</v>
      </c>
      <c r="EH49" s="98">
        <v>37740</v>
      </c>
      <c r="EI49" s="103">
        <v>39432</v>
      </c>
      <c r="EJ49" s="103">
        <v>41628</v>
      </c>
      <c r="EK49" s="103">
        <v>43224</v>
      </c>
      <c r="EL49" s="103">
        <v>44244</v>
      </c>
      <c r="EM49" s="111">
        <v>47376</v>
      </c>
      <c r="EN49" s="103">
        <v>50208</v>
      </c>
      <c r="EO49" s="108">
        <v>51948</v>
      </c>
      <c r="EP49" s="81">
        <v>53628</v>
      </c>
      <c r="EQ49" s="81">
        <v>55248</v>
      </c>
      <c r="ER49" s="81">
        <v>57480</v>
      </c>
      <c r="ES49" s="81">
        <v>57900</v>
      </c>
      <c r="ET49" s="81">
        <v>58932</v>
      </c>
      <c r="EU49" s="81">
        <v>60708</v>
      </c>
      <c r="EV49" s="81">
        <v>62592</v>
      </c>
      <c r="EW49" s="81">
        <v>65112</v>
      </c>
      <c r="EX49" s="81">
        <v>67164</v>
      </c>
      <c r="EY49" s="81">
        <v>69444</v>
      </c>
      <c r="EZ49" s="81">
        <v>71760</v>
      </c>
      <c r="FA49" s="81">
        <v>72780</v>
      </c>
      <c r="FB49" s="86">
        <v>73200</v>
      </c>
    </row>
    <row r="50" spans="2:158" ht="15.75" x14ac:dyDescent="0.25">
      <c r="B50" s="73"/>
      <c r="C50" s="73"/>
      <c r="D50" s="215">
        <f t="shared" si="0"/>
        <v>45</v>
      </c>
      <c r="E50" s="216">
        <f>[1]!PBGCLRF(65+D50/12)</f>
        <v>1.4524999999999999</v>
      </c>
      <c r="F50" s="73"/>
      <c r="G50" s="73"/>
      <c r="H50" s="73"/>
      <c r="I50" s="73"/>
      <c r="J50" s="48">
        <v>46</v>
      </c>
      <c r="K50" s="49">
        <v>0.77</v>
      </c>
      <c r="L50" s="73"/>
      <c r="M50" s="155">
        <v>46</v>
      </c>
      <c r="N50" s="49">
        <v>1.6019000000000001</v>
      </c>
      <c r="O50" s="73"/>
      <c r="P50" s="73"/>
      <c r="Q50" s="73"/>
      <c r="R50" s="155">
        <v>0.4778</v>
      </c>
      <c r="S50" s="159">
        <v>0.4788</v>
      </c>
      <c r="T50" s="159">
        <v>0.4798</v>
      </c>
      <c r="U50" s="159">
        <v>0.48080000000000001</v>
      </c>
      <c r="V50" s="159">
        <v>0.4819</v>
      </c>
      <c r="W50" s="159">
        <v>0.48309999999999997</v>
      </c>
      <c r="X50" s="159">
        <v>0.48430000000000001</v>
      </c>
      <c r="Y50" s="159">
        <v>0.48559999999999998</v>
      </c>
      <c r="Z50" s="159">
        <v>0.4869</v>
      </c>
      <c r="AA50" s="159">
        <v>0.48830000000000001</v>
      </c>
      <c r="AB50" s="159">
        <v>0.48980000000000001</v>
      </c>
      <c r="AC50" s="159">
        <v>0.49130000000000001</v>
      </c>
      <c r="AD50" s="159">
        <v>0.4929</v>
      </c>
      <c r="AE50" s="159">
        <v>0.49459999999999998</v>
      </c>
      <c r="AF50" s="159">
        <v>0.49640000000000001</v>
      </c>
      <c r="AG50" s="159">
        <v>0.49819999999999998</v>
      </c>
      <c r="AH50" s="159">
        <v>0.49969999999999998</v>
      </c>
      <c r="AI50" s="159">
        <v>0.50129999999999997</v>
      </c>
      <c r="AJ50" s="159">
        <v>0.50309999999999999</v>
      </c>
      <c r="AK50" s="159">
        <v>0.50490000000000002</v>
      </c>
      <c r="AL50" s="159">
        <v>0.50680000000000003</v>
      </c>
      <c r="AM50" s="159">
        <v>0.50890000000000002</v>
      </c>
      <c r="AN50" s="159">
        <v>0.5111</v>
      </c>
      <c r="AO50" s="159">
        <v>0.51339999999999997</v>
      </c>
      <c r="AP50" s="159">
        <v>0.51590000000000003</v>
      </c>
      <c r="AQ50" s="159">
        <v>0.51859999999999995</v>
      </c>
      <c r="AR50" s="159">
        <v>0.52139999999999997</v>
      </c>
      <c r="AS50" s="159">
        <v>0.52439999999999998</v>
      </c>
      <c r="AT50" s="159">
        <v>0.52759999999999996</v>
      </c>
      <c r="AU50" s="159">
        <v>0.53090000000000004</v>
      </c>
      <c r="AV50" s="159">
        <v>0.53449999999999998</v>
      </c>
      <c r="AW50" s="159">
        <v>0.53820000000000001</v>
      </c>
      <c r="AX50" s="159">
        <v>0.54210000000000003</v>
      </c>
      <c r="AY50" s="159">
        <v>0.54630000000000001</v>
      </c>
      <c r="AZ50" s="159">
        <v>0.55069999999999997</v>
      </c>
      <c r="BA50" s="159">
        <v>0.55530000000000002</v>
      </c>
      <c r="BB50" s="159">
        <v>0.56010000000000004</v>
      </c>
      <c r="BC50" s="159">
        <v>0.56520000000000004</v>
      </c>
      <c r="BD50" s="159">
        <v>0.57050000000000001</v>
      </c>
      <c r="BE50" s="159">
        <v>0.57620000000000005</v>
      </c>
      <c r="BF50" s="159">
        <v>0.58209999999999995</v>
      </c>
      <c r="BG50" s="159">
        <v>0.58830000000000005</v>
      </c>
      <c r="BH50" s="159">
        <v>0.59470000000000001</v>
      </c>
      <c r="BI50" s="159">
        <v>0.60150000000000003</v>
      </c>
      <c r="BJ50" s="159">
        <v>0.60870000000000002</v>
      </c>
      <c r="BK50" s="159">
        <v>0.61609999999999998</v>
      </c>
      <c r="BL50" s="159">
        <v>0.62390000000000001</v>
      </c>
      <c r="BM50" s="159">
        <v>0.6321</v>
      </c>
      <c r="BN50" s="159">
        <v>0.64059999999999995</v>
      </c>
      <c r="BO50" s="159">
        <v>0.64939999999999998</v>
      </c>
      <c r="BP50" s="159">
        <v>0.65869999999999995</v>
      </c>
      <c r="BQ50" s="159">
        <v>0.66830000000000001</v>
      </c>
      <c r="BR50" s="159">
        <v>0.67830000000000001</v>
      </c>
      <c r="BS50" s="159">
        <v>0.68879999999999997</v>
      </c>
      <c r="BT50" s="159">
        <v>0.6996</v>
      </c>
      <c r="BU50" s="159">
        <v>0.71079999999999999</v>
      </c>
      <c r="BV50" s="159">
        <v>0.72250000000000003</v>
      </c>
      <c r="BW50" s="159">
        <v>0.73460000000000003</v>
      </c>
      <c r="BX50" s="159">
        <v>0.74709999999999999</v>
      </c>
      <c r="BY50" s="159">
        <v>0.76</v>
      </c>
      <c r="BZ50" s="159">
        <v>0.77329999999999999</v>
      </c>
      <c r="CA50" s="159">
        <v>0.78700000000000003</v>
      </c>
      <c r="CB50" s="159">
        <v>0.80100000000000005</v>
      </c>
      <c r="CC50" s="159">
        <v>0.81540000000000001</v>
      </c>
      <c r="CD50" s="159">
        <v>0.83</v>
      </c>
      <c r="CE50" s="159">
        <v>0.8448</v>
      </c>
      <c r="CF50" s="159">
        <v>0.8599</v>
      </c>
      <c r="CG50" s="159">
        <v>0.87509999999999999</v>
      </c>
      <c r="CH50" s="159">
        <v>0.89049999999999996</v>
      </c>
      <c r="CI50" s="159">
        <v>0.90600000000000003</v>
      </c>
      <c r="CJ50" s="159">
        <v>0.92169999999999996</v>
      </c>
      <c r="CK50" s="159">
        <v>0.93740000000000001</v>
      </c>
      <c r="CL50" s="159">
        <v>0.95320000000000005</v>
      </c>
      <c r="CM50" s="159">
        <v>0.96879999999999999</v>
      </c>
      <c r="CN50" s="49">
        <v>0.98429999999999995</v>
      </c>
      <c r="CO50" s="73"/>
      <c r="DB50" t="s">
        <v>208</v>
      </c>
      <c r="DC50" t="s">
        <v>209</v>
      </c>
      <c r="DE50" s="55">
        <f>DE48+DE49</f>
        <v>-333139</v>
      </c>
      <c r="DF50" t="s">
        <v>458</v>
      </c>
      <c r="DG50" s="62">
        <f>DSUM(Active_Vesteds,"TERM_LW_ANB",All_Criteria)</f>
        <v>0</v>
      </c>
      <c r="DH50" s="62">
        <f>DSUM(Active_Vesteds,"TERM_LW_XRA",All_Criteria)</f>
        <v>0</v>
      </c>
      <c r="DI50" s="63" t="e">
        <f t="shared" ref="DI50:DI51" si="5">ROUND(DG50/DF40,1)</f>
        <v>#DIV/0!</v>
      </c>
      <c r="DJ50" s="63" t="e">
        <f t="shared" ref="DJ50:DJ51" si="6">ROUND(DH50/DF40,1)</f>
        <v>#DIV/0!</v>
      </c>
      <c r="DN50" s="80">
        <v>1954</v>
      </c>
      <c r="DO50" s="84">
        <v>52344</v>
      </c>
      <c r="DP50" s="81">
        <v>54084</v>
      </c>
      <c r="DQ50" s="81">
        <v>55764</v>
      </c>
      <c r="DR50" s="81">
        <v>58080</v>
      </c>
      <c r="DS50" s="81">
        <v>58524</v>
      </c>
      <c r="DT50" s="81">
        <v>59592</v>
      </c>
      <c r="DU50" s="81">
        <v>61440</v>
      </c>
      <c r="DV50" s="81">
        <v>63420</v>
      </c>
      <c r="DW50" s="81">
        <v>66060</v>
      </c>
      <c r="DX50" s="81">
        <v>68220</v>
      </c>
      <c r="DY50" s="81">
        <v>70620</v>
      </c>
      <c r="DZ50" s="81">
        <v>73056</v>
      </c>
      <c r="EA50" s="81">
        <v>74136</v>
      </c>
      <c r="EB50" s="86">
        <v>74580</v>
      </c>
      <c r="EE50" s="88">
        <v>1954</v>
      </c>
      <c r="EF50" s="125">
        <v>32400</v>
      </c>
      <c r="EG50" s="103">
        <v>35700</v>
      </c>
      <c r="EH50" s="98">
        <v>37800</v>
      </c>
      <c r="EI50" s="103">
        <v>39540</v>
      </c>
      <c r="EJ50" s="103">
        <v>41808</v>
      </c>
      <c r="EK50" s="103">
        <v>43452</v>
      </c>
      <c r="EL50" s="103">
        <v>44520</v>
      </c>
      <c r="EM50" s="111">
        <v>47616</v>
      </c>
      <c r="EN50" s="103">
        <v>50544</v>
      </c>
      <c r="EO50" s="108">
        <v>52344</v>
      </c>
      <c r="EP50" s="81">
        <v>54084</v>
      </c>
      <c r="EQ50" s="81">
        <v>55764</v>
      </c>
      <c r="ER50" s="81">
        <v>58080</v>
      </c>
      <c r="ES50" s="81">
        <v>58524</v>
      </c>
      <c r="ET50" s="81">
        <v>59592</v>
      </c>
      <c r="EU50" s="81">
        <v>61440</v>
      </c>
      <c r="EV50" s="81">
        <v>63420</v>
      </c>
      <c r="EW50" s="81">
        <v>66060</v>
      </c>
      <c r="EX50" s="81">
        <v>68220</v>
      </c>
      <c r="EY50" s="81">
        <v>70620</v>
      </c>
      <c r="EZ50" s="81">
        <v>73056</v>
      </c>
      <c r="FA50" s="81">
        <v>74136</v>
      </c>
      <c r="FB50" s="86">
        <v>74580</v>
      </c>
    </row>
    <row r="51" spans="2:158" ht="15.75" x14ac:dyDescent="0.25">
      <c r="B51" s="73"/>
      <c r="C51" s="73"/>
      <c r="D51" s="215">
        <f t="shared" si="0"/>
        <v>46</v>
      </c>
      <c r="E51" s="216">
        <f>[1]!PBGCLRF(65+D51/12)</f>
        <v>1.4650000000000001</v>
      </c>
      <c r="F51" s="73"/>
      <c r="G51" s="73"/>
      <c r="H51" s="73"/>
      <c r="I51" s="73"/>
      <c r="J51" s="48">
        <v>47</v>
      </c>
      <c r="K51" s="49">
        <v>0.76500000000000001</v>
      </c>
      <c r="L51" s="73"/>
      <c r="M51" s="155">
        <v>47</v>
      </c>
      <c r="N51" s="49">
        <v>1.6189</v>
      </c>
      <c r="O51" s="73"/>
      <c r="P51" s="73"/>
      <c r="Q51" s="73"/>
      <c r="R51" s="155">
        <v>0.46949999999999997</v>
      </c>
      <c r="S51" s="159">
        <v>0.47049999999999997</v>
      </c>
      <c r="T51" s="159">
        <v>0.47149999999999997</v>
      </c>
      <c r="U51" s="159">
        <v>0.47249999999999998</v>
      </c>
      <c r="V51" s="159">
        <v>0.47360000000000002</v>
      </c>
      <c r="W51" s="159">
        <v>0.47470000000000001</v>
      </c>
      <c r="X51" s="159">
        <v>0.47589999999999999</v>
      </c>
      <c r="Y51" s="159">
        <v>0.47720000000000001</v>
      </c>
      <c r="Z51" s="159">
        <v>0.47849999999999998</v>
      </c>
      <c r="AA51" s="159">
        <v>0.47989999999999999</v>
      </c>
      <c r="AB51" s="159">
        <v>0.48139999999999999</v>
      </c>
      <c r="AC51" s="159">
        <v>0.4829</v>
      </c>
      <c r="AD51" s="159">
        <v>0.48449999999999999</v>
      </c>
      <c r="AE51" s="159">
        <v>0.48609999999999998</v>
      </c>
      <c r="AF51" s="159">
        <v>0.4879</v>
      </c>
      <c r="AG51" s="159">
        <v>0.48970000000000002</v>
      </c>
      <c r="AH51" s="159">
        <v>0.49120000000000003</v>
      </c>
      <c r="AI51" s="159">
        <v>0.49280000000000002</v>
      </c>
      <c r="AJ51" s="159">
        <v>0.49440000000000001</v>
      </c>
      <c r="AK51" s="159">
        <v>0.49619999999999997</v>
      </c>
      <c r="AL51" s="159">
        <v>0.49809999999999999</v>
      </c>
      <c r="AM51" s="159">
        <v>0.50019999999999998</v>
      </c>
      <c r="AN51" s="159">
        <v>0.50239999999999996</v>
      </c>
      <c r="AO51" s="159">
        <v>0.50470000000000004</v>
      </c>
      <c r="AP51" s="159">
        <v>0.5071</v>
      </c>
      <c r="AQ51" s="159">
        <v>0.50970000000000004</v>
      </c>
      <c r="AR51" s="159">
        <v>0.51249999999999996</v>
      </c>
      <c r="AS51" s="159">
        <v>0.51549999999999996</v>
      </c>
      <c r="AT51" s="159">
        <v>0.51859999999999995</v>
      </c>
      <c r="AU51" s="159">
        <v>0.52190000000000003</v>
      </c>
      <c r="AV51" s="159">
        <v>0.52539999999999998</v>
      </c>
      <c r="AW51" s="159">
        <v>0.52910000000000001</v>
      </c>
      <c r="AX51" s="159">
        <v>0.53300000000000003</v>
      </c>
      <c r="AY51" s="159">
        <v>0.53710000000000002</v>
      </c>
      <c r="AZ51" s="159">
        <v>0.54139999999999999</v>
      </c>
      <c r="BA51" s="159">
        <v>0.54600000000000004</v>
      </c>
      <c r="BB51" s="159">
        <v>0.55079999999999996</v>
      </c>
      <c r="BC51" s="159">
        <v>0.55579999999999996</v>
      </c>
      <c r="BD51" s="159">
        <v>0.56110000000000004</v>
      </c>
      <c r="BE51" s="159">
        <v>0.56669999999999998</v>
      </c>
      <c r="BF51" s="159">
        <v>0.5726</v>
      </c>
      <c r="BG51" s="159">
        <v>0.57869999999999999</v>
      </c>
      <c r="BH51" s="159">
        <v>0.58520000000000005</v>
      </c>
      <c r="BI51" s="159">
        <v>0.59189999999999998</v>
      </c>
      <c r="BJ51" s="159">
        <v>0.59899999999999998</v>
      </c>
      <c r="BK51" s="159">
        <v>0.60650000000000004</v>
      </c>
      <c r="BL51" s="159">
        <v>0.61419999999999997</v>
      </c>
      <c r="BM51" s="159">
        <v>0.62239999999999995</v>
      </c>
      <c r="BN51" s="159">
        <v>0.63090000000000002</v>
      </c>
      <c r="BO51" s="159">
        <v>0.63970000000000005</v>
      </c>
      <c r="BP51" s="159">
        <v>0.64900000000000002</v>
      </c>
      <c r="BQ51" s="159">
        <v>0.65869999999999995</v>
      </c>
      <c r="BR51" s="159">
        <v>0.66879999999999995</v>
      </c>
      <c r="BS51" s="159">
        <v>0.67930000000000001</v>
      </c>
      <c r="BT51" s="159">
        <v>0.69020000000000004</v>
      </c>
      <c r="BU51" s="159">
        <v>0.70150000000000001</v>
      </c>
      <c r="BV51" s="159">
        <v>0.71340000000000003</v>
      </c>
      <c r="BW51" s="159">
        <v>0.72560000000000002</v>
      </c>
      <c r="BX51" s="159">
        <v>0.73829999999999996</v>
      </c>
      <c r="BY51" s="159">
        <v>0.75149999999999995</v>
      </c>
      <c r="BZ51" s="159">
        <v>0.76500000000000001</v>
      </c>
      <c r="CA51" s="159">
        <v>0.77900000000000003</v>
      </c>
      <c r="CB51" s="159">
        <v>0.79339999999999999</v>
      </c>
      <c r="CC51" s="159">
        <v>0.80820000000000003</v>
      </c>
      <c r="CD51" s="159">
        <v>0.82320000000000004</v>
      </c>
      <c r="CE51" s="159">
        <v>0.83860000000000001</v>
      </c>
      <c r="CF51" s="159">
        <v>0.85419999999999996</v>
      </c>
      <c r="CG51" s="159">
        <v>0.87</v>
      </c>
      <c r="CH51" s="159">
        <v>0.88600000000000001</v>
      </c>
      <c r="CI51" s="159">
        <v>0.90229999999999999</v>
      </c>
      <c r="CJ51" s="159">
        <v>0.91879999999999995</v>
      </c>
      <c r="CK51" s="159">
        <v>0.93540000000000001</v>
      </c>
      <c r="CL51" s="159">
        <v>0.95199999999999996</v>
      </c>
      <c r="CM51" s="159">
        <v>0.96870000000000001</v>
      </c>
      <c r="CN51" s="49">
        <v>0.98519999999999996</v>
      </c>
      <c r="CO51" s="73"/>
      <c r="DB51" t="s">
        <v>22</v>
      </c>
      <c r="DC51" t="s">
        <v>210</v>
      </c>
      <c r="DE51" s="41">
        <v>3.85E-2</v>
      </c>
      <c r="DF51" t="s">
        <v>429</v>
      </c>
      <c r="DG51" s="62">
        <f>DSUM(Separated_Vesteds,"TERM_LW_ANB",All_Criteria)</f>
        <v>0</v>
      </c>
      <c r="DH51" s="62">
        <f>DSUM(Separated_Vesteds,"TERM_LW_XRA",All_Criteria)</f>
        <v>0</v>
      </c>
      <c r="DI51" s="63" t="e">
        <f t="shared" si="5"/>
        <v>#DIV/0!</v>
      </c>
      <c r="DJ51" s="63" t="e">
        <f t="shared" si="6"/>
        <v>#DIV/0!</v>
      </c>
      <c r="DN51" s="80">
        <v>1955</v>
      </c>
      <c r="DO51" s="84">
        <v>52944</v>
      </c>
      <c r="DP51" s="81">
        <v>54804</v>
      </c>
      <c r="DQ51" s="81">
        <v>56604</v>
      </c>
      <c r="DR51" s="81">
        <v>59088</v>
      </c>
      <c r="DS51" s="81">
        <v>59568</v>
      </c>
      <c r="DT51" s="81">
        <v>60720</v>
      </c>
      <c r="DU51" s="81">
        <v>62724</v>
      </c>
      <c r="DV51" s="81">
        <v>64872</v>
      </c>
      <c r="DW51" s="81">
        <v>67752</v>
      </c>
      <c r="DX51" s="81">
        <v>70116</v>
      </c>
      <c r="DY51" s="81">
        <v>72756</v>
      </c>
      <c r="DZ51" s="81">
        <v>75456</v>
      </c>
      <c r="EA51" s="81">
        <v>76656</v>
      </c>
      <c r="EB51" s="86">
        <v>77148</v>
      </c>
      <c r="EE51" s="88">
        <v>1955</v>
      </c>
      <c r="EF51" s="125">
        <v>32400</v>
      </c>
      <c r="EG51" s="103">
        <v>35700</v>
      </c>
      <c r="EH51" s="98">
        <v>37800</v>
      </c>
      <c r="EI51" s="103">
        <v>39600</v>
      </c>
      <c r="EJ51" s="103">
        <v>41928</v>
      </c>
      <c r="EK51" s="103">
        <v>43620</v>
      </c>
      <c r="EL51" s="103">
        <v>44724</v>
      </c>
      <c r="EM51" s="111">
        <v>47904</v>
      </c>
      <c r="EN51" s="103">
        <v>51024</v>
      </c>
      <c r="EO51" s="108">
        <v>52944</v>
      </c>
      <c r="EP51" s="81">
        <v>54804</v>
      </c>
      <c r="EQ51" s="81">
        <v>56604</v>
      </c>
      <c r="ER51" s="81">
        <v>59088</v>
      </c>
      <c r="ES51" s="81">
        <v>59568</v>
      </c>
      <c r="ET51" s="81">
        <v>60720</v>
      </c>
      <c r="EU51" s="81">
        <v>62724</v>
      </c>
      <c r="EV51" s="81">
        <v>64872</v>
      </c>
      <c r="EW51" s="81">
        <v>67752</v>
      </c>
      <c r="EX51" s="81">
        <v>70116</v>
      </c>
      <c r="EY51" s="81">
        <v>72756</v>
      </c>
      <c r="EZ51" s="81">
        <v>75456</v>
      </c>
      <c r="FA51" s="81">
        <v>76656</v>
      </c>
      <c r="FB51" s="86">
        <v>77148</v>
      </c>
    </row>
    <row r="52" spans="2:158" ht="16.5" thickBot="1" x14ac:dyDescent="0.3">
      <c r="B52" s="73"/>
      <c r="C52" s="73"/>
      <c r="D52" s="215">
        <f t="shared" si="0"/>
        <v>47</v>
      </c>
      <c r="E52" s="216">
        <f>[1]!PBGCLRF(65+D52/12)</f>
        <v>1.4775</v>
      </c>
      <c r="F52" s="73"/>
      <c r="G52" s="73"/>
      <c r="H52" s="73"/>
      <c r="I52" s="73"/>
      <c r="J52" s="48">
        <v>48</v>
      </c>
      <c r="K52" s="49">
        <v>0.76</v>
      </c>
      <c r="L52" s="73"/>
      <c r="M52" s="155">
        <v>48</v>
      </c>
      <c r="N52" s="49">
        <v>1.6362000000000001</v>
      </c>
      <c r="O52" s="73"/>
      <c r="P52" s="73"/>
      <c r="Q52" s="73"/>
      <c r="R52" s="156">
        <v>0.4617</v>
      </c>
      <c r="S52" s="160">
        <v>0.4627</v>
      </c>
      <c r="T52" s="160">
        <v>0.46360000000000001</v>
      </c>
      <c r="U52" s="160">
        <v>0.4647</v>
      </c>
      <c r="V52" s="160">
        <v>0.46579999999999999</v>
      </c>
      <c r="W52" s="160">
        <v>0.46689999999999998</v>
      </c>
      <c r="X52" s="160">
        <v>0.46810000000000002</v>
      </c>
      <c r="Y52" s="160">
        <v>0.46929999999999999</v>
      </c>
      <c r="Z52" s="160">
        <v>0.47060000000000002</v>
      </c>
      <c r="AA52" s="160">
        <v>0.47199999999999998</v>
      </c>
      <c r="AB52" s="160">
        <v>0.47339999999999999</v>
      </c>
      <c r="AC52" s="160">
        <v>0.47489999999999999</v>
      </c>
      <c r="AD52" s="160">
        <v>0.47649999999999998</v>
      </c>
      <c r="AE52" s="160">
        <v>0.47820000000000001</v>
      </c>
      <c r="AF52" s="160">
        <v>0.47989999999999999</v>
      </c>
      <c r="AG52" s="160">
        <v>0.48170000000000002</v>
      </c>
      <c r="AH52" s="160">
        <v>0.48309999999999997</v>
      </c>
      <c r="AI52" s="160">
        <v>0.48470000000000002</v>
      </c>
      <c r="AJ52" s="160">
        <v>0.48630000000000001</v>
      </c>
      <c r="AK52" s="160">
        <v>0.48809999999999998</v>
      </c>
      <c r="AL52" s="160">
        <v>0.49</v>
      </c>
      <c r="AM52" s="160">
        <v>0.49199999999999999</v>
      </c>
      <c r="AN52" s="160">
        <v>0.49409999999999998</v>
      </c>
      <c r="AO52" s="160">
        <v>0.49640000000000001</v>
      </c>
      <c r="AP52" s="160">
        <v>0.49880000000000002</v>
      </c>
      <c r="AQ52" s="160">
        <v>0.50139999999999996</v>
      </c>
      <c r="AR52" s="160">
        <v>0.50409999999999999</v>
      </c>
      <c r="AS52" s="160">
        <v>0.5071</v>
      </c>
      <c r="AT52" s="160">
        <v>0.5101</v>
      </c>
      <c r="AU52" s="160">
        <v>0.51339999999999997</v>
      </c>
      <c r="AV52" s="160">
        <v>0.51680000000000004</v>
      </c>
      <c r="AW52" s="160">
        <v>0.52049999999999996</v>
      </c>
      <c r="AX52" s="160">
        <v>0.52429999999999999</v>
      </c>
      <c r="AY52" s="160">
        <v>0.52839999999999998</v>
      </c>
      <c r="AZ52" s="160">
        <v>0.53269999999999995</v>
      </c>
      <c r="BA52" s="160">
        <v>0.53720000000000001</v>
      </c>
      <c r="BB52" s="160">
        <v>0.54200000000000004</v>
      </c>
      <c r="BC52" s="160">
        <v>0.54700000000000004</v>
      </c>
      <c r="BD52" s="160">
        <v>0.55220000000000002</v>
      </c>
      <c r="BE52" s="160">
        <v>0.55779999999999996</v>
      </c>
      <c r="BF52" s="160">
        <v>0.56359999999999999</v>
      </c>
      <c r="BG52" s="160">
        <v>0.56969999999999998</v>
      </c>
      <c r="BH52" s="160">
        <v>0.57609999999999995</v>
      </c>
      <c r="BI52" s="160">
        <v>0.58279999999999998</v>
      </c>
      <c r="BJ52" s="160">
        <v>0.58989999999999998</v>
      </c>
      <c r="BK52" s="160">
        <v>0.59730000000000005</v>
      </c>
      <c r="BL52" s="160">
        <v>0.60509999999999997</v>
      </c>
      <c r="BM52" s="160">
        <v>0.61319999999999997</v>
      </c>
      <c r="BN52" s="160">
        <v>0.62170000000000003</v>
      </c>
      <c r="BO52" s="160">
        <v>0.63060000000000005</v>
      </c>
      <c r="BP52" s="160">
        <v>0.63990000000000002</v>
      </c>
      <c r="BQ52" s="160">
        <v>0.64959999999999996</v>
      </c>
      <c r="BR52" s="160">
        <v>0.65969999999999995</v>
      </c>
      <c r="BS52" s="160">
        <v>0.67020000000000002</v>
      </c>
      <c r="BT52" s="160">
        <v>0.68120000000000003</v>
      </c>
      <c r="BU52" s="160">
        <v>0.69269999999999998</v>
      </c>
      <c r="BV52" s="160">
        <v>0.7046</v>
      </c>
      <c r="BW52" s="160">
        <v>0.71709999999999996</v>
      </c>
      <c r="BX52" s="160">
        <v>0.72989999999999999</v>
      </c>
      <c r="BY52" s="160">
        <v>0.74329999999999996</v>
      </c>
      <c r="BZ52" s="160">
        <v>0.7571</v>
      </c>
      <c r="CA52" s="160">
        <v>0.77139999999999997</v>
      </c>
      <c r="CB52" s="160">
        <v>0.78610000000000002</v>
      </c>
      <c r="CC52" s="160">
        <v>0.80130000000000001</v>
      </c>
      <c r="CD52" s="160">
        <v>0.81679999999999997</v>
      </c>
      <c r="CE52" s="160">
        <v>0.83260000000000001</v>
      </c>
      <c r="CF52" s="160">
        <v>0.84870000000000001</v>
      </c>
      <c r="CG52" s="160">
        <v>0.86519999999999997</v>
      </c>
      <c r="CH52" s="160">
        <v>0.88190000000000002</v>
      </c>
      <c r="CI52" s="160">
        <v>0.89890000000000003</v>
      </c>
      <c r="CJ52" s="160">
        <v>0.91620000000000001</v>
      </c>
      <c r="CK52" s="160">
        <v>0.93359999999999999</v>
      </c>
      <c r="CL52" s="160">
        <v>0.95120000000000005</v>
      </c>
      <c r="CM52" s="160">
        <v>0.96879999999999999</v>
      </c>
      <c r="CN52" s="131">
        <v>0.98640000000000005</v>
      </c>
      <c r="CO52" s="73"/>
      <c r="CP52" s="37" t="s">
        <v>265</v>
      </c>
      <c r="CQ52" s="37"/>
      <c r="DB52" t="s">
        <v>211</v>
      </c>
      <c r="DC52" t="s">
        <v>229</v>
      </c>
      <c r="DE52" s="55">
        <f>ROUND(DE49*DE51,0)</f>
        <v>0</v>
      </c>
      <c r="DG52" s="62"/>
      <c r="DH52" s="62"/>
      <c r="DI52" s="63"/>
      <c r="DJ52" s="63"/>
      <c r="DN52" s="80">
        <v>1956</v>
      </c>
      <c r="DO52" s="84">
        <v>53184</v>
      </c>
      <c r="DP52" s="81">
        <v>55104</v>
      </c>
      <c r="DQ52" s="81">
        <v>56964</v>
      </c>
      <c r="DR52" s="81">
        <v>59532</v>
      </c>
      <c r="DS52" s="81">
        <v>60024</v>
      </c>
      <c r="DT52" s="81">
        <v>61224</v>
      </c>
      <c r="DU52" s="81">
        <v>63312</v>
      </c>
      <c r="DV52" s="81">
        <v>65544</v>
      </c>
      <c r="DW52" s="81">
        <v>68544</v>
      </c>
      <c r="DX52" s="81">
        <v>71004</v>
      </c>
      <c r="DY52" s="81">
        <v>73764</v>
      </c>
      <c r="DZ52" s="81">
        <v>76596</v>
      </c>
      <c r="EA52" s="81">
        <v>77856</v>
      </c>
      <c r="EB52" s="86">
        <v>78372</v>
      </c>
      <c r="EE52" s="88">
        <v>1956</v>
      </c>
      <c r="EF52" s="125">
        <v>32400</v>
      </c>
      <c r="EG52" s="103">
        <v>35700</v>
      </c>
      <c r="EH52" s="98">
        <v>37800</v>
      </c>
      <c r="EI52" s="103">
        <v>39600</v>
      </c>
      <c r="EJ52" s="103">
        <v>42000</v>
      </c>
      <c r="EK52" s="103">
        <v>43740</v>
      </c>
      <c r="EL52" s="103">
        <v>44880</v>
      </c>
      <c r="EM52" s="111">
        <v>48000</v>
      </c>
      <c r="EN52" s="103">
        <v>51204</v>
      </c>
      <c r="EO52" s="108">
        <v>53184</v>
      </c>
      <c r="EP52" s="81">
        <v>55104</v>
      </c>
      <c r="EQ52" s="81">
        <v>56964</v>
      </c>
      <c r="ER52" s="81">
        <v>59532</v>
      </c>
      <c r="ES52" s="81">
        <v>60024</v>
      </c>
      <c r="ET52" s="81">
        <v>61224</v>
      </c>
      <c r="EU52" s="81">
        <v>63312</v>
      </c>
      <c r="EV52" s="81">
        <v>65544</v>
      </c>
      <c r="EW52" s="81">
        <v>68544</v>
      </c>
      <c r="EX52" s="81">
        <v>71004</v>
      </c>
      <c r="EY52" s="81">
        <v>73764</v>
      </c>
      <c r="EZ52" s="81">
        <v>76596</v>
      </c>
      <c r="FA52" s="81">
        <v>77856</v>
      </c>
      <c r="FB52" s="86">
        <v>78372</v>
      </c>
    </row>
    <row r="53" spans="2:158" ht="16.5" thickTop="1" x14ac:dyDescent="0.25">
      <c r="B53" s="73"/>
      <c r="C53" s="73"/>
      <c r="D53" s="215">
        <f t="shared" si="0"/>
        <v>48</v>
      </c>
      <c r="E53" s="216">
        <f>[1]!PBGCLRF(65+D53/12)</f>
        <v>1.49</v>
      </c>
      <c r="F53" s="73"/>
      <c r="G53" s="73"/>
      <c r="H53" s="73"/>
      <c r="I53" s="73"/>
      <c r="J53" s="48">
        <v>49</v>
      </c>
      <c r="K53" s="49">
        <v>0.755</v>
      </c>
      <c r="L53" s="73"/>
      <c r="M53" s="155">
        <v>49</v>
      </c>
      <c r="N53" s="49">
        <v>1.6537999999999999</v>
      </c>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c r="CC53" s="73"/>
      <c r="CD53" s="73"/>
      <c r="CE53" s="73"/>
      <c r="CF53" s="73"/>
      <c r="CG53" s="73"/>
      <c r="CH53" s="73"/>
      <c r="CI53" s="73"/>
      <c r="CJ53" s="73"/>
      <c r="CK53" s="73"/>
      <c r="CL53" s="73"/>
      <c r="CM53" s="73"/>
      <c r="CN53" s="73"/>
      <c r="CO53" s="73"/>
      <c r="CP53" s="136">
        <v>0.25</v>
      </c>
      <c r="CQ53" s="129">
        <v>0.95</v>
      </c>
      <c r="DB53" t="s">
        <v>212</v>
      </c>
      <c r="DC53" t="s">
        <v>213</v>
      </c>
      <c r="DE53" s="55">
        <f>IF(DE52="NULL","NULL",DE46+DE52)</f>
        <v>0</v>
      </c>
      <c r="DG53" s="62"/>
      <c r="DH53" s="62"/>
      <c r="DI53" s="63"/>
      <c r="DJ53" s="63"/>
      <c r="DN53" s="80">
        <v>1957</v>
      </c>
      <c r="DO53" s="84">
        <v>53340</v>
      </c>
      <c r="DP53" s="81">
        <v>55320</v>
      </c>
      <c r="DQ53" s="81">
        <v>57240</v>
      </c>
      <c r="DR53" s="81">
        <v>59892</v>
      </c>
      <c r="DS53" s="81">
        <v>60408</v>
      </c>
      <c r="DT53" s="81">
        <v>61644</v>
      </c>
      <c r="DU53" s="81">
        <v>63804</v>
      </c>
      <c r="DV53" s="81">
        <v>66120</v>
      </c>
      <c r="DW53" s="81">
        <v>69240</v>
      </c>
      <c r="DX53" s="81">
        <v>71820</v>
      </c>
      <c r="DY53" s="81">
        <v>74700</v>
      </c>
      <c r="DZ53" s="81">
        <v>77652</v>
      </c>
      <c r="EA53" s="81">
        <v>78972</v>
      </c>
      <c r="EB53" s="86">
        <v>79512</v>
      </c>
      <c r="EE53" s="88">
        <v>1957</v>
      </c>
      <c r="EF53" s="125">
        <v>32400</v>
      </c>
      <c r="EG53" s="103">
        <v>35700</v>
      </c>
      <c r="EH53" s="98">
        <v>37800</v>
      </c>
      <c r="EI53" s="103">
        <v>39600</v>
      </c>
      <c r="EJ53" s="103">
        <v>42000</v>
      </c>
      <c r="EK53" s="103">
        <v>43800</v>
      </c>
      <c r="EL53" s="103">
        <v>44964</v>
      </c>
      <c r="EM53" s="111">
        <v>48000</v>
      </c>
      <c r="EN53" s="103">
        <v>51300</v>
      </c>
      <c r="EO53" s="108">
        <v>53340</v>
      </c>
      <c r="EP53" s="81">
        <v>55320</v>
      </c>
      <c r="EQ53" s="81">
        <v>57240</v>
      </c>
      <c r="ER53" s="81">
        <v>59892</v>
      </c>
      <c r="ES53" s="81">
        <v>60408</v>
      </c>
      <c r="ET53" s="81">
        <v>61644</v>
      </c>
      <c r="EU53" s="81">
        <v>63804</v>
      </c>
      <c r="EV53" s="81">
        <v>66120</v>
      </c>
      <c r="EW53" s="81">
        <v>69240</v>
      </c>
      <c r="EX53" s="81">
        <v>71820</v>
      </c>
      <c r="EY53" s="81">
        <v>74700</v>
      </c>
      <c r="EZ53" s="81">
        <v>77652</v>
      </c>
      <c r="FA53" s="81">
        <v>78972</v>
      </c>
      <c r="FB53" s="86">
        <v>79512</v>
      </c>
    </row>
    <row r="54" spans="2:158" ht="15.75" x14ac:dyDescent="0.25">
      <c r="B54" s="73"/>
      <c r="C54" s="73"/>
      <c r="D54" s="215">
        <f t="shared" si="0"/>
        <v>49</v>
      </c>
      <c r="E54" s="216">
        <f>[1]!PBGCLRF(65+D54/12)</f>
        <v>1.5042</v>
      </c>
      <c r="F54" s="73"/>
      <c r="G54" s="73"/>
      <c r="H54" s="73"/>
      <c r="I54" s="73"/>
      <c r="J54" s="48">
        <v>50</v>
      </c>
      <c r="K54" s="49">
        <v>0.75</v>
      </c>
      <c r="L54" s="73"/>
      <c r="M54" s="155">
        <v>50</v>
      </c>
      <c r="N54" s="49">
        <v>1.6716</v>
      </c>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c r="CC54" s="73"/>
      <c r="CD54" s="73"/>
      <c r="CE54" s="73"/>
      <c r="CF54" s="73"/>
      <c r="CG54" s="73"/>
      <c r="CH54" s="73"/>
      <c r="CI54" s="73"/>
      <c r="CJ54" s="73"/>
      <c r="CK54" s="73"/>
      <c r="CL54" s="73"/>
      <c r="CM54" s="73"/>
      <c r="CN54" s="73"/>
      <c r="CO54" s="73"/>
      <c r="CP54" s="137">
        <v>0.5</v>
      </c>
      <c r="CQ54" s="49">
        <v>0.9</v>
      </c>
      <c r="DN54" s="80">
        <v>1958</v>
      </c>
      <c r="DO54" s="84">
        <v>53400</v>
      </c>
      <c r="DP54" s="81">
        <v>55440</v>
      </c>
      <c r="DQ54" s="81">
        <v>57420</v>
      </c>
      <c r="DR54" s="81">
        <v>60156</v>
      </c>
      <c r="DS54" s="81">
        <v>60684</v>
      </c>
      <c r="DT54" s="81">
        <v>61980</v>
      </c>
      <c r="DU54" s="81">
        <v>64212</v>
      </c>
      <c r="DV54" s="81">
        <v>66612</v>
      </c>
      <c r="DW54" s="81">
        <v>69852</v>
      </c>
      <c r="DX54" s="81">
        <v>72528</v>
      </c>
      <c r="DY54" s="81">
        <v>75528</v>
      </c>
      <c r="DZ54" s="81">
        <v>78612</v>
      </c>
      <c r="EA54" s="81">
        <v>79992</v>
      </c>
      <c r="EB54" s="86">
        <v>80556</v>
      </c>
      <c r="EE54" s="88">
        <v>1958</v>
      </c>
      <c r="EF54" s="125">
        <v>32400</v>
      </c>
      <c r="EG54" s="103">
        <v>35700</v>
      </c>
      <c r="EH54" s="98">
        <v>37800</v>
      </c>
      <c r="EI54" s="103">
        <v>39600</v>
      </c>
      <c r="EJ54" s="103">
        <v>42000</v>
      </c>
      <c r="EK54" s="103">
        <v>43800</v>
      </c>
      <c r="EL54" s="103">
        <v>45000</v>
      </c>
      <c r="EM54" s="111">
        <v>48000</v>
      </c>
      <c r="EN54" s="103">
        <v>51300</v>
      </c>
      <c r="EO54" s="108">
        <v>53400</v>
      </c>
      <c r="EP54" s="81">
        <v>55440</v>
      </c>
      <c r="EQ54" s="81">
        <v>57420</v>
      </c>
      <c r="ER54" s="81">
        <v>60156</v>
      </c>
      <c r="ES54" s="81">
        <v>60684</v>
      </c>
      <c r="ET54" s="81">
        <v>61980</v>
      </c>
      <c r="EU54" s="81">
        <v>64212</v>
      </c>
      <c r="EV54" s="81">
        <v>66612</v>
      </c>
      <c r="EW54" s="81">
        <v>69852</v>
      </c>
      <c r="EX54" s="81">
        <v>72528</v>
      </c>
      <c r="EY54" s="81">
        <v>75528</v>
      </c>
      <c r="EZ54" s="81">
        <v>78612</v>
      </c>
      <c r="FA54" s="81">
        <v>79992</v>
      </c>
      <c r="FB54" s="86">
        <v>80556</v>
      </c>
    </row>
    <row r="55" spans="2:158" ht="15.75" x14ac:dyDescent="0.25">
      <c r="B55" s="73"/>
      <c r="C55" s="73"/>
      <c r="D55" s="215">
        <f t="shared" si="0"/>
        <v>50</v>
      </c>
      <c r="E55" s="216">
        <f>[1]!PBGCLRF(65+D55/12)</f>
        <v>1.5183</v>
      </c>
      <c r="F55" s="73"/>
      <c r="G55" s="73"/>
      <c r="H55" s="73"/>
      <c r="I55" s="73"/>
      <c r="J55" s="48">
        <v>51</v>
      </c>
      <c r="K55" s="49">
        <v>0.745</v>
      </c>
      <c r="L55" s="73"/>
      <c r="M55" s="155">
        <v>51</v>
      </c>
      <c r="N55" s="49">
        <v>1.6896</v>
      </c>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c r="CC55" s="73"/>
      <c r="CD55" s="73"/>
      <c r="CE55" s="73"/>
      <c r="CF55" s="73"/>
      <c r="CG55" s="73"/>
      <c r="CH55" s="73"/>
      <c r="CI55" s="73"/>
      <c r="CJ55" s="73"/>
      <c r="CK55" s="73"/>
      <c r="CL55" s="73"/>
      <c r="CM55" s="73"/>
      <c r="CN55" s="73"/>
      <c r="CO55" s="73"/>
      <c r="CP55" s="138">
        <v>0.66666666666666696</v>
      </c>
      <c r="CQ55" s="134">
        <v>0.86670000000000003</v>
      </c>
      <c r="DB55" s="227" t="s">
        <v>460</v>
      </c>
      <c r="DD55" s="57">
        <f>DE52</f>
        <v>0</v>
      </c>
      <c r="DN55" s="80">
        <v>1959</v>
      </c>
      <c r="DO55" s="84">
        <v>53400</v>
      </c>
      <c r="DP55" s="81">
        <v>55500</v>
      </c>
      <c r="DQ55" s="81">
        <v>57540</v>
      </c>
      <c r="DR55" s="81">
        <v>60360</v>
      </c>
      <c r="DS55" s="81">
        <v>60912</v>
      </c>
      <c r="DT55" s="81">
        <v>62244</v>
      </c>
      <c r="DU55" s="81">
        <v>64560</v>
      </c>
      <c r="DV55" s="81">
        <v>67044</v>
      </c>
      <c r="DW55" s="81">
        <v>70404</v>
      </c>
      <c r="DX55" s="81">
        <v>73176</v>
      </c>
      <c r="DY55" s="81">
        <v>76296</v>
      </c>
      <c r="DZ55" s="81">
        <v>79512</v>
      </c>
      <c r="EA55" s="81">
        <v>80952</v>
      </c>
      <c r="EB55" s="86">
        <v>81540</v>
      </c>
      <c r="EE55" s="88">
        <v>1959</v>
      </c>
      <c r="EF55" s="125">
        <v>32400</v>
      </c>
      <c r="EG55" s="103">
        <v>35700</v>
      </c>
      <c r="EH55" s="98">
        <v>37800</v>
      </c>
      <c r="EI55" s="103">
        <v>39600</v>
      </c>
      <c r="EJ55" s="103">
        <v>42000</v>
      </c>
      <c r="EK55" s="103">
        <v>43800</v>
      </c>
      <c r="EL55" s="103">
        <v>45000</v>
      </c>
      <c r="EM55" s="111">
        <v>48000</v>
      </c>
      <c r="EN55" s="103">
        <v>51300</v>
      </c>
      <c r="EO55" s="108">
        <v>53400</v>
      </c>
      <c r="EP55" s="81">
        <v>55500</v>
      </c>
      <c r="EQ55" s="81">
        <v>57540</v>
      </c>
      <c r="ER55" s="81">
        <v>60360</v>
      </c>
      <c r="ES55" s="81">
        <v>60912</v>
      </c>
      <c r="ET55" s="81">
        <v>62244</v>
      </c>
      <c r="EU55" s="81">
        <v>64560</v>
      </c>
      <c r="EV55" s="81">
        <v>67044</v>
      </c>
      <c r="EW55" s="81">
        <v>70404</v>
      </c>
      <c r="EX55" s="81">
        <v>73176</v>
      </c>
      <c r="EY55" s="81">
        <v>76296</v>
      </c>
      <c r="EZ55" s="81">
        <v>79512</v>
      </c>
      <c r="FA55" s="81">
        <v>80952</v>
      </c>
      <c r="FB55" s="86">
        <v>81540</v>
      </c>
    </row>
    <row r="56" spans="2:158" ht="15.75" x14ac:dyDescent="0.25">
      <c r="B56" s="73"/>
      <c r="C56" s="73"/>
      <c r="D56" s="215">
        <f t="shared" si="0"/>
        <v>51</v>
      </c>
      <c r="E56" s="216">
        <f>[1]!PBGCLRF(65+D56/12)</f>
        <v>1.5325</v>
      </c>
      <c r="F56" s="73"/>
      <c r="G56" s="73"/>
      <c r="H56" s="73"/>
      <c r="I56" s="73"/>
      <c r="J56" s="48">
        <v>52</v>
      </c>
      <c r="K56" s="49">
        <v>0.74</v>
      </c>
      <c r="L56" s="73"/>
      <c r="M56" s="155">
        <v>52</v>
      </c>
      <c r="N56" s="49">
        <v>1.7078</v>
      </c>
      <c r="O56" s="73"/>
      <c r="P56" s="73"/>
      <c r="Q56" s="73"/>
      <c r="CO56" s="73"/>
      <c r="CP56" s="137">
        <v>0.75</v>
      </c>
      <c r="CQ56" s="49">
        <v>0.85</v>
      </c>
      <c r="DB56" s="227" t="s">
        <v>461</v>
      </c>
      <c r="DD56" s="57" t="e">
        <f>DSUM(Active_Vesteds,"PC5_TOTAL_PV",All_Criteria)+DSUM(Separated_Vesteds,"PC5_TOTAL_PV",All_Criteria)</f>
        <v>#VALUE!</v>
      </c>
      <c r="DN56" s="80">
        <v>1960</v>
      </c>
      <c r="DO56" s="84">
        <v>53400</v>
      </c>
      <c r="DP56" s="81">
        <v>55500</v>
      </c>
      <c r="DQ56" s="81">
        <v>57600</v>
      </c>
      <c r="DR56" s="81">
        <v>60504</v>
      </c>
      <c r="DS56" s="81">
        <v>61080</v>
      </c>
      <c r="DT56" s="81">
        <v>62448</v>
      </c>
      <c r="DU56" s="81">
        <v>64836</v>
      </c>
      <c r="DV56" s="81">
        <v>67404</v>
      </c>
      <c r="DW56" s="81">
        <v>70884</v>
      </c>
      <c r="DX56" s="81">
        <v>73764</v>
      </c>
      <c r="DY56" s="81">
        <v>77004</v>
      </c>
      <c r="DZ56" s="81">
        <v>80352</v>
      </c>
      <c r="EA56" s="81">
        <v>81852</v>
      </c>
      <c r="EB56" s="86">
        <v>82464</v>
      </c>
      <c r="EE56" s="88">
        <v>1960</v>
      </c>
      <c r="EF56" s="125">
        <v>32400</v>
      </c>
      <c r="EG56" s="103">
        <v>35700</v>
      </c>
      <c r="EH56" s="98">
        <v>37800</v>
      </c>
      <c r="EI56" s="103">
        <v>39600</v>
      </c>
      <c r="EJ56" s="103">
        <v>42000</v>
      </c>
      <c r="EK56" s="103">
        <v>43800</v>
      </c>
      <c r="EL56" s="103">
        <v>45000</v>
      </c>
      <c r="EM56" s="111">
        <v>48000</v>
      </c>
      <c r="EN56" s="103">
        <v>51300</v>
      </c>
      <c r="EO56" s="108">
        <v>53400</v>
      </c>
      <c r="EP56" s="81">
        <v>55500</v>
      </c>
      <c r="EQ56" s="81">
        <v>57600</v>
      </c>
      <c r="ER56" s="81">
        <v>60504</v>
      </c>
      <c r="ES56" s="81">
        <v>61080</v>
      </c>
      <c r="ET56" s="81">
        <v>62448</v>
      </c>
      <c r="EU56" s="81">
        <v>64836</v>
      </c>
      <c r="EV56" s="81">
        <v>67404</v>
      </c>
      <c r="EW56" s="81">
        <v>70884</v>
      </c>
      <c r="EX56" s="81">
        <v>73764</v>
      </c>
      <c r="EY56" s="81">
        <v>77004</v>
      </c>
      <c r="EZ56" s="81">
        <v>80352</v>
      </c>
      <c r="FA56" s="81">
        <v>81852</v>
      </c>
      <c r="FB56" s="86">
        <v>82464</v>
      </c>
    </row>
    <row r="57" spans="2:158" ht="16.5" thickBot="1" x14ac:dyDescent="0.3">
      <c r="B57" s="73"/>
      <c r="C57" s="73"/>
      <c r="D57" s="215">
        <f t="shared" si="0"/>
        <v>52</v>
      </c>
      <c r="E57" s="216">
        <f>[1]!PBGCLRF(65+D57/12)</f>
        <v>1.5467</v>
      </c>
      <c r="F57" s="73"/>
      <c r="G57" s="73"/>
      <c r="H57" s="73"/>
      <c r="I57" s="73"/>
      <c r="J57" s="48">
        <v>53</v>
      </c>
      <c r="K57" s="49">
        <v>0.73499999999999999</v>
      </c>
      <c r="L57" s="73"/>
      <c r="M57" s="155">
        <v>53</v>
      </c>
      <c r="N57" s="49">
        <v>1.7262</v>
      </c>
      <c r="O57" s="73"/>
      <c r="P57" s="73"/>
      <c r="Q57" s="73"/>
      <c r="R57" s="158" t="s">
        <v>314</v>
      </c>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35"/>
      <c r="BQ57" s="35"/>
      <c r="BR57" s="35"/>
      <c r="BS57" s="35"/>
      <c r="BT57" s="35"/>
      <c r="BU57" s="35"/>
      <c r="BV57" s="35"/>
      <c r="BW57" s="35"/>
      <c r="BX57" s="35"/>
      <c r="BY57" s="35"/>
      <c r="BZ57" s="35"/>
      <c r="CA57" s="35"/>
      <c r="CB57" s="35"/>
      <c r="CC57" s="35"/>
      <c r="CD57" s="35"/>
      <c r="CE57" s="35"/>
      <c r="CF57" s="35"/>
      <c r="CG57" s="35"/>
      <c r="CH57" s="35"/>
      <c r="CI57" s="35"/>
      <c r="CJ57" s="35"/>
      <c r="CK57" s="35"/>
      <c r="CL57" s="35"/>
      <c r="CM57" s="35"/>
      <c r="CN57" s="35"/>
      <c r="CO57" s="73"/>
      <c r="CP57" s="139">
        <v>1</v>
      </c>
      <c r="CQ57" s="135">
        <v>0.8</v>
      </c>
      <c r="CR57" s="93"/>
      <c r="CS57" s="94"/>
      <c r="CT57" s="93"/>
      <c r="CU57" s="93"/>
      <c r="DB57" t="s">
        <v>326</v>
      </c>
      <c r="DD57" s="229" t="e">
        <f>ROUND(Total_4022C/DD56,5)</f>
        <v>#VALUE!</v>
      </c>
      <c r="DN57" s="80">
        <v>1961</v>
      </c>
      <c r="DO57" s="84">
        <v>53400</v>
      </c>
      <c r="DP57" s="81">
        <v>55500</v>
      </c>
      <c r="DQ57" s="81">
        <v>57600</v>
      </c>
      <c r="DR57" s="81">
        <v>60600</v>
      </c>
      <c r="DS57" s="81">
        <v>61176</v>
      </c>
      <c r="DT57" s="81">
        <v>62592</v>
      </c>
      <c r="DU57" s="81">
        <v>65064</v>
      </c>
      <c r="DV57" s="81">
        <v>67716</v>
      </c>
      <c r="DW57" s="81">
        <v>71316</v>
      </c>
      <c r="DX57" s="81">
        <v>74304</v>
      </c>
      <c r="DY57" s="81">
        <v>77664</v>
      </c>
      <c r="DZ57" s="81">
        <v>81132</v>
      </c>
      <c r="EA57" s="81">
        <v>82692</v>
      </c>
      <c r="EB57" s="86">
        <v>83340</v>
      </c>
      <c r="EE57" s="88">
        <v>1961</v>
      </c>
      <c r="EF57" s="125">
        <v>32400</v>
      </c>
      <c r="EG57" s="103">
        <v>35700</v>
      </c>
      <c r="EH57" s="98">
        <v>37800</v>
      </c>
      <c r="EI57" s="103">
        <v>39600</v>
      </c>
      <c r="EJ57" s="103">
        <v>42000</v>
      </c>
      <c r="EK57" s="103">
        <v>43800</v>
      </c>
      <c r="EL57" s="103">
        <v>45000</v>
      </c>
      <c r="EM57" s="111">
        <v>48000</v>
      </c>
      <c r="EN57" s="103">
        <v>51300</v>
      </c>
      <c r="EO57" s="108">
        <v>53400</v>
      </c>
      <c r="EP57" s="81">
        <v>55500</v>
      </c>
      <c r="EQ57" s="81">
        <v>57600</v>
      </c>
      <c r="ER57" s="81">
        <v>60600</v>
      </c>
      <c r="ES57" s="81">
        <v>61176</v>
      </c>
      <c r="ET57" s="81">
        <v>62592</v>
      </c>
      <c r="EU57" s="81">
        <v>65064</v>
      </c>
      <c r="EV57" s="81">
        <v>67716</v>
      </c>
      <c r="EW57" s="81">
        <v>71316</v>
      </c>
      <c r="EX57" s="81">
        <v>74304</v>
      </c>
      <c r="EY57" s="81">
        <v>77664</v>
      </c>
      <c r="EZ57" s="81">
        <v>81132</v>
      </c>
      <c r="FA57" s="81">
        <v>82692</v>
      </c>
      <c r="FB57" s="86">
        <v>83340</v>
      </c>
    </row>
    <row r="58" spans="2:158" ht="16.5" thickBot="1" x14ac:dyDescent="0.3">
      <c r="B58" s="73"/>
      <c r="C58" s="73"/>
      <c r="D58" s="215">
        <f t="shared" si="0"/>
        <v>53</v>
      </c>
      <c r="E58" s="216">
        <f>[1]!PBGCLRF(65+D58/12)</f>
        <v>1.5608</v>
      </c>
      <c r="F58" s="73"/>
      <c r="G58" s="73"/>
      <c r="H58" s="73"/>
      <c r="I58" s="73"/>
      <c r="J58" s="48">
        <v>54</v>
      </c>
      <c r="K58" s="49">
        <v>0.73</v>
      </c>
      <c r="L58" s="73"/>
      <c r="M58" s="155">
        <v>54</v>
      </c>
      <c r="N58" s="49">
        <v>1.7447999999999999</v>
      </c>
      <c r="O58" s="73"/>
      <c r="P58" s="73"/>
      <c r="Q58" s="73"/>
      <c r="R58" s="219">
        <v>1</v>
      </c>
      <c r="S58" s="220">
        <v>2</v>
      </c>
      <c r="T58" s="220">
        <v>3</v>
      </c>
      <c r="U58" s="220">
        <v>4</v>
      </c>
      <c r="V58" s="220">
        <v>5</v>
      </c>
      <c r="W58" s="220">
        <v>6</v>
      </c>
      <c r="X58" s="220">
        <v>7</v>
      </c>
      <c r="Y58" s="220">
        <v>8</v>
      </c>
      <c r="Z58" s="220">
        <v>9</v>
      </c>
      <c r="AA58" s="220">
        <v>10</v>
      </c>
      <c r="AB58" s="220">
        <v>11</v>
      </c>
      <c r="AC58" s="220">
        <v>12</v>
      </c>
      <c r="AD58" s="220">
        <v>13</v>
      </c>
      <c r="AE58" s="220">
        <v>14</v>
      </c>
      <c r="AF58" s="220">
        <v>15</v>
      </c>
      <c r="AG58" s="220">
        <v>16</v>
      </c>
      <c r="AH58" s="220">
        <v>17</v>
      </c>
      <c r="AI58" s="220">
        <v>18</v>
      </c>
      <c r="AJ58" s="220">
        <v>19</v>
      </c>
      <c r="AK58" s="220">
        <v>20</v>
      </c>
      <c r="AL58" s="220">
        <v>21</v>
      </c>
      <c r="AM58" s="220">
        <v>22</v>
      </c>
      <c r="AN58" s="220">
        <v>23</v>
      </c>
      <c r="AO58" s="220">
        <v>24</v>
      </c>
      <c r="AP58" s="220">
        <v>25</v>
      </c>
      <c r="AQ58" s="220">
        <v>26</v>
      </c>
      <c r="AR58" s="220">
        <v>27</v>
      </c>
      <c r="AS58" s="220">
        <v>28</v>
      </c>
      <c r="AT58" s="220">
        <v>29</v>
      </c>
      <c r="AU58" s="220">
        <v>30</v>
      </c>
      <c r="AV58" s="220">
        <v>31</v>
      </c>
      <c r="AW58" s="220">
        <v>32</v>
      </c>
      <c r="AX58" s="220">
        <v>33</v>
      </c>
      <c r="AY58" s="220">
        <v>34</v>
      </c>
      <c r="AZ58" s="220">
        <v>35</v>
      </c>
      <c r="BA58" s="220">
        <v>36</v>
      </c>
      <c r="BB58" s="220">
        <v>37</v>
      </c>
      <c r="BC58" s="220">
        <v>38</v>
      </c>
      <c r="BD58" s="220">
        <v>39</v>
      </c>
      <c r="BE58" s="220">
        <v>40</v>
      </c>
      <c r="BF58" s="220">
        <v>41</v>
      </c>
      <c r="BG58" s="220">
        <v>42</v>
      </c>
      <c r="BH58" s="220">
        <v>43</v>
      </c>
      <c r="BI58" s="220">
        <v>44</v>
      </c>
      <c r="BJ58" s="220">
        <v>45</v>
      </c>
      <c r="BK58" s="220">
        <v>46</v>
      </c>
      <c r="BL58" s="220">
        <v>47</v>
      </c>
      <c r="BM58" s="220">
        <v>48</v>
      </c>
      <c r="BN58" s="220">
        <v>49</v>
      </c>
      <c r="BO58" s="220">
        <v>50</v>
      </c>
      <c r="BP58" s="220">
        <v>51</v>
      </c>
      <c r="BQ58" s="220">
        <v>52</v>
      </c>
      <c r="BR58" s="220">
        <v>53</v>
      </c>
      <c r="BS58" s="220">
        <v>54</v>
      </c>
      <c r="BT58" s="220">
        <v>55</v>
      </c>
      <c r="BU58" s="220">
        <v>56</v>
      </c>
      <c r="BV58" s="220">
        <v>57</v>
      </c>
      <c r="BW58" s="220">
        <v>58</v>
      </c>
      <c r="BX58" s="220">
        <v>59</v>
      </c>
      <c r="BY58" s="220">
        <v>60</v>
      </c>
      <c r="BZ58" s="220">
        <v>61</v>
      </c>
      <c r="CA58" s="220">
        <v>62</v>
      </c>
      <c r="CB58" s="220">
        <v>63</v>
      </c>
      <c r="CC58" s="220">
        <v>64</v>
      </c>
      <c r="CD58" s="220">
        <v>65</v>
      </c>
      <c r="CE58" s="220">
        <v>66</v>
      </c>
      <c r="CF58" s="220">
        <v>67</v>
      </c>
      <c r="CG58" s="220">
        <v>68</v>
      </c>
      <c r="CH58" s="220">
        <v>69</v>
      </c>
      <c r="CI58" s="220">
        <v>70</v>
      </c>
      <c r="CJ58" s="220">
        <v>71</v>
      </c>
      <c r="CK58" s="220">
        <v>72</v>
      </c>
      <c r="CL58" s="220">
        <v>73</v>
      </c>
      <c r="CM58" s="220">
        <v>74</v>
      </c>
      <c r="CN58" s="221">
        <v>75</v>
      </c>
      <c r="CO58" s="73"/>
      <c r="CP58" s="333"/>
      <c r="CQ58" s="333"/>
      <c r="CR58" s="333"/>
      <c r="CS58" s="333"/>
      <c r="CT58" s="333"/>
      <c r="CU58" s="333"/>
      <c r="CV58" s="333"/>
      <c r="CW58" s="333"/>
      <c r="CX58" s="333"/>
      <c r="CY58" s="333"/>
      <c r="CZ58" s="333"/>
      <c r="DA58" s="333"/>
      <c r="DN58" s="80">
        <v>1962</v>
      </c>
      <c r="DO58" s="84">
        <v>53400</v>
      </c>
      <c r="DP58" s="81">
        <v>55500</v>
      </c>
      <c r="DQ58" s="81">
        <v>57600</v>
      </c>
      <c r="DR58" s="81">
        <v>60600</v>
      </c>
      <c r="DS58" s="81">
        <v>61200</v>
      </c>
      <c r="DT58" s="81">
        <v>62652</v>
      </c>
      <c r="DU58" s="81">
        <v>65196</v>
      </c>
      <c r="DV58" s="81">
        <v>67944</v>
      </c>
      <c r="DW58" s="81">
        <v>71664</v>
      </c>
      <c r="DX58" s="81">
        <v>74748</v>
      </c>
      <c r="DY58" s="81">
        <v>78228</v>
      </c>
      <c r="DZ58" s="81">
        <v>81828</v>
      </c>
      <c r="EA58" s="81">
        <v>83448</v>
      </c>
      <c r="EB58" s="86">
        <v>84120</v>
      </c>
      <c r="EE58" s="88">
        <v>1962</v>
      </c>
      <c r="EF58" s="125">
        <v>32400</v>
      </c>
      <c r="EG58" s="103">
        <v>35700</v>
      </c>
      <c r="EH58" s="98">
        <v>37800</v>
      </c>
      <c r="EI58" s="103">
        <v>39600</v>
      </c>
      <c r="EJ58" s="103">
        <v>42000</v>
      </c>
      <c r="EK58" s="103">
        <v>43800</v>
      </c>
      <c r="EL58" s="103">
        <v>45000</v>
      </c>
      <c r="EM58" s="111">
        <v>48000</v>
      </c>
      <c r="EN58" s="103">
        <v>51300</v>
      </c>
      <c r="EO58" s="108">
        <v>53400</v>
      </c>
      <c r="EP58" s="81">
        <v>55500</v>
      </c>
      <c r="EQ58" s="81">
        <v>57600</v>
      </c>
      <c r="ER58" s="81">
        <v>60600</v>
      </c>
      <c r="ES58" s="81">
        <v>61200</v>
      </c>
      <c r="ET58" s="81">
        <v>62652</v>
      </c>
      <c r="EU58" s="81">
        <v>65196</v>
      </c>
      <c r="EV58" s="81">
        <v>67944</v>
      </c>
      <c r="EW58" s="81">
        <v>71664</v>
      </c>
      <c r="EX58" s="81">
        <v>74748</v>
      </c>
      <c r="EY58" s="81">
        <v>78228</v>
      </c>
      <c r="EZ58" s="81">
        <v>81828</v>
      </c>
      <c r="FA58" s="81">
        <v>83448</v>
      </c>
      <c r="FB58" s="86">
        <v>84120</v>
      </c>
    </row>
    <row r="59" spans="2:158" ht="15.75" x14ac:dyDescent="0.25">
      <c r="B59" s="73"/>
      <c r="C59" s="73"/>
      <c r="D59" s="215">
        <f t="shared" si="0"/>
        <v>54</v>
      </c>
      <c r="E59" s="216">
        <f>[1]!PBGCLRF(65+D59/12)</f>
        <v>1.575</v>
      </c>
      <c r="F59" s="73"/>
      <c r="G59" s="73"/>
      <c r="H59" s="73"/>
      <c r="I59" s="73"/>
      <c r="J59" s="48">
        <v>55</v>
      </c>
      <c r="K59" s="49">
        <v>0.72499999999999998</v>
      </c>
      <c r="L59" s="73"/>
      <c r="M59" s="155">
        <v>55</v>
      </c>
      <c r="N59" s="49">
        <v>1.7637</v>
      </c>
      <c r="O59" s="73"/>
      <c r="P59" s="73"/>
      <c r="Q59" s="73"/>
      <c r="R59" s="222">
        <v>0.81339765695614841</v>
      </c>
      <c r="S59" s="223">
        <v>0.81424126415066844</v>
      </c>
      <c r="T59" s="223">
        <v>0.81511804978989777</v>
      </c>
      <c r="U59" s="223">
        <v>0.81602911459403205</v>
      </c>
      <c r="V59" s="223">
        <v>0.81697558900929057</v>
      </c>
      <c r="W59" s="223">
        <v>0.81795863477587094</v>
      </c>
      <c r="X59" s="223">
        <v>0.81897944403768341</v>
      </c>
      <c r="Y59" s="223">
        <v>0.82003923330841255</v>
      </c>
      <c r="Z59" s="223">
        <v>0.82113923658837462</v>
      </c>
      <c r="AA59" s="223">
        <v>0.82228069874618592</v>
      </c>
      <c r="AB59" s="223">
        <v>0.82346486671592856</v>
      </c>
      <c r="AC59" s="223">
        <v>0.82469297970659261</v>
      </c>
      <c r="AD59" s="223">
        <v>0.82596625846410665</v>
      </c>
      <c r="AE59" s="223">
        <v>0.82728589369128847</v>
      </c>
      <c r="AF59" s="223">
        <v>0.82865303685454317</v>
      </c>
      <c r="AG59" s="223">
        <v>0.83006878623218061</v>
      </c>
      <c r="AH59" s="223">
        <v>0.83154255244775066</v>
      </c>
      <c r="AI59" s="223">
        <v>0.83308629412202406</v>
      </c>
      <c r="AJ59" s="223">
        <v>0.83470168012653811</v>
      </c>
      <c r="AK59" s="223">
        <v>0.83639019075359278</v>
      </c>
      <c r="AL59" s="223">
        <v>0.83815309736142374</v>
      </c>
      <c r="AM59" s="223">
        <v>0.8399914435490472</v>
      </c>
      <c r="AN59" s="223">
        <v>0.84190603596915869</v>
      </c>
      <c r="AO59" s="223">
        <v>0.84389742051802463</v>
      </c>
      <c r="AP59" s="223">
        <v>0.8459660674750219</v>
      </c>
      <c r="AQ59" s="223">
        <v>0.84811242279265942</v>
      </c>
      <c r="AR59" s="223">
        <v>0.85033664227311889</v>
      </c>
      <c r="AS59" s="223">
        <v>0.85263856547223038</v>
      </c>
      <c r="AT59" s="223">
        <v>0.85501769419992102</v>
      </c>
      <c r="AU59" s="223">
        <v>0.8574734414786036</v>
      </c>
      <c r="AV59" s="223">
        <v>0.86000520829456584</v>
      </c>
      <c r="AW59" s="223">
        <v>0.86261205043124511</v>
      </c>
      <c r="AX59" s="223">
        <v>0.86529264521082949</v>
      </c>
      <c r="AY59" s="223">
        <v>0.86804526973536966</v>
      </c>
      <c r="AZ59" s="223">
        <v>0.87086803648539768</v>
      </c>
      <c r="BA59" s="223">
        <v>0.87375899023269143</v>
      </c>
      <c r="BB59" s="223">
        <v>0.87671583846724876</v>
      </c>
      <c r="BC59" s="223">
        <v>0.87973594781866848</v>
      </c>
      <c r="BD59" s="223">
        <v>0.88281635025674177</v>
      </c>
      <c r="BE59" s="223">
        <v>0.88595369437723326</v>
      </c>
      <c r="BF59" s="223">
        <v>0.88914422422434614</v>
      </c>
      <c r="BG59" s="223">
        <v>0.89238386821840687</v>
      </c>
      <c r="BH59" s="223">
        <v>0.89566826339507299</v>
      </c>
      <c r="BI59" s="223">
        <v>0.89899278817010642</v>
      </c>
      <c r="BJ59" s="223">
        <v>0.90235251486991941</v>
      </c>
      <c r="BK59" s="223">
        <v>0.90574220823422125</v>
      </c>
      <c r="BL59" s="223">
        <v>0.90915647971426683</v>
      </c>
      <c r="BM59" s="223">
        <v>0.91258985963377826</v>
      </c>
      <c r="BN59" s="223">
        <v>0.91603681547988702</v>
      </c>
      <c r="BO59" s="223">
        <v>0.91949159415869053</v>
      </c>
      <c r="BP59" s="223">
        <v>0.92294819756907309</v>
      </c>
      <c r="BQ59" s="223">
        <v>0.92640064061666938</v>
      </c>
      <c r="BR59" s="223">
        <v>0.9298431120978331</v>
      </c>
      <c r="BS59" s="223">
        <v>0.93326987062788358</v>
      </c>
      <c r="BT59" s="223">
        <v>0.93667508430674429</v>
      </c>
      <c r="BU59" s="223">
        <v>0.94005279923896023</v>
      </c>
      <c r="BV59" s="223">
        <v>0.94339705600580237</v>
      </c>
      <c r="BW59" s="223">
        <v>0.9467022217698271</v>
      </c>
      <c r="BX59" s="223">
        <v>0.94996306432500432</v>
      </c>
      <c r="BY59" s="223">
        <v>0.95317454912066835</v>
      </c>
      <c r="BZ59" s="223">
        <v>0.95633175959185812</v>
      </c>
      <c r="CA59" s="223">
        <v>0.95943025139239768</v>
      </c>
      <c r="CB59" s="223">
        <v>0.96246612570388246</v>
      </c>
      <c r="CC59" s="223">
        <v>0.96543611093842463</v>
      </c>
      <c r="CD59" s="223">
        <v>0.96833753905858799</v>
      </c>
      <c r="CE59" s="223">
        <v>0.97116838790736704</v>
      </c>
      <c r="CF59" s="223">
        <v>0.97392753593703119</v>
      </c>
      <c r="CG59" s="223">
        <v>0.97661441681952599</v>
      </c>
      <c r="CH59" s="223">
        <v>0.97922814791776103</v>
      </c>
      <c r="CI59" s="223">
        <v>0.9817671064734601</v>
      </c>
      <c r="CJ59" s="223">
        <v>0.98422933484840758</v>
      </c>
      <c r="CK59" s="223">
        <v>0.98661314028762315</v>
      </c>
      <c r="CL59" s="223">
        <v>0.98891706648366318</v>
      </c>
      <c r="CM59" s="223">
        <v>0.99114019184712909</v>
      </c>
      <c r="CN59" s="224">
        <v>0.99328236623987753</v>
      </c>
      <c r="CO59" s="73"/>
      <c r="CP59" s="95"/>
      <c r="CQ59" s="95"/>
      <c r="CR59" s="231"/>
      <c r="CS59" s="252" t="s">
        <v>475</v>
      </c>
      <c r="CT59" s="252"/>
      <c r="CU59" s="95"/>
      <c r="CV59" s="95"/>
      <c r="CW59" s="95"/>
      <c r="CX59" s="95"/>
      <c r="CY59" s="95"/>
      <c r="CZ59" s="95"/>
      <c r="DA59" s="95"/>
      <c r="DB59" s="59" t="s">
        <v>327</v>
      </c>
      <c r="DC59" s="193"/>
      <c r="DD59" s="230"/>
      <c r="DE59" s="60" t="s">
        <v>193</v>
      </c>
      <c r="DF59" s="59" t="s">
        <v>464</v>
      </c>
      <c r="DH59" s="41">
        <v>0.87450000000000006</v>
      </c>
      <c r="DN59" s="80">
        <v>1963</v>
      </c>
      <c r="DO59" s="84">
        <v>53400</v>
      </c>
      <c r="DP59" s="81">
        <v>55500</v>
      </c>
      <c r="DQ59" s="81">
        <v>57600</v>
      </c>
      <c r="DR59" s="81">
        <v>60600</v>
      </c>
      <c r="DS59" s="81">
        <v>61200</v>
      </c>
      <c r="DT59" s="81">
        <v>62700</v>
      </c>
      <c r="DU59" s="81">
        <v>65316</v>
      </c>
      <c r="DV59" s="81">
        <v>68148</v>
      </c>
      <c r="DW59" s="81">
        <v>71988</v>
      </c>
      <c r="DX59" s="81">
        <v>75180</v>
      </c>
      <c r="DY59" s="81">
        <v>78780</v>
      </c>
      <c r="DZ59" s="81">
        <v>82500</v>
      </c>
      <c r="EA59" s="81">
        <v>84180</v>
      </c>
      <c r="EB59" s="86">
        <v>84876</v>
      </c>
      <c r="EE59" s="88">
        <v>1963</v>
      </c>
      <c r="EF59" s="125">
        <v>32400</v>
      </c>
      <c r="EG59" s="103">
        <v>35700</v>
      </c>
      <c r="EH59" s="98">
        <v>37800</v>
      </c>
      <c r="EI59" s="103">
        <v>39600</v>
      </c>
      <c r="EJ59" s="103">
        <v>42000</v>
      </c>
      <c r="EK59" s="103">
        <v>43800</v>
      </c>
      <c r="EL59" s="103">
        <v>45000</v>
      </c>
      <c r="EM59" s="111">
        <v>48000</v>
      </c>
      <c r="EN59" s="103">
        <v>51300</v>
      </c>
      <c r="EO59" s="108">
        <v>53400</v>
      </c>
      <c r="EP59" s="81">
        <v>55500</v>
      </c>
      <c r="EQ59" s="81">
        <v>57600</v>
      </c>
      <c r="ER59" s="81">
        <v>60600</v>
      </c>
      <c r="ES59" s="81">
        <v>61200</v>
      </c>
      <c r="ET59" s="81">
        <v>62700</v>
      </c>
      <c r="EU59" s="81">
        <v>65316</v>
      </c>
      <c r="EV59" s="81">
        <v>68148</v>
      </c>
      <c r="EW59" s="81">
        <v>71988</v>
      </c>
      <c r="EX59" s="81">
        <v>75180</v>
      </c>
      <c r="EY59" s="81">
        <v>78780</v>
      </c>
      <c r="EZ59" s="81">
        <v>82500</v>
      </c>
      <c r="FA59" s="81">
        <v>84180</v>
      </c>
      <c r="FB59" s="86">
        <v>84876</v>
      </c>
    </row>
    <row r="60" spans="2:158" ht="15.75" x14ac:dyDescent="0.25">
      <c r="B60" s="73"/>
      <c r="C60" s="73"/>
      <c r="D60" s="215">
        <f t="shared" si="0"/>
        <v>55</v>
      </c>
      <c r="E60" s="216">
        <f>[1]!PBGCLRF(65+D60/12)</f>
        <v>1.5891999999999999</v>
      </c>
      <c r="F60" s="73"/>
      <c r="G60" s="73"/>
      <c r="H60" s="73"/>
      <c r="I60" s="73"/>
      <c r="J60" s="48">
        <v>56</v>
      </c>
      <c r="K60" s="49">
        <v>0.72</v>
      </c>
      <c r="L60" s="73"/>
      <c r="M60" s="155">
        <v>56</v>
      </c>
      <c r="N60" s="49">
        <v>1.7827999999999999</v>
      </c>
      <c r="O60" s="73"/>
      <c r="P60" s="73"/>
      <c r="Q60" s="73"/>
      <c r="R60" s="155">
        <v>0.80604957899182583</v>
      </c>
      <c r="S60" s="159">
        <v>0.80689855870490312</v>
      </c>
      <c r="T60" s="159">
        <v>0.80778089247677221</v>
      </c>
      <c r="U60" s="159">
        <v>0.80869767653130908</v>
      </c>
      <c r="V60" s="159">
        <v>0.8096500353325865</v>
      </c>
      <c r="W60" s="159">
        <v>0.81063912260707982</v>
      </c>
      <c r="X60" s="159">
        <v>0.81166612292019547</v>
      </c>
      <c r="Y60" s="159">
        <v>0.81273225058850029</v>
      </c>
      <c r="Z60" s="159">
        <v>0.81383874302000869</v>
      </c>
      <c r="AA60" s="159">
        <v>0.81498685312524344</v>
      </c>
      <c r="AB60" s="159">
        <v>0.81617784200248589</v>
      </c>
      <c r="AC60" s="159">
        <v>0.81741296924436313</v>
      </c>
      <c r="AD60" s="159">
        <v>0.81869348215699433</v>
      </c>
      <c r="AE60" s="159">
        <v>0.82002060393113763</v>
      </c>
      <c r="AF60" s="159">
        <v>0.82139552087439416</v>
      </c>
      <c r="AG60" s="159">
        <v>0.82281937219511025</v>
      </c>
      <c r="AH60" s="159">
        <v>0.82430214359925968</v>
      </c>
      <c r="AI60" s="159">
        <v>0.82585657898478948</v>
      </c>
      <c r="AJ60" s="159">
        <v>0.82748450483152713</v>
      </c>
      <c r="AK60" s="159">
        <v>0.8291875615962031</v>
      </c>
      <c r="AL60" s="159">
        <v>0.83096718286097371</v>
      </c>
      <c r="AM60" s="159">
        <v>0.83282457604939208</v>
      </c>
      <c r="AN60" s="159">
        <v>0.83476071310111499</v>
      </c>
      <c r="AO60" s="159">
        <v>0.83677630565825956</v>
      </c>
      <c r="AP60" s="159">
        <v>0.83887200290613617</v>
      </c>
      <c r="AQ60" s="159">
        <v>0.84104844772647369</v>
      </c>
      <c r="AR60" s="159">
        <v>0.84330599377738669</v>
      </c>
      <c r="AS60" s="159">
        <v>0.84564467763945605</v>
      </c>
      <c r="AT60" s="159">
        <v>0.84806419601933758</v>
      </c>
      <c r="AU60" s="159">
        <v>0.85056417181354138</v>
      </c>
      <c r="AV60" s="159">
        <v>0.85314423729505195</v>
      </c>
      <c r="AW60" s="159">
        <v>0.85580367778242405</v>
      </c>
      <c r="AX60" s="159">
        <v>0.85854139528499962</v>
      </c>
      <c r="AY60" s="159">
        <v>0.86135588417737707</v>
      </c>
      <c r="AZ60" s="159">
        <v>0.86424548254457845</v>
      </c>
      <c r="BA60" s="159">
        <v>0.86720847567139314</v>
      </c>
      <c r="BB60" s="159">
        <v>0.87024280531705833</v>
      </c>
      <c r="BC60" s="159">
        <v>0.87334606336843523</v>
      </c>
      <c r="BD60" s="159">
        <v>0.87651549576002308</v>
      </c>
      <c r="BE60" s="159">
        <v>0.87974794645134868</v>
      </c>
      <c r="BF60" s="159">
        <v>0.88303983004719167</v>
      </c>
      <c r="BG60" s="159">
        <v>0.88638722296243733</v>
      </c>
      <c r="BH60" s="159">
        <v>0.88978588547693815</v>
      </c>
      <c r="BI60" s="159">
        <v>0.89323129278595959</v>
      </c>
      <c r="BJ60" s="159">
        <v>0.89671857895071339</v>
      </c>
      <c r="BK60" s="159">
        <v>0.90024252934905358</v>
      </c>
      <c r="BL60" s="159">
        <v>0.90379774188941853</v>
      </c>
      <c r="BM60" s="159">
        <v>0.90737870063788884</v>
      </c>
      <c r="BN60" s="159">
        <v>0.9109797915085075</v>
      </c>
      <c r="BO60" s="159">
        <v>0.91459512669370546</v>
      </c>
      <c r="BP60" s="159">
        <v>0.91821851247420405</v>
      </c>
      <c r="BQ60" s="159">
        <v>0.92184372428991013</v>
      </c>
      <c r="BR60" s="159">
        <v>0.92546467794163734</v>
      </c>
      <c r="BS60" s="159">
        <v>0.92907531439004165</v>
      </c>
      <c r="BT60" s="159">
        <v>0.93266942252453511</v>
      </c>
      <c r="BU60" s="159">
        <v>0.93624060265358455</v>
      </c>
      <c r="BV60" s="159">
        <v>0.93978239265690855</v>
      </c>
      <c r="BW60" s="159">
        <v>0.94328863372737837</v>
      </c>
      <c r="BX60" s="159">
        <v>0.94675355542280859</v>
      </c>
      <c r="BY60" s="159">
        <v>0.95017155850937218</v>
      </c>
      <c r="BZ60" s="159">
        <v>0.95353713082090708</v>
      </c>
      <c r="CA60" s="159">
        <v>0.95684523794939413</v>
      </c>
      <c r="CB60" s="159">
        <v>0.96009140812326232</v>
      </c>
      <c r="CC60" s="159">
        <v>0.96327182663736122</v>
      </c>
      <c r="CD60" s="159">
        <v>0.96638331489128149</v>
      </c>
      <c r="CE60" s="159">
        <v>0.96942338148629992</v>
      </c>
      <c r="CF60" s="159">
        <v>0.97239050721973408</v>
      </c>
      <c r="CG60" s="159">
        <v>0.97528377399169663</v>
      </c>
      <c r="CH60" s="159">
        <v>0.97810191400632218</v>
      </c>
      <c r="CI60" s="159">
        <v>0.98084284531970778</v>
      </c>
      <c r="CJ60" s="159">
        <v>0.98350411581213315</v>
      </c>
      <c r="CK60" s="159">
        <v>0.9860835635448103</v>
      </c>
      <c r="CL60" s="159">
        <v>0.98857929051102067</v>
      </c>
      <c r="CM60" s="159">
        <v>0.99098999339535232</v>
      </c>
      <c r="CN60" s="49">
        <v>0.99331522606721012</v>
      </c>
      <c r="CO60" s="73"/>
      <c r="CP60" s="37" t="s">
        <v>480</v>
      </c>
      <c r="CQ60" s="37" t="s">
        <v>168</v>
      </c>
      <c r="CR60" s="96"/>
      <c r="CS60" s="253" t="s">
        <v>473</v>
      </c>
      <c r="CT60" s="253" t="s">
        <v>474</v>
      </c>
      <c r="CU60" s="96"/>
      <c r="CV60" s="96"/>
      <c r="CW60" s="96"/>
      <c r="CX60" s="96"/>
      <c r="CY60" s="96"/>
      <c r="CZ60" s="96"/>
      <c r="DA60" s="96"/>
      <c r="DN60" s="80">
        <v>1964</v>
      </c>
      <c r="DO60" s="84">
        <v>53400</v>
      </c>
      <c r="DP60" s="81">
        <v>55500</v>
      </c>
      <c r="DQ60" s="81">
        <v>57600</v>
      </c>
      <c r="DR60" s="81">
        <v>60600</v>
      </c>
      <c r="DS60" s="81">
        <v>61200</v>
      </c>
      <c r="DT60" s="81">
        <v>62700</v>
      </c>
      <c r="DU60" s="81">
        <v>65400</v>
      </c>
      <c r="DV60" s="81">
        <v>68304</v>
      </c>
      <c r="DW60" s="81">
        <v>72264</v>
      </c>
      <c r="DX60" s="81">
        <v>75564</v>
      </c>
      <c r="DY60" s="81">
        <v>79284</v>
      </c>
      <c r="DZ60" s="81">
        <v>83136</v>
      </c>
      <c r="EA60" s="81">
        <v>84876</v>
      </c>
      <c r="EB60" s="86">
        <v>85596</v>
      </c>
      <c r="EE60" s="88">
        <v>1964</v>
      </c>
      <c r="EF60" s="125">
        <v>32400</v>
      </c>
      <c r="EG60" s="103">
        <v>35700</v>
      </c>
      <c r="EH60" s="98">
        <v>37800</v>
      </c>
      <c r="EI60" s="103">
        <v>39600</v>
      </c>
      <c r="EJ60" s="103">
        <v>42000</v>
      </c>
      <c r="EK60" s="103">
        <v>43800</v>
      </c>
      <c r="EL60" s="103">
        <v>45000</v>
      </c>
      <c r="EM60" s="111">
        <v>48000</v>
      </c>
      <c r="EN60" s="103">
        <v>51300</v>
      </c>
      <c r="EO60" s="108">
        <v>53400</v>
      </c>
      <c r="EP60" s="81">
        <v>55500</v>
      </c>
      <c r="EQ60" s="81">
        <v>57600</v>
      </c>
      <c r="ER60" s="81">
        <v>60600</v>
      </c>
      <c r="ES60" s="81">
        <v>61200</v>
      </c>
      <c r="ET60" s="81">
        <v>62700</v>
      </c>
      <c r="EU60" s="81">
        <v>65400</v>
      </c>
      <c r="EV60" s="81">
        <v>68304</v>
      </c>
      <c r="EW60" s="81">
        <v>72264</v>
      </c>
      <c r="EX60" s="81">
        <v>75564</v>
      </c>
      <c r="EY60" s="81">
        <v>79284</v>
      </c>
      <c r="EZ60" s="81">
        <v>83136</v>
      </c>
      <c r="FA60" s="81">
        <v>84876</v>
      </c>
      <c r="FB60" s="86">
        <v>85596</v>
      </c>
    </row>
    <row r="61" spans="2:158" ht="16.5" thickBot="1" x14ac:dyDescent="0.3">
      <c r="B61" s="73"/>
      <c r="C61" s="73"/>
      <c r="D61" s="215">
        <f t="shared" si="0"/>
        <v>56</v>
      </c>
      <c r="E61" s="216">
        <f>[1]!PBGCLRF(65+D61/12)</f>
        <v>1.6032999999999999</v>
      </c>
      <c r="F61" s="73"/>
      <c r="G61" s="73"/>
      <c r="H61" s="73"/>
      <c r="I61" s="73"/>
      <c r="J61" s="48">
        <v>57</v>
      </c>
      <c r="K61" s="49">
        <v>0.71499999999999997</v>
      </c>
      <c r="L61" s="73"/>
      <c r="M61" s="155">
        <v>57</v>
      </c>
      <c r="N61" s="49">
        <v>1.802</v>
      </c>
      <c r="O61" s="73"/>
      <c r="P61" s="73"/>
      <c r="Q61" s="73"/>
      <c r="R61" s="155">
        <v>0.79861157199098187</v>
      </c>
      <c r="S61" s="159">
        <v>0.79946598356828869</v>
      </c>
      <c r="T61" s="159">
        <v>0.80035391869388606</v>
      </c>
      <c r="U61" s="159">
        <v>0.80127646302737132</v>
      </c>
      <c r="V61" s="159">
        <v>0.80223473310642734</v>
      </c>
      <c r="W61" s="159">
        <v>0.80322987286169223</v>
      </c>
      <c r="X61" s="159">
        <v>0.80426305458062364</v>
      </c>
      <c r="Y61" s="159">
        <v>0.80533548046479264</v>
      </c>
      <c r="Z61" s="159">
        <v>0.80644838129166208</v>
      </c>
      <c r="AA61" s="159">
        <v>0.8076030090263222</v>
      </c>
      <c r="AB61" s="159">
        <v>0.8088006284108793</v>
      </c>
      <c r="AC61" s="159">
        <v>0.8100425088332347</v>
      </c>
      <c r="AD61" s="159">
        <v>0.81132991359592188</v>
      </c>
      <c r="AE61" s="159">
        <v>0.81266408797962231</v>
      </c>
      <c r="AF61" s="159">
        <v>0.81404624613855869</v>
      </c>
      <c r="AG61" s="159">
        <v>0.81547755693922652</v>
      </c>
      <c r="AH61" s="159">
        <v>0.81696860369477131</v>
      </c>
      <c r="AI61" s="159">
        <v>0.81853295609827303</v>
      </c>
      <c r="AJ61" s="159">
        <v>0.82017259832780809</v>
      </c>
      <c r="AK61" s="159">
        <v>0.82188933092432059</v>
      </c>
      <c r="AL61" s="159">
        <v>0.82368474930097701</v>
      </c>
      <c r="AM61" s="159">
        <v>0.82556022399231188</v>
      </c>
      <c r="AN61" s="159">
        <v>0.82751689151033581</v>
      </c>
      <c r="AO61" s="159">
        <v>0.82955562834279983</v>
      </c>
      <c r="AP61" s="159">
        <v>0.83167726247340201</v>
      </c>
      <c r="AQ61" s="159">
        <v>0.83388263491805248</v>
      </c>
      <c r="AR61" s="159">
        <v>0.83617229874429921</v>
      </c>
      <c r="AS61" s="159">
        <v>0.83854648953058208</v>
      </c>
      <c r="AT61" s="159">
        <v>0.84100510094393588</v>
      </c>
      <c r="AU61" s="159">
        <v>0.84354796934518772</v>
      </c>
      <c r="AV61" s="159">
        <v>0.84617496435815198</v>
      </c>
      <c r="AW61" s="159">
        <v>0.84888560811430558</v>
      </c>
      <c r="AX61" s="159">
        <v>0.8516790356142272</v>
      </c>
      <c r="AY61" s="159">
        <v>0.85455396778904957</v>
      </c>
      <c r="AZ61" s="159">
        <v>0.85750897989593022</v>
      </c>
      <c r="BA61" s="159">
        <v>0.86054261291585921</v>
      </c>
      <c r="BB61" s="159">
        <v>0.86365306062590508</v>
      </c>
      <c r="BC61" s="159">
        <v>0.8668381605552492</v>
      </c>
      <c r="BD61" s="159">
        <v>0.87009539557420856</v>
      </c>
      <c r="BE61" s="159">
        <v>0.87342183082877467</v>
      </c>
      <c r="BF61" s="159">
        <v>0.87681408005399941</v>
      </c>
      <c r="BG61" s="159">
        <v>0.88026839903219467</v>
      </c>
      <c r="BH61" s="159">
        <v>0.88378070482303872</v>
      </c>
      <c r="BI61" s="159">
        <v>0.88734660504670038</v>
      </c>
      <c r="BJ61" s="159">
        <v>0.89096133301224456</v>
      </c>
      <c r="BK61" s="159">
        <v>0.89461973395694772</v>
      </c>
      <c r="BL61" s="159">
        <v>0.89831643327264166</v>
      </c>
      <c r="BM61" s="159">
        <v>0.90204591080861674</v>
      </c>
      <c r="BN61" s="159">
        <v>0.90580251344827667</v>
      </c>
      <c r="BO61" s="159">
        <v>0.90958026037002448</v>
      </c>
      <c r="BP61" s="159">
        <v>0.91337280199480952</v>
      </c>
      <c r="BQ61" s="159">
        <v>0.91717371250251567</v>
      </c>
      <c r="BR61" s="159">
        <v>0.92097667161882235</v>
      </c>
      <c r="BS61" s="159">
        <v>0.92477533626185549</v>
      </c>
      <c r="BT61" s="159">
        <v>0.92856314439512622</v>
      </c>
      <c r="BU61" s="159">
        <v>0.93233327146276035</v>
      </c>
      <c r="BV61" s="159">
        <v>0.9360787646318518</v>
      </c>
      <c r="BW61" s="159">
        <v>0.93979294149012027</v>
      </c>
      <c r="BX61" s="159">
        <v>0.94346948815267784</v>
      </c>
      <c r="BY61" s="159">
        <v>0.94710222724940762</v>
      </c>
      <c r="BZ61" s="159">
        <v>0.95068502897524287</v>
      </c>
      <c r="CA61" s="159">
        <v>0.95421224107265423</v>
      </c>
      <c r="CB61" s="159">
        <v>0.95767878684388508</v>
      </c>
      <c r="CC61" s="159">
        <v>0.96108027365230575</v>
      </c>
      <c r="CD61" s="159">
        <v>0.96441297567273154</v>
      </c>
      <c r="CE61" s="159">
        <v>0.96767389459030406</v>
      </c>
      <c r="CF61" s="159">
        <v>0.97086107706804026</v>
      </c>
      <c r="CG61" s="159">
        <v>0.9739732156903439</v>
      </c>
      <c r="CH61" s="159">
        <v>0.9770086126960893</v>
      </c>
      <c r="CI61" s="159">
        <v>0.97996467219648131</v>
      </c>
      <c r="CJ61" s="159">
        <v>0.98283838598424744</v>
      </c>
      <c r="CK61" s="159">
        <v>0.98562705978216425</v>
      </c>
      <c r="CL61" s="159">
        <v>0.98832828862378252</v>
      </c>
      <c r="CM61" s="159">
        <v>0.99094032525423714</v>
      </c>
      <c r="CN61" s="49">
        <v>0.99346237355543754</v>
      </c>
      <c r="CO61" s="73"/>
      <c r="CP61" s="73">
        <v>7.4999999999999997E-2</v>
      </c>
      <c r="CQ61">
        <v>7</v>
      </c>
      <c r="CR61" s="96"/>
      <c r="CS61" s="253" t="s">
        <v>472</v>
      </c>
      <c r="CT61" s="253"/>
      <c r="CU61" s="96"/>
      <c r="CV61" s="96"/>
      <c r="CW61" s="96"/>
      <c r="CX61" s="96"/>
      <c r="CY61" s="96"/>
      <c r="CZ61" s="96"/>
      <c r="DA61" s="96"/>
      <c r="DN61" s="80">
        <v>1965</v>
      </c>
      <c r="DO61" s="84">
        <v>53400</v>
      </c>
      <c r="DP61" s="81">
        <v>55500</v>
      </c>
      <c r="DQ61" s="81">
        <v>57600</v>
      </c>
      <c r="DR61" s="81">
        <v>60600</v>
      </c>
      <c r="DS61" s="81">
        <v>61200</v>
      </c>
      <c r="DT61" s="81">
        <v>62700</v>
      </c>
      <c r="DU61" s="81">
        <v>65400</v>
      </c>
      <c r="DV61" s="81">
        <v>68400</v>
      </c>
      <c r="DW61" s="81">
        <v>72480</v>
      </c>
      <c r="DX61" s="81">
        <v>75864</v>
      </c>
      <c r="DY61" s="81">
        <v>79704</v>
      </c>
      <c r="DZ61" s="81">
        <v>83700</v>
      </c>
      <c r="EA61" s="81">
        <v>85500</v>
      </c>
      <c r="EB61" s="86">
        <v>86244</v>
      </c>
      <c r="EE61" s="88">
        <v>1965</v>
      </c>
      <c r="EF61" s="125">
        <v>32400</v>
      </c>
      <c r="EG61" s="103">
        <v>35700</v>
      </c>
      <c r="EH61" s="98">
        <v>37800</v>
      </c>
      <c r="EI61" s="103">
        <v>39600</v>
      </c>
      <c r="EJ61" s="103">
        <v>42000</v>
      </c>
      <c r="EK61" s="103">
        <v>43800</v>
      </c>
      <c r="EL61" s="103">
        <v>45000</v>
      </c>
      <c r="EM61" s="111">
        <v>48000</v>
      </c>
      <c r="EN61" s="103">
        <v>51300</v>
      </c>
      <c r="EO61" s="108">
        <v>53400</v>
      </c>
      <c r="EP61" s="81">
        <v>55500</v>
      </c>
      <c r="EQ61" s="81">
        <v>57600</v>
      </c>
      <c r="ER61" s="81">
        <v>60600</v>
      </c>
      <c r="ES61" s="81">
        <v>61200</v>
      </c>
      <c r="ET61" s="81">
        <v>62700</v>
      </c>
      <c r="EU61" s="81">
        <v>65400</v>
      </c>
      <c r="EV61" s="81">
        <v>68400</v>
      </c>
      <c r="EW61" s="81">
        <v>72480</v>
      </c>
      <c r="EX61" s="81">
        <v>75864</v>
      </c>
      <c r="EY61" s="81">
        <v>79704</v>
      </c>
      <c r="EZ61" s="81">
        <v>83700</v>
      </c>
      <c r="FA61" s="81">
        <v>85500</v>
      </c>
      <c r="FB61" s="86">
        <v>86244</v>
      </c>
    </row>
    <row r="62" spans="2:158" ht="16.5" thickTop="1" x14ac:dyDescent="0.25">
      <c r="B62" s="73"/>
      <c r="C62" s="73"/>
      <c r="D62" s="215">
        <f t="shared" si="0"/>
        <v>57</v>
      </c>
      <c r="E62" s="216">
        <f>[1]!PBGCLRF(65+D62/12)</f>
        <v>1.6174999999999999</v>
      </c>
      <c r="F62" s="73"/>
      <c r="G62" s="73"/>
      <c r="H62" s="73"/>
      <c r="I62" s="73"/>
      <c r="J62" s="48">
        <v>58</v>
      </c>
      <c r="K62" s="49">
        <v>0.71</v>
      </c>
      <c r="L62" s="73"/>
      <c r="M62" s="155">
        <v>58</v>
      </c>
      <c r="N62" s="49">
        <v>1.8216000000000001</v>
      </c>
      <c r="O62" s="73"/>
      <c r="P62" s="73"/>
      <c r="Q62" s="73"/>
      <c r="R62" s="155">
        <v>0.79110893055001974</v>
      </c>
      <c r="S62" s="159">
        <v>0.79196886131908073</v>
      </c>
      <c r="T62" s="159">
        <v>0.79286248401114956</v>
      </c>
      <c r="U62" s="159">
        <v>0.7937908672960623</v>
      </c>
      <c r="V62" s="159">
        <v>0.79475511297951784</v>
      </c>
      <c r="W62" s="159">
        <v>0.79575635284097235</v>
      </c>
      <c r="X62" s="159">
        <v>0.79679574468123671</v>
      </c>
      <c r="Y62" s="159">
        <v>0.79787447318884297</v>
      </c>
      <c r="Z62" s="159">
        <v>0.7989937514399057</v>
      </c>
      <c r="AA62" s="159">
        <v>0.80015481924172127</v>
      </c>
      <c r="AB62" s="159">
        <v>0.80135893489022303</v>
      </c>
      <c r="AC62" s="159">
        <v>0.80260736579575331</v>
      </c>
      <c r="AD62" s="159">
        <v>0.80390137938717876</v>
      </c>
      <c r="AE62" s="159">
        <v>0.80524223116197446</v>
      </c>
      <c r="AF62" s="159">
        <v>0.80663115139031139</v>
      </c>
      <c r="AG62" s="159">
        <v>0.80806933050594243</v>
      </c>
      <c r="AH62" s="159">
        <v>0.80956797265357272</v>
      </c>
      <c r="AI62" s="159">
        <v>0.81114151633529463</v>
      </c>
      <c r="AJ62" s="159">
        <v>0.81279210360831466</v>
      </c>
      <c r="AK62" s="159">
        <v>0.81452169505040384</v>
      </c>
      <c r="AL62" s="159">
        <v>0.81633204759571087</v>
      </c>
      <c r="AM62" s="159">
        <v>0.81822469415671206</v>
      </c>
      <c r="AN62" s="159">
        <v>0.82020093469698574</v>
      </c>
      <c r="AO62" s="159">
        <v>0.82226180931256565</v>
      </c>
      <c r="AP62" s="159">
        <v>0.82440832419081778</v>
      </c>
      <c r="AQ62" s="159">
        <v>0.82664151918640905</v>
      </c>
      <c r="AR62" s="159">
        <v>0.82896214767914445</v>
      </c>
      <c r="AS62" s="159">
        <v>0.83137064538542982</v>
      </c>
      <c r="AT62" s="159">
        <v>0.83386710439119749</v>
      </c>
      <c r="AU62" s="159">
        <v>0.83645157727049713</v>
      </c>
      <c r="AV62" s="159">
        <v>0.83912417604783163</v>
      </c>
      <c r="AW62" s="159">
        <v>0.84188466576040433</v>
      </c>
      <c r="AX62" s="159">
        <v>0.84473242159785011</v>
      </c>
      <c r="AY62" s="159">
        <v>0.84766639917638797</v>
      </c>
      <c r="AZ62" s="159">
        <v>0.85068542129205083</v>
      </c>
      <c r="BA62" s="159">
        <v>0.85378829821176583</v>
      </c>
      <c r="BB62" s="159">
        <v>0.85697349179753979</v>
      </c>
      <c r="BC62" s="159">
        <v>0.86023910400042403</v>
      </c>
      <c r="BD62" s="159">
        <v>0.86358287622892504</v>
      </c>
      <c r="BE62" s="159">
        <v>0.86700211885308442</v>
      </c>
      <c r="BF62" s="159">
        <v>0.87049367154615598</v>
      </c>
      <c r="BG62" s="159">
        <v>0.87405399960482366</v>
      </c>
      <c r="BH62" s="159">
        <v>0.87767921004258098</v>
      </c>
      <c r="BI62" s="159">
        <v>0.88136507844914047</v>
      </c>
      <c r="BJ62" s="159">
        <v>0.88510697472720923</v>
      </c>
      <c r="BK62" s="159">
        <v>0.88889984300524794</v>
      </c>
      <c r="BL62" s="159">
        <v>0.89273837781327336</v>
      </c>
      <c r="BM62" s="159">
        <v>0.89661709869337147</v>
      </c>
      <c r="BN62" s="159">
        <v>0.90053035847499985</v>
      </c>
      <c r="BO62" s="159">
        <v>0.90447212748151662</v>
      </c>
      <c r="BP62" s="159">
        <v>0.9084359428368054</v>
      </c>
      <c r="BQ62" s="159">
        <v>0.91241521942982673</v>
      </c>
      <c r="BR62" s="159">
        <v>0.91640344222306291</v>
      </c>
      <c r="BS62" s="159">
        <v>0.92039402311126961</v>
      </c>
      <c r="BT62" s="159">
        <v>0.92438008290152829</v>
      </c>
      <c r="BU62" s="159">
        <v>0.92835439943461762</v>
      </c>
      <c r="BV62" s="159">
        <v>0.93230954877779848</v>
      </c>
      <c r="BW62" s="159">
        <v>0.93623833733471995</v>
      </c>
      <c r="BX62" s="159">
        <v>0.94013391031106153</v>
      </c>
      <c r="BY62" s="159">
        <v>0.943989504786516</v>
      </c>
      <c r="BZ62" s="159">
        <v>0.94779835588420658</v>
      </c>
      <c r="CA62" s="159">
        <v>0.95155416989552677</v>
      </c>
      <c r="CB62" s="159">
        <v>0.95525123625321284</v>
      </c>
      <c r="CC62" s="159">
        <v>0.9588845520256194</v>
      </c>
      <c r="CD62" s="159">
        <v>0.96244980897493548</v>
      </c>
      <c r="CE62" s="159">
        <v>0.96594346550545296</v>
      </c>
      <c r="CF62" s="159">
        <v>0.96936309984921787</v>
      </c>
      <c r="CG62" s="159">
        <v>0.97270697972866438</v>
      </c>
      <c r="CH62" s="159">
        <v>0.97597293201767787</v>
      </c>
      <c r="CI62" s="159">
        <v>0.97915778849493729</v>
      </c>
      <c r="CJ62" s="159">
        <v>0.98225791888555358</v>
      </c>
      <c r="CK62" s="159">
        <v>0.98527002930145213</v>
      </c>
      <c r="CL62" s="159">
        <v>0.98819113872662645</v>
      </c>
      <c r="CM62" s="159">
        <v>0.99101898784420406</v>
      </c>
      <c r="CN62" s="49">
        <v>0.99375236905316566</v>
      </c>
      <c r="CO62" s="73"/>
      <c r="CP62" s="73">
        <v>7.4999999999999997E-2</v>
      </c>
      <c r="CQ62">
        <v>999</v>
      </c>
      <c r="CR62" s="96"/>
      <c r="CS62" s="254">
        <v>57</v>
      </c>
      <c r="CT62" s="312">
        <v>875</v>
      </c>
      <c r="CU62" s="312">
        <v>1100</v>
      </c>
      <c r="CV62" s="255">
        <v>1800</v>
      </c>
      <c r="CW62" s="96"/>
      <c r="CX62" s="96"/>
      <c r="CY62" s="96"/>
      <c r="CZ62" s="96"/>
      <c r="DA62" s="96"/>
      <c r="DN62" s="80">
        <v>1966</v>
      </c>
      <c r="DO62" s="84">
        <v>53400</v>
      </c>
      <c r="DP62" s="81">
        <v>55500</v>
      </c>
      <c r="DQ62" s="81">
        <v>57600</v>
      </c>
      <c r="DR62" s="81">
        <v>60600</v>
      </c>
      <c r="DS62" s="81">
        <v>61200</v>
      </c>
      <c r="DT62" s="81">
        <v>62700</v>
      </c>
      <c r="DU62" s="81">
        <v>65400</v>
      </c>
      <c r="DV62" s="81">
        <v>68400</v>
      </c>
      <c r="DW62" s="81">
        <v>72600</v>
      </c>
      <c r="DX62" s="81">
        <v>76092</v>
      </c>
      <c r="DY62" s="81">
        <v>80052</v>
      </c>
      <c r="DZ62" s="81">
        <v>84168</v>
      </c>
      <c r="EA62" s="81">
        <v>86028</v>
      </c>
      <c r="EB62" s="86">
        <v>86796</v>
      </c>
      <c r="EE62" s="88">
        <v>1966</v>
      </c>
      <c r="EF62" s="125">
        <v>32400</v>
      </c>
      <c r="EG62" s="103">
        <v>35700</v>
      </c>
      <c r="EH62" s="98">
        <v>37800</v>
      </c>
      <c r="EI62" s="103">
        <v>39600</v>
      </c>
      <c r="EJ62" s="103">
        <v>42000</v>
      </c>
      <c r="EK62" s="103">
        <v>43800</v>
      </c>
      <c r="EL62" s="103">
        <v>45000</v>
      </c>
      <c r="EM62" s="111">
        <v>48000</v>
      </c>
      <c r="EN62" s="103">
        <v>51300</v>
      </c>
      <c r="EO62" s="108">
        <v>53400</v>
      </c>
      <c r="EP62" s="81">
        <v>55500</v>
      </c>
      <c r="EQ62" s="81">
        <v>57600</v>
      </c>
      <c r="ER62" s="81">
        <v>60600</v>
      </c>
      <c r="ES62" s="81">
        <v>61200</v>
      </c>
      <c r="ET62" s="81">
        <v>62700</v>
      </c>
      <c r="EU62" s="81">
        <v>65400</v>
      </c>
      <c r="EV62" s="81">
        <v>68400</v>
      </c>
      <c r="EW62" s="81">
        <v>72600</v>
      </c>
      <c r="EX62" s="81">
        <v>76092</v>
      </c>
      <c r="EY62" s="81">
        <v>80052</v>
      </c>
      <c r="EZ62" s="81">
        <v>84168</v>
      </c>
      <c r="FA62" s="81">
        <v>86028</v>
      </c>
      <c r="FB62" s="86">
        <v>86796</v>
      </c>
    </row>
    <row r="63" spans="2:158" ht="15.75" x14ac:dyDescent="0.25">
      <c r="B63" s="73"/>
      <c r="C63" s="73"/>
      <c r="D63" s="215">
        <f t="shared" si="0"/>
        <v>58</v>
      </c>
      <c r="E63" s="216">
        <f>[1]!PBGCLRF(65+D63/12)</f>
        <v>1.6316999999999999</v>
      </c>
      <c r="F63" s="73"/>
      <c r="G63" s="73"/>
      <c r="H63" s="73"/>
      <c r="I63" s="73"/>
      <c r="J63" s="48">
        <v>59</v>
      </c>
      <c r="K63" s="49">
        <v>0.70499999999999996</v>
      </c>
      <c r="L63" s="73"/>
      <c r="M63" s="155">
        <v>59</v>
      </c>
      <c r="N63" s="49">
        <v>1.8412999999999999</v>
      </c>
      <c r="O63" s="73"/>
      <c r="P63" s="73"/>
      <c r="Q63" s="73"/>
      <c r="R63" s="155">
        <v>0.78356444442591455</v>
      </c>
      <c r="S63" s="159">
        <v>0.78443000301545074</v>
      </c>
      <c r="T63" s="159">
        <v>0.78532942611905387</v>
      </c>
      <c r="U63" s="159">
        <v>0.78626375877498589</v>
      </c>
      <c r="V63" s="159">
        <v>0.78723408079933166</v>
      </c>
      <c r="W63" s="159">
        <v>0.78824150413810146</v>
      </c>
      <c r="X63" s="159">
        <v>0.78928716923175701</v>
      </c>
      <c r="Y63" s="159">
        <v>0.79037224050539967</v>
      </c>
      <c r="Z63" s="159">
        <v>0.79149790708559464</v>
      </c>
      <c r="AA63" s="159">
        <v>0.79266538419094146</v>
      </c>
      <c r="AB63" s="159">
        <v>0.79387591107064315</v>
      </c>
      <c r="AC63" s="159">
        <v>0.79513074175306286</v>
      </c>
      <c r="AD63" s="159">
        <v>0.79643113453298608</v>
      </c>
      <c r="AE63" s="159">
        <v>0.79777834172708051</v>
      </c>
      <c r="AF63" s="159">
        <v>0.79917359628129936</v>
      </c>
      <c r="AG63" s="159">
        <v>0.80061809686264751</v>
      </c>
      <c r="AH63" s="159">
        <v>0.80212369707401432</v>
      </c>
      <c r="AI63" s="159">
        <v>0.80370574983814447</v>
      </c>
      <c r="AJ63" s="159">
        <v>0.80536655524113265</v>
      </c>
      <c r="AK63" s="159">
        <v>0.80710823394727482</v>
      </c>
      <c r="AL63" s="159">
        <v>0.80893270413136575</v>
      </c>
      <c r="AM63" s="159">
        <v>0.81084166042886741</v>
      </c>
      <c r="AN63" s="159">
        <v>0.81283656509826752</v>
      </c>
      <c r="AO63" s="159">
        <v>0.8149186201437727</v>
      </c>
      <c r="AP63" s="159">
        <v>0.81708900902228809</v>
      </c>
      <c r="AQ63" s="159">
        <v>0.8193489706773569</v>
      </c>
      <c r="AR63" s="159">
        <v>0.82169945916183773</v>
      </c>
      <c r="AS63" s="159">
        <v>0.82414111075974072</v>
      </c>
      <c r="AT63" s="159">
        <v>0.82667421652089268</v>
      </c>
      <c r="AU63" s="159">
        <v>0.82929904738683369</v>
      </c>
      <c r="AV63" s="159">
        <v>0.83201596205166528</v>
      </c>
      <c r="AW63" s="159">
        <v>0.83482497348732809</v>
      </c>
      <c r="AX63" s="159">
        <v>0.83772570301595262</v>
      </c>
      <c r="AY63" s="159">
        <v>0.84071734789482211</v>
      </c>
      <c r="AZ63" s="159">
        <v>0.84379898767355088</v>
      </c>
      <c r="BA63" s="159">
        <v>0.84696971437402424</v>
      </c>
      <c r="BB63" s="159">
        <v>0.85022827238401111</v>
      </c>
      <c r="BC63" s="159">
        <v>0.85357304514432575</v>
      </c>
      <c r="BD63" s="159">
        <v>0.85700205258689854</v>
      </c>
      <c r="BE63" s="159">
        <v>0.86051287297678358</v>
      </c>
      <c r="BF63" s="159">
        <v>0.86410259689747082</v>
      </c>
      <c r="BG63" s="159">
        <v>0.86776792753053256</v>
      </c>
      <c r="BH63" s="159">
        <v>0.87150519383441727</v>
      </c>
      <c r="BI63" s="159">
        <v>0.87531037468031891</v>
      </c>
      <c r="BJ63" s="159">
        <v>0.87917901393608389</v>
      </c>
      <c r="BK63" s="159">
        <v>0.88310619357095999</v>
      </c>
      <c r="BL63" s="159">
        <v>0.88708671884689072</v>
      </c>
      <c r="BM63" s="159">
        <v>0.89111519375545922</v>
      </c>
      <c r="BN63" s="159">
        <v>0.89518602424491345</v>
      </c>
      <c r="BO63" s="159">
        <v>0.89929317865205094</v>
      </c>
      <c r="BP63" s="159">
        <v>0.90343012601198258</v>
      </c>
      <c r="BQ63" s="159">
        <v>0.90759016698320805</v>
      </c>
      <c r="BR63" s="159">
        <v>0.91176663726481821</v>
      </c>
      <c r="BS63" s="159">
        <v>0.91595274754308686</v>
      </c>
      <c r="BT63" s="159">
        <v>0.92014134098220224</v>
      </c>
      <c r="BU63" s="159">
        <v>0.92432483080823613</v>
      </c>
      <c r="BV63" s="159">
        <v>0.92849534820710777</v>
      </c>
      <c r="BW63" s="159">
        <v>0.93264520900084869</v>
      </c>
      <c r="BX63" s="159">
        <v>0.93676703091284708</v>
      </c>
      <c r="BY63" s="159">
        <v>0.94085346625469279</v>
      </c>
      <c r="BZ63" s="159">
        <v>0.94489710382053949</v>
      </c>
      <c r="CA63" s="159">
        <v>0.94889098966462027</v>
      </c>
      <c r="CB63" s="159">
        <v>0.95282875483761376</v>
      </c>
      <c r="CC63" s="159">
        <v>0.95670475700051449</v>
      </c>
      <c r="CD63" s="159">
        <v>0.96051407298422864</v>
      </c>
      <c r="CE63" s="159">
        <v>0.96425258321534413</v>
      </c>
      <c r="CF63" s="159">
        <v>0.96791736499520842</v>
      </c>
      <c r="CG63" s="159">
        <v>0.97150622833356004</v>
      </c>
      <c r="CH63" s="159">
        <v>0.97501648119474749</v>
      </c>
      <c r="CI63" s="159">
        <v>0.97844432316286822</v>
      </c>
      <c r="CJ63" s="159">
        <v>0.98178543122893103</v>
      </c>
      <c r="CK63" s="159">
        <v>0.98503583965808594</v>
      </c>
      <c r="CL63" s="159">
        <v>0.98819191768460268</v>
      </c>
      <c r="CM63" s="159">
        <v>0.99125082185528579</v>
      </c>
      <c r="CN63" s="49">
        <v>0.99421086562962269</v>
      </c>
      <c r="CO63" s="73"/>
      <c r="CP63" s="96"/>
      <c r="CQ63" s="96"/>
      <c r="CR63" s="96"/>
      <c r="CS63" s="256">
        <v>58</v>
      </c>
      <c r="CT63" s="313">
        <v>950</v>
      </c>
      <c r="CU63" s="313">
        <v>1300</v>
      </c>
      <c r="CV63" s="257">
        <v>2000</v>
      </c>
      <c r="CW63" s="96"/>
      <c r="CX63" s="96"/>
      <c r="CY63" s="96"/>
      <c r="CZ63" s="96"/>
      <c r="DA63" s="96"/>
      <c r="DN63" s="80">
        <v>1967</v>
      </c>
      <c r="DO63" s="84">
        <v>53400</v>
      </c>
      <c r="DP63" s="81">
        <v>55500</v>
      </c>
      <c r="DQ63" s="81">
        <v>57600</v>
      </c>
      <c r="DR63" s="81">
        <v>60600</v>
      </c>
      <c r="DS63" s="81">
        <v>61200</v>
      </c>
      <c r="DT63" s="81">
        <v>62700</v>
      </c>
      <c r="DU63" s="81">
        <v>65400</v>
      </c>
      <c r="DV63" s="81">
        <v>68400</v>
      </c>
      <c r="DW63" s="81">
        <v>72600</v>
      </c>
      <c r="DX63" s="81">
        <v>76200</v>
      </c>
      <c r="DY63" s="81">
        <v>80280</v>
      </c>
      <c r="DZ63" s="81">
        <v>84516</v>
      </c>
      <c r="EA63" s="81">
        <v>86436</v>
      </c>
      <c r="EB63" s="86">
        <v>87240</v>
      </c>
      <c r="EE63" s="88">
        <v>1967</v>
      </c>
      <c r="EF63" s="125">
        <v>32400</v>
      </c>
      <c r="EG63" s="103">
        <v>35700</v>
      </c>
      <c r="EH63" s="98">
        <v>37800</v>
      </c>
      <c r="EI63" s="103">
        <v>39600</v>
      </c>
      <c r="EJ63" s="103">
        <v>42000</v>
      </c>
      <c r="EK63" s="103">
        <v>43800</v>
      </c>
      <c r="EL63" s="103">
        <v>45000</v>
      </c>
      <c r="EM63" s="111">
        <v>48000</v>
      </c>
      <c r="EN63" s="103">
        <v>51300</v>
      </c>
      <c r="EO63" s="108">
        <v>53400</v>
      </c>
      <c r="EP63" s="81">
        <v>55500</v>
      </c>
      <c r="EQ63" s="81">
        <v>57600</v>
      </c>
      <c r="ER63" s="81">
        <v>60600</v>
      </c>
      <c r="ES63" s="81">
        <v>61200</v>
      </c>
      <c r="ET63" s="81">
        <v>62700</v>
      </c>
      <c r="EU63" s="81">
        <v>65400</v>
      </c>
      <c r="EV63" s="81">
        <v>68400</v>
      </c>
      <c r="EW63" s="81">
        <v>72600</v>
      </c>
      <c r="EX63" s="81">
        <v>76200</v>
      </c>
      <c r="EY63" s="81">
        <v>80280</v>
      </c>
      <c r="EZ63" s="81">
        <v>84516</v>
      </c>
      <c r="FA63" s="81">
        <v>86436</v>
      </c>
      <c r="FB63" s="86">
        <v>87240</v>
      </c>
    </row>
    <row r="64" spans="2:158" ht="15.75" x14ac:dyDescent="0.25">
      <c r="B64" s="73"/>
      <c r="C64" s="73"/>
      <c r="D64" s="215">
        <f t="shared" si="0"/>
        <v>59</v>
      </c>
      <c r="E64" s="216">
        <f>[1]!PBGCLRF(65+D64/12)</f>
        <v>1.6457999999999999</v>
      </c>
      <c r="F64" s="73"/>
      <c r="G64" s="73"/>
      <c r="H64" s="73"/>
      <c r="I64" s="73"/>
      <c r="J64" s="48">
        <v>60</v>
      </c>
      <c r="K64" s="49">
        <v>0.7</v>
      </c>
      <c r="L64" s="73"/>
      <c r="M64" s="155">
        <v>60</v>
      </c>
      <c r="N64" s="49">
        <v>1.8613</v>
      </c>
      <c r="O64" s="73"/>
      <c r="P64" s="73"/>
      <c r="Q64" s="73"/>
      <c r="R64" s="155">
        <v>0.77599854509471833</v>
      </c>
      <c r="S64" s="159">
        <v>0.77686987939119334</v>
      </c>
      <c r="T64" s="159">
        <v>0.7777752644176531</v>
      </c>
      <c r="U64" s="159">
        <v>0.7787157121815077</v>
      </c>
      <c r="V64" s="159">
        <v>0.77969227298079169</v>
      </c>
      <c r="W64" s="159">
        <v>0.780706030716115</v>
      </c>
      <c r="X64" s="159">
        <v>0.78175809977874</v>
      </c>
      <c r="Y64" s="159">
        <v>0.78284962084481546</v>
      </c>
      <c r="Z64" s="159">
        <v>0.78398175569646522</v>
      </c>
      <c r="AA64" s="159">
        <v>0.78515568772024025</v>
      </c>
      <c r="AB64" s="159">
        <v>0.78637262311849609</v>
      </c>
      <c r="AC64" s="159">
        <v>0.78763378833125808</v>
      </c>
      <c r="AD64" s="159">
        <v>0.78894041958422034</v>
      </c>
      <c r="AE64" s="159">
        <v>0.79029375102032584</v>
      </c>
      <c r="AF64" s="159">
        <v>0.79169500307631568</v>
      </c>
      <c r="AG64" s="159">
        <v>0.79314536736806029</v>
      </c>
      <c r="AH64" s="159">
        <v>0.79465737464755781</v>
      </c>
      <c r="AI64" s="159">
        <v>0.79624734392795438</v>
      </c>
      <c r="AJ64" s="159">
        <v>0.7979177337405865</v>
      </c>
      <c r="AK64" s="159">
        <v>0.79967082494112274</v>
      </c>
      <c r="AL64" s="159">
        <v>0.80150869684674009</v>
      </c>
      <c r="AM64" s="159">
        <v>0.8034332052588965</v>
      </c>
      <c r="AN64" s="159">
        <v>0.80544597371347393</v>
      </c>
      <c r="AO64" s="159">
        <v>0.80754836441966493</v>
      </c>
      <c r="AP64" s="159">
        <v>0.80974173681249983</v>
      </c>
      <c r="AQ64" s="159">
        <v>0.81202752894621766</v>
      </c>
      <c r="AR64" s="159">
        <v>0.81440689547144318</v>
      </c>
      <c r="AS64" s="159">
        <v>0.8168806731198428</v>
      </c>
      <c r="AT64" s="159">
        <v>0.81944935169883837</v>
      </c>
      <c r="AU64" s="159">
        <v>0.82211342185586012</v>
      </c>
      <c r="AV64" s="159">
        <v>0.82487349275613697</v>
      </c>
      <c r="AW64" s="159">
        <v>0.82772982955580854</v>
      </c>
      <c r="AX64" s="159">
        <v>0.83068230454259429</v>
      </c>
      <c r="AY64" s="159">
        <v>0.83373036223147634</v>
      </c>
      <c r="AZ64" s="159">
        <v>0.83687334704610628</v>
      </c>
      <c r="BA64" s="159">
        <v>0.84011064417503978</v>
      </c>
      <c r="BB64" s="159">
        <v>0.84344129386091515</v>
      </c>
      <c r="BC64" s="159">
        <v>0.84686397643360556</v>
      </c>
      <c r="BD64" s="159">
        <v>0.85037700857415799</v>
      </c>
      <c r="BE64" s="159">
        <v>0.85397825740869937</v>
      </c>
      <c r="BF64" s="159">
        <v>0.85766508795538354</v>
      </c>
      <c r="BG64" s="159">
        <v>0.86143446770959098</v>
      </c>
      <c r="BH64" s="159">
        <v>0.86528297768213547</v>
      </c>
      <c r="BI64" s="159">
        <v>0.86920683410267607</v>
      </c>
      <c r="BJ64" s="159">
        <v>0.8732017918978715</v>
      </c>
      <c r="BK64" s="159">
        <v>0.87726310980720412</v>
      </c>
      <c r="BL64" s="159">
        <v>0.88138574531364899</v>
      </c>
      <c r="BM64" s="159">
        <v>0.88556443154363673</v>
      </c>
      <c r="BN64" s="159">
        <v>0.88979367562210809</v>
      </c>
      <c r="BO64" s="159">
        <v>0.8940674929362028</v>
      </c>
      <c r="BP64" s="159">
        <v>0.89837933229461975</v>
      </c>
      <c r="BQ64" s="159">
        <v>0.90272242784897128</v>
      </c>
      <c r="BR64" s="159">
        <v>0.90709001473542017</v>
      </c>
      <c r="BS64" s="159">
        <v>0.91147515046062644</v>
      </c>
      <c r="BT64" s="159">
        <v>0.91587044474510426</v>
      </c>
      <c r="BU64" s="159">
        <v>0.92026798470603688</v>
      </c>
      <c r="BV64" s="159">
        <v>0.92465948838257128</v>
      </c>
      <c r="BW64" s="159">
        <v>0.92903680824038315</v>
      </c>
      <c r="BX64" s="159">
        <v>0.93339205633891276</v>
      </c>
      <c r="BY64" s="159">
        <v>0.93771731208287956</v>
      </c>
      <c r="BZ64" s="159">
        <v>0.94200451473208868</v>
      </c>
      <c r="CA64" s="159">
        <v>0.94624603736590429</v>
      </c>
      <c r="CB64" s="159">
        <v>0.95043483277959551</v>
      </c>
      <c r="CC64" s="159">
        <v>0.95456459448685271</v>
      </c>
      <c r="CD64" s="159">
        <v>0.95862975495230063</v>
      </c>
      <c r="CE64" s="159">
        <v>0.96262558460342784</v>
      </c>
      <c r="CF64" s="159">
        <v>0.96654862930165786</v>
      </c>
      <c r="CG64" s="159">
        <v>0.97039621020718181</v>
      </c>
      <c r="CH64" s="159">
        <v>0.97416507458295798</v>
      </c>
      <c r="CI64" s="159">
        <v>0.97785073019784152</v>
      </c>
      <c r="CJ64" s="159">
        <v>0.98144808769485703</v>
      </c>
      <c r="CK64" s="159">
        <v>0.98495243120283871</v>
      </c>
      <c r="CL64" s="159">
        <v>0.9883594001807352</v>
      </c>
      <c r="CM64" s="159">
        <v>0.99166548978547531</v>
      </c>
      <c r="CN64" s="49">
        <v>0.99486846291814734</v>
      </c>
      <c r="CO64" s="73"/>
      <c r="CP64" s="37" t="s">
        <v>480</v>
      </c>
      <c r="CQ64" s="37" t="s">
        <v>481</v>
      </c>
      <c r="CR64" s="96"/>
      <c r="CS64" s="256">
        <v>59</v>
      </c>
      <c r="CT64" s="313">
        <v>1100</v>
      </c>
      <c r="CU64" s="313">
        <v>1500</v>
      </c>
      <c r="CV64" s="257">
        <v>2100</v>
      </c>
      <c r="CW64" s="96"/>
      <c r="CX64" s="96"/>
      <c r="CY64" s="96"/>
      <c r="CZ64" s="96"/>
      <c r="DA64" s="96"/>
      <c r="DB64" t="s">
        <v>632</v>
      </c>
      <c r="DN64" s="80">
        <v>1968</v>
      </c>
      <c r="DO64" s="84">
        <v>53400</v>
      </c>
      <c r="DP64" s="81">
        <v>55500</v>
      </c>
      <c r="DQ64" s="81">
        <v>57600</v>
      </c>
      <c r="DR64" s="81">
        <v>60600</v>
      </c>
      <c r="DS64" s="81">
        <v>61200</v>
      </c>
      <c r="DT64" s="81">
        <v>62700</v>
      </c>
      <c r="DU64" s="81">
        <v>65400</v>
      </c>
      <c r="DV64" s="81">
        <v>68400</v>
      </c>
      <c r="DW64" s="81">
        <v>72600</v>
      </c>
      <c r="DX64" s="81">
        <v>76200</v>
      </c>
      <c r="DY64" s="81">
        <v>80400</v>
      </c>
      <c r="DZ64" s="81">
        <v>84768</v>
      </c>
      <c r="EA64" s="81">
        <v>86748</v>
      </c>
      <c r="EB64" s="86">
        <v>87564</v>
      </c>
      <c r="EE64" s="88">
        <v>1968</v>
      </c>
      <c r="EF64" s="125">
        <v>32400</v>
      </c>
      <c r="EG64" s="103">
        <v>35700</v>
      </c>
      <c r="EH64" s="98">
        <v>37800</v>
      </c>
      <c r="EI64" s="103">
        <v>39600</v>
      </c>
      <c r="EJ64" s="103">
        <v>42000</v>
      </c>
      <c r="EK64" s="103">
        <v>43800</v>
      </c>
      <c r="EL64" s="103">
        <v>45000</v>
      </c>
      <c r="EM64" s="111">
        <v>48000</v>
      </c>
      <c r="EN64" s="103">
        <v>51300</v>
      </c>
      <c r="EO64" s="108">
        <v>53400</v>
      </c>
      <c r="EP64" s="81">
        <v>55500</v>
      </c>
      <c r="EQ64" s="81">
        <v>57600</v>
      </c>
      <c r="ER64" s="81">
        <v>60600</v>
      </c>
      <c r="ES64" s="81">
        <v>61200</v>
      </c>
      <c r="ET64" s="81">
        <v>62700</v>
      </c>
      <c r="EU64" s="81">
        <v>65400</v>
      </c>
      <c r="EV64" s="81">
        <v>68400</v>
      </c>
      <c r="EW64" s="81">
        <v>72600</v>
      </c>
      <c r="EX64" s="81">
        <v>76200</v>
      </c>
      <c r="EY64" s="81">
        <v>80400</v>
      </c>
      <c r="EZ64" s="81">
        <v>84768</v>
      </c>
      <c r="FA64" s="81">
        <v>86748</v>
      </c>
      <c r="FB64" s="86">
        <v>87564</v>
      </c>
    </row>
    <row r="65" spans="2:158" ht="15.75" x14ac:dyDescent="0.25">
      <c r="B65" s="73"/>
      <c r="C65" s="73"/>
      <c r="D65" s="215">
        <f t="shared" si="0"/>
        <v>60</v>
      </c>
      <c r="E65" s="216">
        <f>[1]!PBGCLRF(65+D65/12)</f>
        <v>1.66</v>
      </c>
      <c r="F65" s="73"/>
      <c r="G65" s="73"/>
      <c r="H65" s="73"/>
      <c r="I65" s="73"/>
      <c r="J65" s="48">
        <v>61</v>
      </c>
      <c r="K65" s="49">
        <v>0.69499999999999995</v>
      </c>
      <c r="L65" s="73"/>
      <c r="M65" s="155">
        <v>61</v>
      </c>
      <c r="N65" s="49">
        <v>1.8815999999999999</v>
      </c>
      <c r="O65" s="73"/>
      <c r="P65" s="73"/>
      <c r="Q65" s="73"/>
      <c r="R65" s="155">
        <v>0.76843077892609568</v>
      </c>
      <c r="S65" s="159">
        <v>0.76930804780090278</v>
      </c>
      <c r="T65" s="159">
        <v>0.77021957390221196</v>
      </c>
      <c r="U65" s="159">
        <v>0.7711663291615195</v>
      </c>
      <c r="V65" s="159">
        <v>0.77214932369304989</v>
      </c>
      <c r="W65" s="159">
        <v>0.77316960471160034</v>
      </c>
      <c r="X65" s="159">
        <v>0.77422825115290961</v>
      </c>
      <c r="Y65" s="159">
        <v>0.77532636999531013</v>
      </c>
      <c r="Z65" s="159">
        <v>0.77646509136293385</v>
      </c>
      <c r="AA65" s="159">
        <v>0.77764556253868811</v>
      </c>
      <c r="AB65" s="159">
        <v>0.77886894815325713</v>
      </c>
      <c r="AC65" s="159">
        <v>0.78013643112335351</v>
      </c>
      <c r="AD65" s="159">
        <v>0.781449209412727</v>
      </c>
      <c r="AE65" s="159">
        <v>0.78280848414071058</v>
      </c>
      <c r="AF65" s="159">
        <v>0.78421544608683025</v>
      </c>
      <c r="AG65" s="159">
        <v>0.78567126239860441</v>
      </c>
      <c r="AH65" s="159">
        <v>0.78718916921487314</v>
      </c>
      <c r="AI65" s="159">
        <v>0.7887865068350185</v>
      </c>
      <c r="AJ65" s="159">
        <v>0.79046589285440227</v>
      </c>
      <c r="AK65" s="159">
        <v>0.79222976860801408</v>
      </c>
      <c r="AL65" s="159">
        <v>0.79408037440505874</v>
      </c>
      <c r="AM65" s="159">
        <v>0.7960197267329302</v>
      </c>
      <c r="AN65" s="159">
        <v>0.79804960937221203</v>
      </c>
      <c r="AO65" s="159">
        <v>0.8001715430527917</v>
      </c>
      <c r="AP65" s="159">
        <v>0.80238706182659558</v>
      </c>
      <c r="AQ65" s="159">
        <v>0.80469780254551115</v>
      </c>
      <c r="AR65" s="159">
        <v>0.80710512002395807</v>
      </c>
      <c r="AS65" s="159">
        <v>0.80961005072828141</v>
      </c>
      <c r="AT65" s="159">
        <v>0.81221328229341661</v>
      </c>
      <c r="AU65" s="159">
        <v>0.81491552557081071</v>
      </c>
      <c r="AV65" s="159">
        <v>0.81771764326350038</v>
      </c>
      <c r="AW65" s="159">
        <v>0.82062015639359831</v>
      </c>
      <c r="AX65" s="159">
        <v>0.82362319212975488</v>
      </c>
      <c r="AY65" s="159">
        <v>0.82672644657862437</v>
      </c>
      <c r="AZ65" s="159">
        <v>0.82992953573632067</v>
      </c>
      <c r="BA65" s="159">
        <v>0.83323214840993498</v>
      </c>
      <c r="BB65" s="159">
        <v>0.8366336329262416</v>
      </c>
      <c r="BC65" s="159">
        <v>0.84013298076315512</v>
      </c>
      <c r="BD65" s="159">
        <v>0.84372882184853282</v>
      </c>
      <c r="BE65" s="159">
        <v>0.84741933131120029</v>
      </c>
      <c r="BF65" s="159">
        <v>0.85120217033250656</v>
      </c>
      <c r="BG65" s="159">
        <v>0.85507459571599631</v>
      </c>
      <c r="BH65" s="159">
        <v>0.85903346868518304</v>
      </c>
      <c r="BI65" s="159">
        <v>0.86307527504978432</v>
      </c>
      <c r="BJ65" s="159">
        <v>0.8671960167360997</v>
      </c>
      <c r="BK65" s="159">
        <v>0.87139116801851502</v>
      </c>
      <c r="BL65" s="159">
        <v>0.87565588032503305</v>
      </c>
      <c r="BM65" s="159">
        <v>0.87998506078519478</v>
      </c>
      <c r="BN65" s="159">
        <v>0.88437336599491378</v>
      </c>
      <c r="BO65" s="159">
        <v>0.88881490857295398</v>
      </c>
      <c r="BP65" s="159">
        <v>0.89330316735588577</v>
      </c>
      <c r="BQ65" s="159">
        <v>0.89783136080148485</v>
      </c>
      <c r="BR65" s="159">
        <v>0.90239267538817836</v>
      </c>
      <c r="BS65" s="159">
        <v>0.90698006717526491</v>
      </c>
      <c r="BT65" s="159">
        <v>0.91158596114230628</v>
      </c>
      <c r="BU65" s="159">
        <v>0.91620216170077395</v>
      </c>
      <c r="BV65" s="159">
        <v>0.92082001115560852</v>
      </c>
      <c r="BW65" s="159">
        <v>0.92543093182101965</v>
      </c>
      <c r="BX65" s="159">
        <v>0.93002655912380272</v>
      </c>
      <c r="BY65" s="159">
        <v>0.9345984203929919</v>
      </c>
      <c r="BZ65" s="159">
        <v>0.93913781372112282</v>
      </c>
      <c r="CA65" s="159">
        <v>0.94363643509230943</v>
      </c>
      <c r="CB65" s="159">
        <v>0.94808654562046724</v>
      </c>
      <c r="CC65" s="159">
        <v>0.95248115491427987</v>
      </c>
      <c r="CD65" s="159">
        <v>0.95681402637516988</v>
      </c>
      <c r="CE65" s="159">
        <v>0.96107979170862656</v>
      </c>
      <c r="CF65" s="159">
        <v>0.96527443816539549</v>
      </c>
      <c r="CG65" s="159">
        <v>0.96939476933110547</v>
      </c>
      <c r="CH65" s="159">
        <v>0.97343693067041004</v>
      </c>
      <c r="CI65" s="159">
        <v>0.97739567827548246</v>
      </c>
      <c r="CJ65" s="159">
        <v>0.98126508105811416</v>
      </c>
      <c r="CK65" s="159">
        <v>0.9850395904742304</v>
      </c>
      <c r="CL65" s="159">
        <v>0.9887140283056739</v>
      </c>
      <c r="CM65" s="159">
        <v>0.99228414320633807</v>
      </c>
      <c r="CN65" s="49">
        <v>0.99574707023370312</v>
      </c>
      <c r="CO65" s="73"/>
      <c r="CP65" s="73">
        <v>7.0000000000000007E-2</v>
      </c>
      <c r="CQ65">
        <v>7</v>
      </c>
      <c r="CR65" s="96"/>
      <c r="CS65" s="256">
        <v>60</v>
      </c>
      <c r="CT65" s="313">
        <v>1150</v>
      </c>
      <c r="CU65" s="313">
        <v>1600</v>
      </c>
      <c r="CV65" s="257">
        <v>2100</v>
      </c>
      <c r="CW65" s="96"/>
      <c r="CX65" s="96"/>
      <c r="CY65" s="96"/>
      <c r="CZ65" s="96"/>
      <c r="DA65" s="96"/>
      <c r="DB65" t="s">
        <v>633</v>
      </c>
      <c r="DF65" t="s">
        <v>640</v>
      </c>
      <c r="DG65" t="s">
        <v>641</v>
      </c>
      <c r="DH65" t="s">
        <v>642</v>
      </c>
      <c r="DI65" t="s">
        <v>643</v>
      </c>
      <c r="DN65" s="87">
        <v>1969</v>
      </c>
      <c r="DO65" s="84">
        <v>53400</v>
      </c>
      <c r="DP65" s="81">
        <v>55500</v>
      </c>
      <c r="DQ65" s="81">
        <v>57600</v>
      </c>
      <c r="DR65" s="81">
        <v>60600</v>
      </c>
      <c r="DS65" s="81">
        <v>61200</v>
      </c>
      <c r="DT65" s="81">
        <v>62700</v>
      </c>
      <c r="DU65" s="81">
        <v>65400</v>
      </c>
      <c r="DV65" s="81">
        <v>68400</v>
      </c>
      <c r="DW65" s="81">
        <v>72600</v>
      </c>
      <c r="DX65" s="81">
        <v>76200</v>
      </c>
      <c r="DY65" s="81">
        <v>80400</v>
      </c>
      <c r="DZ65" s="81">
        <v>84900</v>
      </c>
      <c r="EA65" s="81">
        <v>86940</v>
      </c>
      <c r="EB65" s="86">
        <v>87780</v>
      </c>
      <c r="EE65" s="117">
        <v>1969</v>
      </c>
      <c r="EF65" s="125">
        <v>32400</v>
      </c>
      <c r="EG65" s="103">
        <v>35700</v>
      </c>
      <c r="EH65" s="98">
        <v>37800</v>
      </c>
      <c r="EI65" s="103">
        <v>39600</v>
      </c>
      <c r="EJ65" s="103">
        <v>42000</v>
      </c>
      <c r="EK65" s="103">
        <v>43800</v>
      </c>
      <c r="EL65" s="103">
        <v>45000</v>
      </c>
      <c r="EM65" s="111">
        <v>48000</v>
      </c>
      <c r="EN65" s="103">
        <v>51300</v>
      </c>
      <c r="EO65" s="108">
        <v>53400</v>
      </c>
      <c r="EP65" s="81">
        <v>55500</v>
      </c>
      <c r="EQ65" s="81">
        <v>57600</v>
      </c>
      <c r="ER65" s="81">
        <v>60600</v>
      </c>
      <c r="ES65" s="81">
        <v>61200</v>
      </c>
      <c r="ET65" s="81">
        <v>62700</v>
      </c>
      <c r="EU65" s="81">
        <v>65400</v>
      </c>
      <c r="EV65" s="81">
        <v>68400</v>
      </c>
      <c r="EW65" s="81">
        <v>72600</v>
      </c>
      <c r="EX65" s="81">
        <v>76200</v>
      </c>
      <c r="EY65" s="81">
        <v>80400</v>
      </c>
      <c r="EZ65" s="81">
        <v>84900</v>
      </c>
      <c r="FA65" s="81">
        <v>86940</v>
      </c>
      <c r="FB65" s="86">
        <v>87780</v>
      </c>
    </row>
    <row r="66" spans="2:158" ht="15.75" x14ac:dyDescent="0.25">
      <c r="B66" s="73"/>
      <c r="C66" s="73"/>
      <c r="D66" s="215">
        <f t="shared" si="0"/>
        <v>61</v>
      </c>
      <c r="E66" s="216">
        <f>[1]!PBGCLRF(65+D66/12)</f>
        <v>1.6830000000000001</v>
      </c>
      <c r="F66" s="73"/>
      <c r="G66" s="73"/>
      <c r="H66" s="73"/>
      <c r="I66" s="73"/>
      <c r="J66" s="48">
        <v>62</v>
      </c>
      <c r="K66" s="49">
        <v>0.69</v>
      </c>
      <c r="L66" s="73"/>
      <c r="M66" s="155">
        <v>62</v>
      </c>
      <c r="N66" s="49">
        <v>1.9023000000000001</v>
      </c>
      <c r="O66" s="73"/>
      <c r="P66" s="73"/>
      <c r="Q66" s="73"/>
      <c r="R66" s="155">
        <v>0.76088193992267728</v>
      </c>
      <c r="S66" s="159">
        <v>0.76176530791661312</v>
      </c>
      <c r="T66" s="159">
        <v>0.76268316712927176</v>
      </c>
      <c r="U66" s="159">
        <v>0.76363644235060146</v>
      </c>
      <c r="V66" s="159">
        <v>0.76462609531241299</v>
      </c>
      <c r="W66" s="159">
        <v>0.76565312436992494</v>
      </c>
      <c r="X66" s="159">
        <v>0.76671856302343266</v>
      </c>
      <c r="Y66" s="159">
        <v>0.76782347370913195</v>
      </c>
      <c r="Z66" s="159">
        <v>0.76896894342591826</v>
      </c>
      <c r="AA66" s="159">
        <v>0.77015607799648511</v>
      </c>
      <c r="AB66" s="159">
        <v>0.77138599509822303</v>
      </c>
      <c r="AC66" s="159">
        <v>0.77265982402244138</v>
      </c>
      <c r="AD66" s="159">
        <v>0.77397870621362275</v>
      </c>
      <c r="AE66" s="159">
        <v>0.77534379118292596</v>
      </c>
      <c r="AF66" s="159">
        <v>0.77675622287762125</v>
      </c>
      <c r="AG66" s="159">
        <v>0.77821712421762901</v>
      </c>
      <c r="AH66" s="159">
        <v>0.77974046533628982</v>
      </c>
      <c r="AI66" s="159">
        <v>0.78134466634503463</v>
      </c>
      <c r="AJ66" s="159">
        <v>0.78303250460457374</v>
      </c>
      <c r="AK66" s="159">
        <v>0.78480658243995349</v>
      </c>
      <c r="AL66" s="159">
        <v>0.78666930119483658</v>
      </c>
      <c r="AM66" s="159">
        <v>0.78862283748730033</v>
      </c>
      <c r="AN66" s="159">
        <v>0.79066913436941044</v>
      </c>
      <c r="AO66" s="159">
        <v>0.79280986935163689</v>
      </c>
      <c r="AP66" s="159">
        <v>0.79504674978467615</v>
      </c>
      <c r="AQ66" s="159">
        <v>0.79738161101610217</v>
      </c>
      <c r="AR66" s="159">
        <v>0.79981600720432966</v>
      </c>
      <c r="AS66" s="159">
        <v>0.80235117341258044</v>
      </c>
      <c r="AT66" s="159">
        <v>0.80498799347845928</v>
      </c>
      <c r="AU66" s="159">
        <v>0.80772739821271256</v>
      </c>
      <c r="AV66" s="159">
        <v>0.81057050615323933</v>
      </c>
      <c r="AW66" s="159">
        <v>0.81351809707987177</v>
      </c>
      <c r="AX66" s="159">
        <v>0.81657055633648201</v>
      </c>
      <c r="AY66" s="159">
        <v>0.81972783493795531</v>
      </c>
      <c r="AZ66" s="159">
        <v>0.82298982583388192</v>
      </c>
      <c r="BA66" s="159">
        <v>0.82635653054826264</v>
      </c>
      <c r="BB66" s="159">
        <v>0.82982761676341898</v>
      </c>
      <c r="BC66" s="159">
        <v>0.83340240026255952</v>
      </c>
      <c r="BD66" s="159">
        <v>0.83707983958453103</v>
      </c>
      <c r="BE66" s="159">
        <v>0.84085843521329784</v>
      </c>
      <c r="BF66" s="159">
        <v>0.84473616430687715</v>
      </c>
      <c r="BG66" s="159">
        <v>0.84871059613753386</v>
      </c>
      <c r="BH66" s="159">
        <v>0.85277889888185476</v>
      </c>
      <c r="BI66" s="159">
        <v>0.85693785818696333</v>
      </c>
      <c r="BJ66" s="159">
        <v>0.86118375703522443</v>
      </c>
      <c r="BK66" s="159">
        <v>0.86551232285384738</v>
      </c>
      <c r="BL66" s="159">
        <v>0.86991894275717774</v>
      </c>
      <c r="BM66" s="159">
        <v>0.874398743234307</v>
      </c>
      <c r="BN66" s="159">
        <v>0.87894657908200224</v>
      </c>
      <c r="BO66" s="159">
        <v>0.88355671069797515</v>
      </c>
      <c r="BP66" s="159">
        <v>0.88822269845635871</v>
      </c>
      <c r="BQ66" s="159">
        <v>0.89293779867545975</v>
      </c>
      <c r="BR66" s="159">
        <v>0.89769520466742725</v>
      </c>
      <c r="BS66" s="159">
        <v>0.90248782638720071</v>
      </c>
      <c r="BT66" s="159">
        <v>0.90730795670494679</v>
      </c>
      <c r="BU66" s="159">
        <v>0.91214716539971907</v>
      </c>
      <c r="BV66" s="159">
        <v>0.91699646147153935</v>
      </c>
      <c r="BW66" s="159">
        <v>0.92184687636243456</v>
      </c>
      <c r="BX66" s="159">
        <v>0.92668960431236302</v>
      </c>
      <c r="BY66" s="159">
        <v>0.9315156489797668</v>
      </c>
      <c r="BZ66" s="159">
        <v>0.93631568495402095</v>
      </c>
      <c r="CA66" s="159">
        <v>0.94108073950347293</v>
      </c>
      <c r="CB66" s="159">
        <v>0.94580237789406951</v>
      </c>
      <c r="CC66" s="159">
        <v>0.95047291301510584</v>
      </c>
      <c r="CD66" s="159">
        <v>0.95508541986063611</v>
      </c>
      <c r="CE66" s="159">
        <v>0.95963386787399019</v>
      </c>
      <c r="CF66" s="159">
        <v>0.96411366251512154</v>
      </c>
      <c r="CG66" s="159">
        <v>0.96852106495143853</v>
      </c>
      <c r="CH66" s="159">
        <v>0.97285157957455703</v>
      </c>
      <c r="CI66" s="159">
        <v>0.97709915010977744</v>
      </c>
      <c r="CJ66" s="159">
        <v>0.98125692672261877</v>
      </c>
      <c r="CK66" s="159">
        <v>0.98531844307966876</v>
      </c>
      <c r="CL66" s="159">
        <v>0.98927760998311287</v>
      </c>
      <c r="CM66" s="159">
        <v>0.99312933528079839</v>
      </c>
      <c r="CN66" s="49">
        <v>0.99687004026277737</v>
      </c>
      <c r="CO66" s="73"/>
      <c r="CP66" s="73">
        <v>7.0000000000000007E-2</v>
      </c>
      <c r="CQ66">
        <v>999</v>
      </c>
      <c r="CR66" s="96"/>
      <c r="CS66" s="256">
        <v>61</v>
      </c>
      <c r="CT66" s="313">
        <v>1200</v>
      </c>
      <c r="CU66" s="313">
        <v>1700</v>
      </c>
      <c r="CV66" s="257">
        <v>2200</v>
      </c>
      <c r="CW66" s="96"/>
      <c r="CX66" s="96"/>
      <c r="CY66" s="96"/>
      <c r="CZ66" s="96"/>
      <c r="DA66" s="96"/>
      <c r="DB66" t="s">
        <v>634</v>
      </c>
      <c r="DC66" t="s">
        <v>635</v>
      </c>
      <c r="DN66" s="88">
        <v>1970</v>
      </c>
      <c r="DO66" s="84">
        <v>53400</v>
      </c>
      <c r="DP66" s="81">
        <v>55500</v>
      </c>
      <c r="DQ66" s="81">
        <v>57600</v>
      </c>
      <c r="DR66" s="81">
        <v>60600</v>
      </c>
      <c r="DS66" s="81">
        <v>61200</v>
      </c>
      <c r="DT66" s="81">
        <v>62700</v>
      </c>
      <c r="DU66" s="81">
        <v>65400</v>
      </c>
      <c r="DV66" s="81">
        <v>68400</v>
      </c>
      <c r="DW66" s="81">
        <v>72600</v>
      </c>
      <c r="DX66" s="81">
        <v>76200</v>
      </c>
      <c r="DY66" s="81">
        <v>80400</v>
      </c>
      <c r="DZ66" s="81">
        <v>84900</v>
      </c>
      <c r="EA66" s="81">
        <v>87000</v>
      </c>
      <c r="EB66" s="86">
        <v>87864</v>
      </c>
      <c r="EE66" s="88">
        <v>1970</v>
      </c>
      <c r="EF66" s="125">
        <v>32400</v>
      </c>
      <c r="EG66" s="103">
        <v>35700</v>
      </c>
      <c r="EH66" s="98">
        <v>37800</v>
      </c>
      <c r="EI66" s="103">
        <v>39600</v>
      </c>
      <c r="EJ66" s="103">
        <v>42000</v>
      </c>
      <c r="EK66" s="103">
        <v>43800</v>
      </c>
      <c r="EL66" s="103">
        <v>45000</v>
      </c>
      <c r="EM66" s="111">
        <v>48000</v>
      </c>
      <c r="EN66" s="103">
        <v>51300</v>
      </c>
      <c r="EO66" s="108">
        <v>53400</v>
      </c>
      <c r="EP66" s="81">
        <v>55500</v>
      </c>
      <c r="EQ66" s="81">
        <v>57600</v>
      </c>
      <c r="ER66" s="81">
        <v>60600</v>
      </c>
      <c r="ES66" s="81">
        <v>61200</v>
      </c>
      <c r="ET66" s="81">
        <v>62700</v>
      </c>
      <c r="EU66" s="81">
        <v>65400</v>
      </c>
      <c r="EV66" s="81">
        <v>68400</v>
      </c>
      <c r="EW66" s="81">
        <v>72600</v>
      </c>
      <c r="EX66" s="81">
        <v>76200</v>
      </c>
      <c r="EY66" s="81">
        <v>80400</v>
      </c>
      <c r="EZ66" s="81">
        <v>84900</v>
      </c>
      <c r="FA66" s="81">
        <v>87000</v>
      </c>
      <c r="FB66" s="86">
        <v>87864</v>
      </c>
    </row>
    <row r="67" spans="2:158" ht="15.75" x14ac:dyDescent="0.25">
      <c r="B67" s="73"/>
      <c r="C67" s="73"/>
      <c r="D67" s="215">
        <f t="shared" si="0"/>
        <v>62</v>
      </c>
      <c r="E67" s="216">
        <f>[1]!PBGCLRF(65+D67/12)</f>
        <v>1.706</v>
      </c>
      <c r="F67" s="73"/>
      <c r="G67" s="73"/>
      <c r="H67" s="73"/>
      <c r="I67" s="73"/>
      <c r="J67" s="48">
        <v>63</v>
      </c>
      <c r="K67" s="49">
        <v>0.68500000000000005</v>
      </c>
      <c r="L67" s="73"/>
      <c r="M67" s="155">
        <v>63</v>
      </c>
      <c r="N67" s="49">
        <v>1.9232</v>
      </c>
      <c r="O67" s="73"/>
      <c r="P67" s="73"/>
      <c r="Q67" s="73"/>
      <c r="R67" s="155">
        <v>0.75337381845589446</v>
      </c>
      <c r="S67" s="159">
        <v>0.75426344940133927</v>
      </c>
      <c r="T67" s="159">
        <v>0.7551878407750684</v>
      </c>
      <c r="U67" s="159">
        <v>0.75614786331932016</v>
      </c>
      <c r="V67" s="159">
        <v>0.75714442205935184</v>
      </c>
      <c r="W67" s="159">
        <v>0.75817845689241925</v>
      </c>
      <c r="X67" s="159">
        <v>0.7592509419051936</v>
      </c>
      <c r="Y67" s="159">
        <v>0.76036288339087699</v>
      </c>
      <c r="Z67" s="159">
        <v>0.76151531263923777</v>
      </c>
      <c r="AA67" s="159">
        <v>0.76270928070679711</v>
      </c>
      <c r="AB67" s="159">
        <v>0.7639458516458455</v>
      </c>
      <c r="AC67" s="159">
        <v>0.76522609433446576</v>
      </c>
      <c r="AD67" s="159">
        <v>0.76655108164698627</v>
      </c>
      <c r="AE67" s="159">
        <v>0.76792189042590342</v>
      </c>
      <c r="AF67" s="159">
        <v>0.76933959630537763</v>
      </c>
      <c r="AG67" s="159">
        <v>0.77080525796327126</v>
      </c>
      <c r="AH67" s="159">
        <v>0.77233360816320562</v>
      </c>
      <c r="AI67" s="159">
        <v>0.77394420871474112</v>
      </c>
      <c r="AJ67" s="159">
        <v>0.77563999732350331</v>
      </c>
      <c r="AK67" s="159">
        <v>0.77742373791020913</v>
      </c>
      <c r="AL67" s="159">
        <v>0.77929799313519055</v>
      </c>
      <c r="AM67" s="159">
        <v>0.78126509938618882</v>
      </c>
      <c r="AN67" s="159">
        <v>0.78332715790658325</v>
      </c>
      <c r="AO67" s="159">
        <v>0.78548600127270984</v>
      </c>
      <c r="AP67" s="159">
        <v>0.78774350877347188</v>
      </c>
      <c r="AQ67" s="159">
        <v>0.79010171408634833</v>
      </c>
      <c r="AR67" s="159">
        <v>0.79256236988550521</v>
      </c>
      <c r="AS67" s="159">
        <v>0.79512690823442289</v>
      </c>
      <c r="AT67" s="159">
        <v>0.79779640703162358</v>
      </c>
      <c r="AU67" s="159">
        <v>0.80057201608005113</v>
      </c>
      <c r="AV67" s="159">
        <v>0.80345511138248538</v>
      </c>
      <c r="AW67" s="159">
        <v>0.80644673353537422</v>
      </c>
      <c r="AX67" s="159">
        <v>0.80954752848324407</v>
      </c>
      <c r="AY67" s="159">
        <v>0.81275770476852371</v>
      </c>
      <c r="AZ67" s="159">
        <v>0.81607743663768606</v>
      </c>
      <c r="BA67" s="159">
        <v>0.81950704618679993</v>
      </c>
      <c r="BB67" s="159">
        <v>0.8230465303329676</v>
      </c>
      <c r="BC67" s="159">
        <v>0.82669554137693246</v>
      </c>
      <c r="BD67" s="159">
        <v>0.83045338074317843</v>
      </c>
      <c r="BE67" s="159">
        <v>0.83431889048900476</v>
      </c>
      <c r="BF67" s="159">
        <v>0.83829038168479708</v>
      </c>
      <c r="BG67" s="159">
        <v>0.84236575726874141</v>
      </c>
      <c r="BH67" s="159">
        <v>0.84654251725869123</v>
      </c>
      <c r="BI67" s="159">
        <v>0.85081777602297282</v>
      </c>
      <c r="BJ67" s="159">
        <v>0.85518812966594915</v>
      </c>
      <c r="BK67" s="159">
        <v>0.85964959445090106</v>
      </c>
      <c r="BL67" s="159">
        <v>0.86419783388557803</v>
      </c>
      <c r="BM67" s="159">
        <v>0.86882823946615118</v>
      </c>
      <c r="BN67" s="159">
        <v>0.87353591374387729</v>
      </c>
      <c r="BO67" s="159">
        <v>0.87831531608502489</v>
      </c>
      <c r="BP67" s="159">
        <v>0.88316014036241453</v>
      </c>
      <c r="BQ67" s="159">
        <v>0.88806373586161436</v>
      </c>
      <c r="BR67" s="159">
        <v>0.8930193615037213</v>
      </c>
      <c r="BS67" s="159">
        <v>0.89801994060985102</v>
      </c>
      <c r="BT67" s="159">
        <v>0.90305769048875217</v>
      </c>
      <c r="BU67" s="159">
        <v>0.90812399848445802</v>
      </c>
      <c r="BV67" s="159">
        <v>0.91320958757052784</v>
      </c>
      <c r="BW67" s="159">
        <v>0.91830514302445576</v>
      </c>
      <c r="BX67" s="159">
        <v>0.92340145995927636</v>
      </c>
      <c r="BY67" s="159">
        <v>0.92848905354627642</v>
      </c>
      <c r="BZ67" s="159">
        <v>0.93355800035090541</v>
      </c>
      <c r="CA67" s="159">
        <v>0.93859867733880331</v>
      </c>
      <c r="CB67" s="159">
        <v>0.94360196346584935</v>
      </c>
      <c r="CC67" s="159">
        <v>0.94855947226214499</v>
      </c>
      <c r="CD67" s="159">
        <v>0.95346357859478637</v>
      </c>
      <c r="CE67" s="159">
        <v>0.95830757203386729</v>
      </c>
      <c r="CF67" s="159">
        <v>0.96308625926056046</v>
      </c>
      <c r="CG67" s="159">
        <v>0.96779533888709535</v>
      </c>
      <c r="CH67" s="159">
        <v>0.97242963852689224</v>
      </c>
      <c r="CI67" s="159">
        <v>0.97698222935366041</v>
      </c>
      <c r="CJ67" s="159">
        <v>0.98144526348283057</v>
      </c>
      <c r="CK67" s="159">
        <v>0.98581126929175156</v>
      </c>
      <c r="CL67" s="159">
        <v>0.99007314988095307</v>
      </c>
      <c r="CM67" s="159">
        <v>0.99422487174701757</v>
      </c>
      <c r="CN67" s="49">
        <v>0.99826204641800798</v>
      </c>
      <c r="CO67" s="73"/>
      <c r="CP67" s="96"/>
      <c r="CQ67" s="96"/>
      <c r="CR67" s="96"/>
      <c r="CS67" s="256">
        <v>62</v>
      </c>
      <c r="CT67" s="313">
        <v>1300</v>
      </c>
      <c r="CU67" s="313">
        <v>1800</v>
      </c>
      <c r="CV67" s="257">
        <v>2300</v>
      </c>
      <c r="CW67" s="96"/>
      <c r="CX67" s="96"/>
      <c r="CY67" s="96"/>
      <c r="CZ67" s="96"/>
      <c r="DA67" s="96"/>
      <c r="DC67" t="s">
        <v>636</v>
      </c>
      <c r="DD67">
        <f>DCOUNT(Separated_Vesteds,"PVPBL_ANN_RATES",All_Criteria)</f>
        <v>0</v>
      </c>
      <c r="DE67" s="55">
        <f>DSUM(Separated_Vesteds,"PC3_TOTAL_PV",All_Criteria)</f>
        <v>0</v>
      </c>
      <c r="DN67" s="88">
        <v>1971</v>
      </c>
      <c r="DO67" s="84">
        <v>53400</v>
      </c>
      <c r="DP67" s="81">
        <v>55500</v>
      </c>
      <c r="DQ67" s="81">
        <v>57600</v>
      </c>
      <c r="DR67" s="81">
        <v>60600</v>
      </c>
      <c r="DS67" s="81">
        <v>61200</v>
      </c>
      <c r="DT67" s="81">
        <v>62700</v>
      </c>
      <c r="DU67" s="81">
        <v>65400</v>
      </c>
      <c r="DV67" s="81">
        <v>68400</v>
      </c>
      <c r="DW67" s="81">
        <v>72600</v>
      </c>
      <c r="DX67" s="81">
        <v>76200</v>
      </c>
      <c r="DY67" s="81">
        <v>80400</v>
      </c>
      <c r="DZ67" s="81">
        <v>84900</v>
      </c>
      <c r="EA67" s="81">
        <v>87000</v>
      </c>
      <c r="EB67" s="86">
        <v>87900</v>
      </c>
      <c r="EE67" s="88">
        <v>1971</v>
      </c>
      <c r="EF67" s="125">
        <v>32400</v>
      </c>
      <c r="EG67" s="103">
        <v>35700</v>
      </c>
      <c r="EH67" s="98">
        <v>37800</v>
      </c>
      <c r="EI67" s="103">
        <v>39600</v>
      </c>
      <c r="EJ67" s="103">
        <v>42000</v>
      </c>
      <c r="EK67" s="103">
        <v>43800</v>
      </c>
      <c r="EL67" s="103">
        <v>45000</v>
      </c>
      <c r="EM67" s="111">
        <v>48000</v>
      </c>
      <c r="EN67" s="103">
        <v>51300</v>
      </c>
      <c r="EO67" s="108">
        <v>53400</v>
      </c>
      <c r="EP67" s="81">
        <v>55500</v>
      </c>
      <c r="EQ67" s="81">
        <v>57600</v>
      </c>
      <c r="ER67" s="81">
        <v>60600</v>
      </c>
      <c r="ES67" s="81">
        <v>61200</v>
      </c>
      <c r="ET67" s="81">
        <v>62700</v>
      </c>
      <c r="EU67" s="81">
        <v>65400</v>
      </c>
      <c r="EV67" s="81">
        <v>68400</v>
      </c>
      <c r="EW67" s="81">
        <v>72600</v>
      </c>
      <c r="EX67" s="81">
        <v>76200</v>
      </c>
      <c r="EY67" s="81">
        <v>80400</v>
      </c>
      <c r="EZ67" s="81">
        <v>84900</v>
      </c>
      <c r="FA67" s="81">
        <v>87000</v>
      </c>
      <c r="FB67" s="86">
        <v>87900</v>
      </c>
    </row>
    <row r="68" spans="2:158" ht="15.75" x14ac:dyDescent="0.25">
      <c r="B68" s="73"/>
      <c r="C68" s="73"/>
      <c r="D68" s="215">
        <f t="shared" si="0"/>
        <v>63</v>
      </c>
      <c r="E68" s="216">
        <f>[1]!PBGCLRF(65+D68/12)</f>
        <v>1.7290000000000001</v>
      </c>
      <c r="F68" s="73"/>
      <c r="G68" s="73"/>
      <c r="H68" s="73"/>
      <c r="I68" s="73"/>
      <c r="J68" s="48">
        <v>64</v>
      </c>
      <c r="K68" s="49">
        <v>0.68</v>
      </c>
      <c r="L68" s="73"/>
      <c r="M68" s="155">
        <v>64</v>
      </c>
      <c r="N68" s="49">
        <v>1.9442999999999999</v>
      </c>
      <c r="O68" s="73"/>
      <c r="P68" s="73"/>
      <c r="Q68" s="73"/>
      <c r="R68" s="155">
        <v>0.74593053137483245</v>
      </c>
      <c r="S68" s="159">
        <v>0.74682658208583608</v>
      </c>
      <c r="T68" s="159">
        <v>0.74775770588136981</v>
      </c>
      <c r="U68" s="159">
        <v>0.74872471290417053</v>
      </c>
      <c r="V68" s="159">
        <v>0.74972844321308196</v>
      </c>
      <c r="W68" s="159">
        <v>0.75076976838716103</v>
      </c>
      <c r="X68" s="159">
        <v>0.75184959179754862</v>
      </c>
      <c r="Y68" s="159">
        <v>0.75296884744846282</v>
      </c>
      <c r="Z68" s="159">
        <v>0.7541284973512532</v>
      </c>
      <c r="AA68" s="159">
        <v>0.75532952310004975</v>
      </c>
      <c r="AB68" s="159">
        <v>0.75657291958066386</v>
      </c>
      <c r="AC68" s="159">
        <v>0.75785968692747108</v>
      </c>
      <c r="AD68" s="159">
        <v>0.75919082087592615</v>
      </c>
      <c r="AE68" s="159">
        <v>0.76056731113406029</v>
      </c>
      <c r="AF68" s="159">
        <v>0.7619901405621079</v>
      </c>
      <c r="AG68" s="159">
        <v>0.76346027858973164</v>
      </c>
      <c r="AH68" s="159">
        <v>0.76499325132351381</v>
      </c>
      <c r="AI68" s="159">
        <v>0.76660982745210005</v>
      </c>
      <c r="AJ68" s="159">
        <v>0.76831310561374566</v>
      </c>
      <c r="AK68" s="159">
        <v>0.77010601180716021</v>
      </c>
      <c r="AL68" s="159">
        <v>0.77199127039858984</v>
      </c>
      <c r="AM68" s="159">
        <v>0.77397137743727518</v>
      </c>
      <c r="AN68" s="159">
        <v>0.77604859147081495</v>
      </c>
      <c r="AO68" s="159">
        <v>0.77822489827179531</v>
      </c>
      <c r="AP68" s="159">
        <v>0.7805023477492492</v>
      </c>
      <c r="AQ68" s="159">
        <v>0.78288317178984357</v>
      </c>
      <c r="AR68" s="159">
        <v>0.78536932088799971</v>
      </c>
      <c r="AS68" s="159">
        <v>0.78796242246623105</v>
      </c>
      <c r="AT68" s="159">
        <v>0.79066374578379006</v>
      </c>
      <c r="AU68" s="159">
        <v>0.79347465812739593</v>
      </c>
      <c r="AV68" s="159">
        <v>0.79639679394459284</v>
      </c>
      <c r="AW68" s="159">
        <v>0.7994314559833624</v>
      </c>
      <c r="AX68" s="159">
        <v>0.8025795522933219</v>
      </c>
      <c r="AY68" s="159">
        <v>0.80584155058898166</v>
      </c>
      <c r="AZ68" s="159">
        <v>0.80921791005749066</v>
      </c>
      <c r="BA68" s="159">
        <v>0.81270928027947675</v>
      </c>
      <c r="BB68" s="159">
        <v>0.81631599600893723</v>
      </c>
      <c r="BC68" s="159">
        <v>0.82003805684972297</v>
      </c>
      <c r="BD68" s="159">
        <v>0.82387512046881395</v>
      </c>
      <c r="BE68" s="159">
        <v>0.8278263856311544</v>
      </c>
      <c r="BF68" s="159">
        <v>0.83189051409670933</v>
      </c>
      <c r="BG68" s="159">
        <v>0.83606576173944003</v>
      </c>
      <c r="BH68" s="159">
        <v>0.84034998330961441</v>
      </c>
      <c r="BI68" s="159">
        <v>0.84474064893354339</v>
      </c>
      <c r="BJ68" s="159">
        <v>0.84923469857586187</v>
      </c>
      <c r="BK68" s="159">
        <v>0.85382847097489634</v>
      </c>
      <c r="BL68" s="159">
        <v>0.85851794484914878</v>
      </c>
      <c r="BM68" s="159">
        <v>0.86329882150722792</v>
      </c>
      <c r="BN68" s="159">
        <v>0.86816650146028507</v>
      </c>
      <c r="BO68" s="159">
        <v>0.87311569536337019</v>
      </c>
      <c r="BP68" s="159">
        <v>0.87814028336085204</v>
      </c>
      <c r="BQ68" s="159">
        <v>0.88323376353039629</v>
      </c>
      <c r="BR68" s="159">
        <v>0.88838952121454207</v>
      </c>
      <c r="BS68" s="159">
        <v>0.89360055646102521</v>
      </c>
      <c r="BT68" s="159">
        <v>0.89885907215817018</v>
      </c>
      <c r="BU68" s="159">
        <v>0.90415632962795689</v>
      </c>
      <c r="BV68" s="159">
        <v>0.90948281742997716</v>
      </c>
      <c r="BW68" s="159">
        <v>0.91482892472499611</v>
      </c>
      <c r="BX68" s="159">
        <v>0.92018509555491468</v>
      </c>
      <c r="BY68" s="159">
        <v>0.92554139891195597</v>
      </c>
      <c r="BZ68" s="159">
        <v>0.93088734584265143</v>
      </c>
      <c r="CA68" s="159">
        <v>0.93621268989663242</v>
      </c>
      <c r="CB68" s="159">
        <v>0.94150764429618616</v>
      </c>
      <c r="CC68" s="159">
        <v>0.9467631358783416</v>
      </c>
      <c r="CD68" s="159">
        <v>0.95197083904783486</v>
      </c>
      <c r="CE68" s="159">
        <v>0.95712335448512542</v>
      </c>
      <c r="CF68" s="159">
        <v>0.96221488023986634</v>
      </c>
      <c r="CG68" s="159">
        <v>0.96724053958997569</v>
      </c>
      <c r="CH68" s="159">
        <v>0.9721944523381657</v>
      </c>
      <c r="CI68" s="159">
        <v>0.9770687595842753</v>
      </c>
      <c r="CJ68" s="159">
        <v>0.98185453544975843</v>
      </c>
      <c r="CK68" s="159">
        <v>0.98654321250800769</v>
      </c>
      <c r="CL68" s="159">
        <v>0.99112658639500273</v>
      </c>
      <c r="CM68" s="159">
        <v>0.99559757792997716</v>
      </c>
      <c r="CN68" s="49">
        <v>0.99995088649225083</v>
      </c>
      <c r="CO68" s="73"/>
      <c r="CP68" s="96"/>
      <c r="CQ68" s="96"/>
      <c r="CR68" s="96"/>
      <c r="CS68" s="256">
        <v>63</v>
      </c>
      <c r="CT68" s="313">
        <v>1400</v>
      </c>
      <c r="CU68" s="313">
        <v>1900</v>
      </c>
      <c r="CV68" s="257">
        <v>2400</v>
      </c>
      <c r="CW68" s="96"/>
      <c r="CX68" s="96"/>
      <c r="CY68" s="96"/>
      <c r="CZ68" s="96"/>
      <c r="DA68" s="96"/>
      <c r="DC68" t="s">
        <v>637</v>
      </c>
      <c r="DD68">
        <f>DCOUNT(Active_Vesteds,"PVPBL_ANN_RATES",All_Criteria)</f>
        <v>0</v>
      </c>
      <c r="DE68" s="55">
        <f>DSUM(Active_Vesteds,"PC3_TOTAL_PV",All_Criteria)</f>
        <v>0</v>
      </c>
      <c r="DH68" s="41" t="e">
        <f>MIN(1,(DF69/DE69))</f>
        <v>#DIV/0!</v>
      </c>
      <c r="DN68" s="88">
        <v>1972</v>
      </c>
      <c r="DO68" s="84">
        <v>53400</v>
      </c>
      <c r="DP68" s="81">
        <v>55500</v>
      </c>
      <c r="DQ68" s="81">
        <v>57600</v>
      </c>
      <c r="DR68" s="81">
        <v>60600</v>
      </c>
      <c r="DS68" s="81">
        <v>61200</v>
      </c>
      <c r="DT68" s="81">
        <v>62700</v>
      </c>
      <c r="DU68" s="81">
        <v>65400</v>
      </c>
      <c r="DV68" s="81">
        <v>68400</v>
      </c>
      <c r="DW68" s="81">
        <v>72600</v>
      </c>
      <c r="DX68" s="81">
        <v>76200</v>
      </c>
      <c r="DY68" s="81">
        <v>80400</v>
      </c>
      <c r="DZ68" s="81">
        <v>84900</v>
      </c>
      <c r="EA68" s="81">
        <v>87000</v>
      </c>
      <c r="EB68" s="86">
        <v>87900</v>
      </c>
      <c r="EE68" s="88">
        <v>1972</v>
      </c>
      <c r="EF68" s="125">
        <v>32400</v>
      </c>
      <c r="EG68" s="103">
        <v>35700</v>
      </c>
      <c r="EH68" s="98">
        <v>37800</v>
      </c>
      <c r="EI68" s="103">
        <v>39600</v>
      </c>
      <c r="EJ68" s="103">
        <v>42000</v>
      </c>
      <c r="EK68" s="103">
        <v>43800</v>
      </c>
      <c r="EL68" s="103">
        <v>45000</v>
      </c>
      <c r="EM68" s="111">
        <v>48000</v>
      </c>
      <c r="EN68" s="103">
        <v>51300</v>
      </c>
      <c r="EO68" s="108">
        <v>53400</v>
      </c>
      <c r="EP68" s="81">
        <v>55500</v>
      </c>
      <c r="EQ68" s="81">
        <v>57600</v>
      </c>
      <c r="ER68" s="81">
        <v>60600</v>
      </c>
      <c r="ES68" s="81">
        <v>61200</v>
      </c>
      <c r="ET68" s="81">
        <v>62700</v>
      </c>
      <c r="EU68" s="81">
        <v>65400</v>
      </c>
      <c r="EV68" s="81">
        <v>68400</v>
      </c>
      <c r="EW68" s="81">
        <v>72600</v>
      </c>
      <c r="EX68" s="81">
        <v>76200</v>
      </c>
      <c r="EY68" s="81">
        <v>80400</v>
      </c>
      <c r="EZ68" s="81">
        <v>84900</v>
      </c>
      <c r="FA68" s="81">
        <v>87000</v>
      </c>
      <c r="FB68" s="86">
        <v>87900</v>
      </c>
    </row>
    <row r="69" spans="2:158" ht="15.75" x14ac:dyDescent="0.25">
      <c r="B69" s="73"/>
      <c r="C69" s="73"/>
      <c r="D69" s="215">
        <f t="shared" si="0"/>
        <v>64</v>
      </c>
      <c r="E69" s="216">
        <f>[1]!PBGCLRF(65+D69/12)</f>
        <v>1.752</v>
      </c>
      <c r="F69" s="73"/>
      <c r="G69" s="73"/>
      <c r="H69" s="73"/>
      <c r="I69" s="73"/>
      <c r="J69" s="48">
        <v>65</v>
      </c>
      <c r="K69" s="49">
        <v>0.67500000000000004</v>
      </c>
      <c r="L69" s="73"/>
      <c r="M69" s="155">
        <v>65</v>
      </c>
      <c r="N69" s="49">
        <v>1.9657</v>
      </c>
      <c r="O69" s="73"/>
      <c r="P69" s="73"/>
      <c r="Q69" s="73"/>
      <c r="R69" s="155">
        <v>0.7385810812441217</v>
      </c>
      <c r="S69" s="159">
        <v>0.739483719151522</v>
      </c>
      <c r="T69" s="159">
        <v>0.74042178603262898</v>
      </c>
      <c r="U69" s="159">
        <v>0.74139603499717399</v>
      </c>
      <c r="V69" s="159">
        <v>0.74240723316352197</v>
      </c>
      <c r="W69" s="159">
        <v>0.74345617388189533</v>
      </c>
      <c r="X69" s="159">
        <v>0.74454367808111865</v>
      </c>
      <c r="Y69" s="159">
        <v>0.74567059410877601</v>
      </c>
      <c r="Z69" s="159">
        <v>0.74683779595084077</v>
      </c>
      <c r="AA69" s="159">
        <v>0.74804617978508248</v>
      </c>
      <c r="AB69" s="159">
        <v>0.74929665407430213</v>
      </c>
      <c r="AC69" s="159">
        <v>0.75059013195365831</v>
      </c>
      <c r="AD69" s="159">
        <v>0.75192752161034193</v>
      </c>
      <c r="AE69" s="159">
        <v>0.75330971480673048</v>
      </c>
      <c r="AF69" s="159">
        <v>0.75473758417463344</v>
      </c>
      <c r="AG69" s="159">
        <v>0.7562119813017617</v>
      </c>
      <c r="AH69" s="159">
        <v>0.75774925446170061</v>
      </c>
      <c r="AI69" s="159">
        <v>0.7593714493518996</v>
      </c>
      <c r="AJ69" s="159">
        <v>0.76108182640631739</v>
      </c>
      <c r="AK69" s="159">
        <v>0.76288347427175218</v>
      </c>
      <c r="AL69" s="159">
        <v>0.76477927934134893</v>
      </c>
      <c r="AM69" s="159">
        <v>0.76677189738876583</v>
      </c>
      <c r="AN69" s="159">
        <v>0.76886374369627675</v>
      </c>
      <c r="AO69" s="159">
        <v>0.77105695559061704</v>
      </c>
      <c r="AP69" s="159">
        <v>0.77335375220558866</v>
      </c>
      <c r="AQ69" s="159">
        <v>0.77575656371284496</v>
      </c>
      <c r="AR69" s="159">
        <v>0.77826753782335523</v>
      </c>
      <c r="AS69" s="159">
        <v>0.78088849584065945</v>
      </c>
      <c r="AT69" s="159">
        <v>0.78362089562393844</v>
      </c>
      <c r="AU69" s="159">
        <v>0.78646631992435567</v>
      </c>
      <c r="AV69" s="159">
        <v>0.78942666221145741</v>
      </c>
      <c r="AW69" s="159">
        <v>0.79250348806309867</v>
      </c>
      <c r="AX69" s="159">
        <v>0.79569796837755979</v>
      </c>
      <c r="AY69" s="159">
        <v>0.7990108306842385</v>
      </c>
      <c r="AZ69" s="159">
        <v>0.80244282181687754</v>
      </c>
      <c r="BA69" s="159">
        <v>0.8059949252256482</v>
      </c>
      <c r="BB69" s="159">
        <v>0.80966782120143266</v>
      </c>
      <c r="BC69" s="159">
        <v>0.81346186617365768</v>
      </c>
      <c r="BD69" s="159">
        <v>0.81737708599508951</v>
      </c>
      <c r="BE69" s="159">
        <v>0.82141305039959522</v>
      </c>
      <c r="BF69" s="159">
        <v>0.82556878753106933</v>
      </c>
      <c r="BG69" s="159">
        <v>0.82984292434609097</v>
      </c>
      <c r="BH69" s="159">
        <v>0.83423369125987912</v>
      </c>
      <c r="BI69" s="159">
        <v>0.83873893918301079</v>
      </c>
      <c r="BJ69" s="159">
        <v>0.84335598080277174</v>
      </c>
      <c r="BK69" s="159">
        <v>0.84808150964235518</v>
      </c>
      <c r="BL69" s="159">
        <v>0.85291185640930633</v>
      </c>
      <c r="BM69" s="159">
        <v>0.85784307521809777</v>
      </c>
      <c r="BN69" s="159">
        <v>0.86287091411872463</v>
      </c>
      <c r="BO69" s="159">
        <v>0.8679903882644564</v>
      </c>
      <c r="BP69" s="159">
        <v>0.8731956181515228</v>
      </c>
      <c r="BQ69" s="159">
        <v>0.8784803075435651</v>
      </c>
      <c r="BR69" s="159">
        <v>0.88383803008127027</v>
      </c>
      <c r="BS69" s="159">
        <v>0.8892619283212676</v>
      </c>
      <c r="BT69" s="159">
        <v>0.89474425611786945</v>
      </c>
      <c r="BU69" s="159">
        <v>0.9002762100124958</v>
      </c>
      <c r="BV69" s="159">
        <v>0.90584810007241923</v>
      </c>
      <c r="BW69" s="159">
        <v>0.91145007401067535</v>
      </c>
      <c r="BX69" s="159">
        <v>0.91707227861330343</v>
      </c>
      <c r="BY69" s="159">
        <v>0.92270438520876019</v>
      </c>
      <c r="BZ69" s="159">
        <v>0.9283353790622243</v>
      </c>
      <c r="CA69" s="159">
        <v>0.93395442458386568</v>
      </c>
      <c r="CB69" s="159">
        <v>0.93955109893702249</v>
      </c>
      <c r="CC69" s="159">
        <v>0.94511566707322958</v>
      </c>
      <c r="CD69" s="159">
        <v>0.95063911964927494</v>
      </c>
      <c r="CE69" s="159">
        <v>0.95611337220573112</v>
      </c>
      <c r="CF69" s="159">
        <v>0.9615320144368078</v>
      </c>
      <c r="CG69" s="159">
        <v>0.96688958977688788</v>
      </c>
      <c r="CH69" s="159">
        <v>0.9721794866040937</v>
      </c>
      <c r="CI69" s="159">
        <v>0.97739286196591091</v>
      </c>
      <c r="CJ69" s="159">
        <v>0.98251963362561745</v>
      </c>
      <c r="CK69" s="159">
        <v>0.98755004643904332</v>
      </c>
      <c r="CL69" s="159">
        <v>0.99247468476714207</v>
      </c>
      <c r="CM69" s="159">
        <v>0.99728531602662407</v>
      </c>
      <c r="CN69" s="49">
        <v>1.0019756214808375</v>
      </c>
      <c r="CO69" s="73"/>
      <c r="CP69" s="37" t="s">
        <v>482</v>
      </c>
      <c r="CQ69" s="37"/>
      <c r="CS69" s="256">
        <v>64</v>
      </c>
      <c r="CT69" s="313">
        <v>1500</v>
      </c>
      <c r="CU69" s="313">
        <v>2000</v>
      </c>
      <c r="CV69" s="257">
        <v>2500</v>
      </c>
      <c r="CW69" s="96"/>
      <c r="CX69" s="96"/>
      <c r="CY69" s="96"/>
      <c r="CZ69" s="96"/>
      <c r="DA69" s="96"/>
      <c r="DC69" t="s">
        <v>200</v>
      </c>
      <c r="DD69">
        <f>SUM(DD66:DD68)</f>
        <v>0</v>
      </c>
      <c r="DE69" s="55">
        <f>SUM(DE66:DE68)</f>
        <v>0</v>
      </c>
      <c r="DF69" s="55">
        <f>DE47</f>
        <v>333139</v>
      </c>
      <c r="DN69" s="88">
        <v>1973</v>
      </c>
      <c r="DO69" s="84">
        <v>53400</v>
      </c>
      <c r="DP69" s="81">
        <v>55500</v>
      </c>
      <c r="DQ69" s="81">
        <v>57600</v>
      </c>
      <c r="DR69" s="81">
        <v>60600</v>
      </c>
      <c r="DS69" s="81">
        <v>61200</v>
      </c>
      <c r="DT69" s="81">
        <v>62700</v>
      </c>
      <c r="DU69" s="81">
        <v>65400</v>
      </c>
      <c r="DV69" s="81">
        <v>68400</v>
      </c>
      <c r="DW69" s="81">
        <v>72600</v>
      </c>
      <c r="DX69" s="81">
        <v>76200</v>
      </c>
      <c r="DY69" s="81">
        <v>80400</v>
      </c>
      <c r="DZ69" s="81">
        <v>84900</v>
      </c>
      <c r="EA69" s="81">
        <v>87000</v>
      </c>
      <c r="EB69" s="86">
        <v>87900</v>
      </c>
      <c r="EE69" s="88">
        <v>1973</v>
      </c>
      <c r="EF69" s="125">
        <v>32400</v>
      </c>
      <c r="EG69" s="103">
        <v>35700</v>
      </c>
      <c r="EH69" s="98">
        <v>37800</v>
      </c>
      <c r="EI69" s="103">
        <v>39600</v>
      </c>
      <c r="EJ69" s="103">
        <v>42000</v>
      </c>
      <c r="EK69" s="103">
        <v>43800</v>
      </c>
      <c r="EL69" s="103">
        <v>45000</v>
      </c>
      <c r="EM69" s="111">
        <v>48000</v>
      </c>
      <c r="EN69" s="103">
        <v>51300</v>
      </c>
      <c r="EO69" s="108">
        <v>53400</v>
      </c>
      <c r="EP69" s="81">
        <v>55500</v>
      </c>
      <c r="EQ69" s="81">
        <v>57600</v>
      </c>
      <c r="ER69" s="81">
        <v>60600</v>
      </c>
      <c r="ES69" s="81">
        <v>61200</v>
      </c>
      <c r="ET69" s="81">
        <v>62700</v>
      </c>
      <c r="EU69" s="81">
        <v>65400</v>
      </c>
      <c r="EV69" s="81">
        <v>68400</v>
      </c>
      <c r="EW69" s="81">
        <v>72600</v>
      </c>
      <c r="EX69" s="81">
        <v>76200</v>
      </c>
      <c r="EY69" s="81">
        <v>80400</v>
      </c>
      <c r="EZ69" s="81">
        <v>84900</v>
      </c>
      <c r="FA69" s="81">
        <v>87000</v>
      </c>
      <c r="FB69" s="86">
        <v>87900</v>
      </c>
    </row>
    <row r="70" spans="2:158" ht="16.5" thickBot="1" x14ac:dyDescent="0.3">
      <c r="B70" s="73"/>
      <c r="C70" s="73"/>
      <c r="D70" s="215">
        <f t="shared" si="0"/>
        <v>65</v>
      </c>
      <c r="E70" s="216">
        <f>[1]!PBGCLRF(65+D70/12)</f>
        <v>1.7749999999999999</v>
      </c>
      <c r="F70" s="73"/>
      <c r="G70" s="73"/>
      <c r="H70" s="73"/>
      <c r="I70" s="73"/>
      <c r="J70" s="48">
        <v>66</v>
      </c>
      <c r="K70" s="49">
        <v>0.67</v>
      </c>
      <c r="L70" s="73"/>
      <c r="M70" s="155">
        <v>66</v>
      </c>
      <c r="N70" s="49">
        <v>1.9873000000000001</v>
      </c>
      <c r="O70" s="73"/>
      <c r="P70" s="73"/>
      <c r="Q70" s="73"/>
      <c r="R70" s="155">
        <v>0.73135507160280078</v>
      </c>
      <c r="S70" s="159">
        <v>0.73226445699991638</v>
      </c>
      <c r="T70" s="159">
        <v>0.73320967791041913</v>
      </c>
      <c r="U70" s="159">
        <v>0.73419142604603049</v>
      </c>
      <c r="V70" s="159">
        <v>0.73521039866907845</v>
      </c>
      <c r="W70" s="159">
        <v>0.73626730113517858</v>
      </c>
      <c r="X70" s="159">
        <v>0.73736285995545903</v>
      </c>
      <c r="Y70" s="159">
        <v>0.73849782377044082</v>
      </c>
      <c r="Z70" s="159">
        <v>0.73967296260879845</v>
      </c>
      <c r="AA70" s="159">
        <v>0.74088906529811827</v>
      </c>
      <c r="AB70" s="159">
        <v>0.74214693496912243</v>
      </c>
      <c r="AC70" s="159">
        <v>0.74344737732846811</v>
      </c>
      <c r="AD70" s="159">
        <v>0.74479119139187488</v>
      </c>
      <c r="AE70" s="159">
        <v>0.74617915789692746</v>
      </c>
      <c r="AF70" s="159">
        <v>0.7476120255469344</v>
      </c>
      <c r="AG70" s="159">
        <v>0.74909050685857059</v>
      </c>
      <c r="AH70" s="159">
        <v>0.75063179904908761</v>
      </c>
      <c r="AI70" s="159">
        <v>0.75225929790451296</v>
      </c>
      <c r="AJ70" s="159">
        <v>0.7539764267996909</v>
      </c>
      <c r="AK70" s="159">
        <v>0.75578643785587141</v>
      </c>
      <c r="AL70" s="159">
        <v>0.75769237985525628</v>
      </c>
      <c r="AM70" s="159">
        <v>0.75969706821411498</v>
      </c>
      <c r="AN70" s="159">
        <v>0.76180307449302087</v>
      </c>
      <c r="AO70" s="159">
        <v>0.76401268618604845</v>
      </c>
      <c r="AP70" s="159">
        <v>0.76632829045206008</v>
      </c>
      <c r="AQ70" s="159">
        <v>0.7687525158070514</v>
      </c>
      <c r="AR70" s="159">
        <v>0.77128770671579516</v>
      </c>
      <c r="AS70" s="159">
        <v>0.77393587689021415</v>
      </c>
      <c r="AT70" s="159">
        <v>0.776698670089774</v>
      </c>
      <c r="AU70" s="159">
        <v>0.77957788238970827</v>
      </c>
      <c r="AV70" s="159">
        <v>0.78257566642057963</v>
      </c>
      <c r="AW70" s="159">
        <v>0.78569385076673459</v>
      </c>
      <c r="AX70" s="159">
        <v>0.788933869119535</v>
      </c>
      <c r="AY70" s="159">
        <v>0.79229670853661249</v>
      </c>
      <c r="AZ70" s="159">
        <v>0.7957834050864151</v>
      </c>
      <c r="BA70" s="159">
        <v>0.79939528162914752</v>
      </c>
      <c r="BB70" s="159">
        <v>0.80313337115262851</v>
      </c>
      <c r="BC70" s="159">
        <v>0.80699839549670882</v>
      </c>
      <c r="BD70" s="159">
        <v>0.81099075932729148</v>
      </c>
      <c r="BE70" s="159">
        <v>0.81511041613601409</v>
      </c>
      <c r="BF70" s="159">
        <v>0.81935677523859696</v>
      </c>
      <c r="BG70" s="159">
        <v>0.82372885175259136</v>
      </c>
      <c r="BH70" s="159">
        <v>0.82822527161049408</v>
      </c>
      <c r="BI70" s="159">
        <v>0.83284428956145706</v>
      </c>
      <c r="BJ70" s="159">
        <v>0.83758361786477731</v>
      </c>
      <c r="BK70" s="159">
        <v>0.84244033523011153</v>
      </c>
      <c r="BL70" s="159">
        <v>0.84741115996336336</v>
      </c>
      <c r="BM70" s="159">
        <v>0.85249254009290965</v>
      </c>
      <c r="BN70" s="159">
        <v>0.85768061922098049</v>
      </c>
      <c r="BO70" s="159">
        <v>0.86297076988233734</v>
      </c>
      <c r="BP70" s="159">
        <v>0.86835740822904295</v>
      </c>
      <c r="BQ70" s="159">
        <v>0.87383450246055328</v>
      </c>
      <c r="BR70" s="159">
        <v>0.87939587812039488</v>
      </c>
      <c r="BS70" s="159">
        <v>0.88503488775527062</v>
      </c>
      <c r="BT70" s="159">
        <v>0.89074390452169316</v>
      </c>
      <c r="BU70" s="159">
        <v>0.89651412630746496</v>
      </c>
      <c r="BV70" s="159">
        <v>0.90233574598461175</v>
      </c>
      <c r="BW70" s="159">
        <v>0.90819872955917313</v>
      </c>
      <c r="BX70" s="159">
        <v>0.91409298582335563</v>
      </c>
      <c r="BY70" s="159">
        <v>0.92000784352283493</v>
      </c>
      <c r="BZ70" s="159">
        <v>0.92593180853606805</v>
      </c>
      <c r="CA70" s="159">
        <v>0.93185349860154509</v>
      </c>
      <c r="CB70" s="159">
        <v>0.93776189293609613</v>
      </c>
      <c r="CC70" s="159">
        <v>0.94364662991459003</v>
      </c>
      <c r="CD70" s="159">
        <v>0.94949804721926667</v>
      </c>
      <c r="CE70" s="159">
        <v>0.95530739871464887</v>
      </c>
      <c r="CF70" s="159">
        <v>0.961067681385816</v>
      </c>
      <c r="CG70" s="159">
        <v>0.96677286668833595</v>
      </c>
      <c r="CH70" s="159">
        <v>0.97241559700933289</v>
      </c>
      <c r="CI70" s="159">
        <v>0.97798599854484958</v>
      </c>
      <c r="CJ70" s="159">
        <v>0.98347275717681981</v>
      </c>
      <c r="CK70" s="159">
        <v>0.98886483986005858</v>
      </c>
      <c r="CL70" s="159">
        <v>0.99415151426042014</v>
      </c>
      <c r="CM70" s="159">
        <v>0.999323282418629</v>
      </c>
      <c r="CN70" s="49">
        <v>1.0043726990740003</v>
      </c>
      <c r="CO70" s="73"/>
      <c r="CP70" s="327"/>
      <c r="CQ70" s="327"/>
      <c r="CR70" s="327"/>
      <c r="CS70" s="258">
        <v>65</v>
      </c>
      <c r="CT70" s="314">
        <v>1600</v>
      </c>
      <c r="CU70" s="314">
        <v>2100</v>
      </c>
      <c r="CV70" s="259">
        <v>2600</v>
      </c>
      <c r="CW70" s="96"/>
      <c r="CX70" s="96"/>
      <c r="CY70" s="96"/>
      <c r="CZ70" s="96"/>
      <c r="DA70" s="96"/>
      <c r="DB70" t="s">
        <v>638</v>
      </c>
      <c r="DC70" t="s">
        <v>635</v>
      </c>
      <c r="DN70" s="88">
        <v>1974</v>
      </c>
      <c r="DO70" s="84">
        <v>53400</v>
      </c>
      <c r="DP70" s="81">
        <v>55500</v>
      </c>
      <c r="DQ70" s="81">
        <v>57600</v>
      </c>
      <c r="DR70" s="81">
        <v>60600</v>
      </c>
      <c r="DS70" s="81">
        <v>61200</v>
      </c>
      <c r="DT70" s="81">
        <v>62700</v>
      </c>
      <c r="DU70" s="81">
        <v>65400</v>
      </c>
      <c r="DV70" s="81">
        <v>68400</v>
      </c>
      <c r="DW70" s="81">
        <v>72600</v>
      </c>
      <c r="DX70" s="81">
        <v>76200</v>
      </c>
      <c r="DY70" s="81">
        <v>80400</v>
      </c>
      <c r="DZ70" s="81">
        <v>84900</v>
      </c>
      <c r="EA70" s="81">
        <v>87000</v>
      </c>
      <c r="EB70" s="86">
        <v>87900</v>
      </c>
      <c r="EE70" s="88">
        <v>1974</v>
      </c>
      <c r="EF70" s="125">
        <v>32400</v>
      </c>
      <c r="EG70" s="103">
        <v>35700</v>
      </c>
      <c r="EH70" s="98">
        <v>37800</v>
      </c>
      <c r="EI70" s="103">
        <v>39600</v>
      </c>
      <c r="EJ70" s="103">
        <v>42000</v>
      </c>
      <c r="EK70" s="103">
        <v>43800</v>
      </c>
      <c r="EL70" s="103">
        <v>45000</v>
      </c>
      <c r="EM70" s="111">
        <v>48000</v>
      </c>
      <c r="EN70" s="103">
        <v>51300</v>
      </c>
      <c r="EO70" s="108">
        <v>53400</v>
      </c>
      <c r="EP70" s="81">
        <v>55500</v>
      </c>
      <c r="EQ70" s="81">
        <v>57600</v>
      </c>
      <c r="ER70" s="81">
        <v>60600</v>
      </c>
      <c r="ES70" s="81">
        <v>61200</v>
      </c>
      <c r="ET70" s="81">
        <v>62700</v>
      </c>
      <c r="EU70" s="81">
        <v>65400</v>
      </c>
      <c r="EV70" s="81">
        <v>68400</v>
      </c>
      <c r="EW70" s="81">
        <v>72600</v>
      </c>
      <c r="EX70" s="81">
        <v>76200</v>
      </c>
      <c r="EY70" s="81">
        <v>80400</v>
      </c>
      <c r="EZ70" s="81">
        <v>84900</v>
      </c>
      <c r="FA70" s="81">
        <v>87000</v>
      </c>
      <c r="FB70" s="86">
        <v>87900</v>
      </c>
    </row>
    <row r="71" spans="2:158" ht="16.5" thickTop="1" x14ac:dyDescent="0.25">
      <c r="B71" s="73"/>
      <c r="C71" s="73"/>
      <c r="D71" s="215">
        <f t="shared" ref="D71:D125" si="7">D70+1</f>
        <v>66</v>
      </c>
      <c r="E71" s="216">
        <f>[1]!PBGCLRF(65+D71/12)</f>
        <v>1.798</v>
      </c>
      <c r="F71" s="73"/>
      <c r="G71" s="73"/>
      <c r="H71" s="73"/>
      <c r="I71" s="73"/>
      <c r="J71" s="48">
        <v>67</v>
      </c>
      <c r="K71" s="49">
        <v>0.66500000000000004</v>
      </c>
      <c r="L71" s="73"/>
      <c r="M71" s="155">
        <v>67</v>
      </c>
      <c r="N71" s="49">
        <v>2.0091999999999999</v>
      </c>
      <c r="O71" s="73"/>
      <c r="P71" s="73"/>
      <c r="Q71" s="73"/>
      <c r="R71" s="155">
        <v>0.72428259422542429</v>
      </c>
      <c r="S71" s="159">
        <v>0.72519887097064439</v>
      </c>
      <c r="T71" s="159">
        <v>0.72615144771642126</v>
      </c>
      <c r="U71" s="159">
        <v>0.72714095159459002</v>
      </c>
      <c r="V71" s="159">
        <v>0.72816800425233719</v>
      </c>
      <c r="W71" s="159">
        <v>0.72923322541770541</v>
      </c>
      <c r="X71" s="159">
        <v>0.73033723518611438</v>
      </c>
      <c r="Y71" s="159">
        <v>0.73148066795675948</v>
      </c>
      <c r="Z71" s="159">
        <v>0.73266417288073715</v>
      </c>
      <c r="AA71" s="159">
        <v>0.73388841234275426</v>
      </c>
      <c r="AB71" s="159">
        <v>0.7351540583197741</v>
      </c>
      <c r="AC71" s="159">
        <v>0.7364617865409816</v>
      </c>
      <c r="AD71" s="159">
        <v>0.73781226251161369</v>
      </c>
      <c r="AE71" s="159">
        <v>0.73920613016483483</v>
      </c>
      <c r="AF71" s="159">
        <v>0.74064399780738333</v>
      </c>
      <c r="AG71" s="159">
        <v>0.74212642150562502</v>
      </c>
      <c r="AH71" s="159">
        <v>0.74367148348662337</v>
      </c>
      <c r="AI71" s="159">
        <v>0.74530400450530165</v>
      </c>
      <c r="AJ71" s="159">
        <v>0.74702757222799765</v>
      </c>
      <c r="AK71" s="159">
        <v>0.74884560340765161</v>
      </c>
      <c r="AL71" s="159">
        <v>0.75076130987141576</v>
      </c>
      <c r="AM71" s="159">
        <v>0.75277766663765044</v>
      </c>
      <c r="AN71" s="159">
        <v>0.75489740091602897</v>
      </c>
      <c r="AO71" s="159">
        <v>0.75712294907700894</v>
      </c>
      <c r="AP71" s="159">
        <v>0.75945686537682233</v>
      </c>
      <c r="AQ71" s="159">
        <v>0.76190197703686136</v>
      </c>
      <c r="AR71" s="159">
        <v>0.76446082478564414</v>
      </c>
      <c r="AS71" s="159">
        <v>0.7671356133990197</v>
      </c>
      <c r="AT71" s="159">
        <v>0.76992816979069945</v>
      </c>
      <c r="AU71" s="159">
        <v>0.77284050126868009</v>
      </c>
      <c r="AV71" s="159">
        <v>0.77587501975040118</v>
      </c>
      <c r="AW71" s="159">
        <v>0.77903381652178383</v>
      </c>
      <c r="AX71" s="159">
        <v>0.7823185874441525</v>
      </c>
      <c r="AY71" s="159">
        <v>0.78573057790218304</v>
      </c>
      <c r="AZ71" s="159">
        <v>0.78927111377392234</v>
      </c>
      <c r="BA71" s="159">
        <v>0.79294186180871495</v>
      </c>
      <c r="BB71" s="159">
        <v>0.79674421400761142</v>
      </c>
      <c r="BC71" s="159">
        <v>0.80067926571672021</v>
      </c>
      <c r="BD71" s="159">
        <v>0.80474781012829399</v>
      </c>
      <c r="BE71" s="159">
        <v>0.80895019595806084</v>
      </c>
      <c r="BF71" s="159">
        <v>0.81328622696305175</v>
      </c>
      <c r="BG71" s="159">
        <v>0.8177553226646922</v>
      </c>
      <c r="BH71" s="159">
        <v>0.82235652337717757</v>
      </c>
      <c r="BI71" s="159">
        <v>0.82708850977223114</v>
      </c>
      <c r="BJ71" s="159">
        <v>0.83194941858557658</v>
      </c>
      <c r="BK71" s="159">
        <v>0.83693674209606406</v>
      </c>
      <c r="BL71" s="159">
        <v>0.84204762001718247</v>
      </c>
      <c r="BM71" s="159">
        <v>0.84727893449391944</v>
      </c>
      <c r="BN71" s="159">
        <v>0.85262727105516289</v>
      </c>
      <c r="BO71" s="159">
        <v>0.85808841118373913</v>
      </c>
      <c r="BP71" s="159">
        <v>0.86365712196536815</v>
      </c>
      <c r="BQ71" s="159">
        <v>0.86932769661574538</v>
      </c>
      <c r="BR71" s="159">
        <v>0.87509427883882485</v>
      </c>
      <c r="BS71" s="159">
        <v>0.88095050116685913</v>
      </c>
      <c r="BT71" s="159">
        <v>0.88688892668665653</v>
      </c>
      <c r="BU71" s="159">
        <v>0.89290082437309259</v>
      </c>
      <c r="BV71" s="159">
        <v>0.8989763368504049</v>
      </c>
      <c r="BW71" s="159">
        <v>0.90510531454949339</v>
      </c>
      <c r="BX71" s="159">
        <v>0.91127749360254218</v>
      </c>
      <c r="BY71" s="159">
        <v>0.91748192164433473</v>
      </c>
      <c r="BZ71" s="159">
        <v>0.92370667890397173</v>
      </c>
      <c r="CA71" s="159">
        <v>0.92993988662539973</v>
      </c>
      <c r="CB71" s="159">
        <v>0.93616997371766997</v>
      </c>
      <c r="CC71" s="159">
        <v>0.9423859972186075</v>
      </c>
      <c r="CD71" s="159">
        <v>0.94857768501620165</v>
      </c>
      <c r="CE71" s="159">
        <v>0.95473566933575749</v>
      </c>
      <c r="CF71" s="159">
        <v>0.96085239365024377</v>
      </c>
      <c r="CG71" s="159">
        <v>0.96692128400765087</v>
      </c>
      <c r="CH71" s="159">
        <v>0.97293423675231749</v>
      </c>
      <c r="CI71" s="159">
        <v>0.97888031052134794</v>
      </c>
      <c r="CJ71" s="159">
        <v>0.98474689185451858</v>
      </c>
      <c r="CK71" s="159">
        <v>0.99052158355519382</v>
      </c>
      <c r="CL71" s="159">
        <v>0.99619223408076207</v>
      </c>
      <c r="CM71" s="159">
        <v>1.0017479676074419</v>
      </c>
      <c r="CN71" s="49">
        <v>1.0071801012602521</v>
      </c>
      <c r="CO71" s="73"/>
      <c r="CP71" s="72">
        <v>7.0000000000000007E-2</v>
      </c>
      <c r="CQ71">
        <v>999</v>
      </c>
      <c r="CS71" s="96"/>
      <c r="CT71" s="96"/>
      <c r="CU71" s="96"/>
      <c r="CV71" s="96"/>
      <c r="CW71" s="96"/>
      <c r="CX71" s="96"/>
      <c r="CY71" s="96"/>
      <c r="CZ71" s="96"/>
      <c r="DA71" s="96"/>
      <c r="DC71" t="s">
        <v>636</v>
      </c>
      <c r="DD71" s="55">
        <f>DSUM(Separated_Vesteds,"PC4_TOTAL_PV",All_Criteria)</f>
        <v>0</v>
      </c>
      <c r="DN71" s="88">
        <v>1975</v>
      </c>
      <c r="DO71" s="84">
        <v>53400</v>
      </c>
      <c r="DP71" s="81">
        <v>55500</v>
      </c>
      <c r="DQ71" s="81">
        <v>57600</v>
      </c>
      <c r="DR71" s="81">
        <v>60600</v>
      </c>
      <c r="DS71" s="81">
        <v>61200</v>
      </c>
      <c r="DT71" s="81">
        <v>62700</v>
      </c>
      <c r="DU71" s="81">
        <v>65400</v>
      </c>
      <c r="DV71" s="81">
        <v>68400</v>
      </c>
      <c r="DW71" s="81">
        <v>72600</v>
      </c>
      <c r="DX71" s="81">
        <v>76200</v>
      </c>
      <c r="DY71" s="81">
        <v>80400</v>
      </c>
      <c r="DZ71" s="81">
        <v>84900</v>
      </c>
      <c r="EA71" s="81">
        <v>87000</v>
      </c>
      <c r="EB71" s="86">
        <v>87900</v>
      </c>
      <c r="EE71" s="88">
        <v>1975</v>
      </c>
      <c r="EF71" s="125">
        <v>32400</v>
      </c>
      <c r="EG71" s="103">
        <v>35700</v>
      </c>
      <c r="EH71" s="98">
        <v>37800</v>
      </c>
      <c r="EI71" s="103">
        <v>39600</v>
      </c>
      <c r="EJ71" s="103">
        <v>42000</v>
      </c>
      <c r="EK71" s="103">
        <v>43800</v>
      </c>
      <c r="EL71" s="103">
        <v>45000</v>
      </c>
      <c r="EM71" s="111">
        <v>48000</v>
      </c>
      <c r="EN71" s="103">
        <v>51300</v>
      </c>
      <c r="EO71" s="108">
        <v>53400</v>
      </c>
      <c r="EP71" s="81">
        <v>55500</v>
      </c>
      <c r="EQ71" s="81">
        <v>57600</v>
      </c>
      <c r="ER71" s="81">
        <v>60600</v>
      </c>
      <c r="ES71" s="81">
        <v>61200</v>
      </c>
      <c r="ET71" s="81">
        <v>62700</v>
      </c>
      <c r="EU71" s="81">
        <v>65400</v>
      </c>
      <c r="EV71" s="81">
        <v>68400</v>
      </c>
      <c r="EW71" s="81">
        <v>72600</v>
      </c>
      <c r="EX71" s="81">
        <v>76200</v>
      </c>
      <c r="EY71" s="81">
        <v>80400</v>
      </c>
      <c r="EZ71" s="81">
        <v>84900</v>
      </c>
      <c r="FA71" s="81">
        <v>87000</v>
      </c>
      <c r="FB71" s="86">
        <v>87900</v>
      </c>
    </row>
    <row r="72" spans="2:158" ht="15.75" x14ac:dyDescent="0.25">
      <c r="B72" s="73"/>
      <c r="C72" s="73"/>
      <c r="D72" s="215">
        <f t="shared" si="7"/>
        <v>67</v>
      </c>
      <c r="E72" s="216">
        <f>[1]!PBGCLRF(65+D72/12)</f>
        <v>1.821</v>
      </c>
      <c r="F72" s="73"/>
      <c r="G72" s="73"/>
      <c r="H72" s="73"/>
      <c r="I72" s="73"/>
      <c r="J72" s="48">
        <v>68</v>
      </c>
      <c r="K72" s="49">
        <v>0.66</v>
      </c>
      <c r="L72" s="73"/>
      <c r="M72" s="155">
        <v>68</v>
      </c>
      <c r="N72" s="49">
        <v>2.0312999999999999</v>
      </c>
      <c r="O72" s="73"/>
      <c r="P72" s="73"/>
      <c r="Q72" s="73"/>
      <c r="R72" s="155">
        <v>0.71740571126086994</v>
      </c>
      <c r="S72" s="159">
        <v>0.71832906369407346</v>
      </c>
      <c r="T72" s="159">
        <v>0.719289248424971</v>
      </c>
      <c r="U72" s="159">
        <v>0.72028682625607698</v>
      </c>
      <c r="V72" s="159">
        <v>0.72132233870635065</v>
      </c>
      <c r="W72" s="159">
        <v>0.72239631237760726</v>
      </c>
      <c r="X72" s="159">
        <v>0.72350926232946799</v>
      </c>
      <c r="Y72" s="159">
        <v>0.72466169397303726</v>
      </c>
      <c r="Z72" s="159">
        <v>0.72585411790576404</v>
      </c>
      <c r="AA72" s="159">
        <v>0.72708704963144444</v>
      </c>
      <c r="AB72" s="159">
        <v>0.72836100700835549</v>
      </c>
      <c r="AC72" s="159">
        <v>0.72967650523884831</v>
      </c>
      <c r="AD72" s="159">
        <v>0.73103404930185412</v>
      </c>
      <c r="AE72" s="159">
        <v>0.73243411718001972</v>
      </c>
      <c r="AF72" s="159">
        <v>0.73387714587795183</v>
      </c>
      <c r="AG72" s="159">
        <v>0.73536351425327262</v>
      </c>
      <c r="AH72" s="159">
        <v>0.73691223790645288</v>
      </c>
      <c r="AI72" s="159">
        <v>0.73854964801380862</v>
      </c>
      <c r="AJ72" s="159">
        <v>0.7402794982058426</v>
      </c>
      <c r="AK72" s="159">
        <v>0.74210537159452883</v>
      </c>
      <c r="AL72" s="159">
        <v>0.74403064439211997</v>
      </c>
      <c r="AM72" s="159">
        <v>0.74605845179786812</v>
      </c>
      <c r="AN72" s="159">
        <v>0.74819167635103523</v>
      </c>
      <c r="AO72" s="159">
        <v>0.75043290204058788</v>
      </c>
      <c r="AP72" s="159">
        <v>0.75278484980131311</v>
      </c>
      <c r="AQ72" s="159">
        <v>0.7552505466007815</v>
      </c>
      <c r="AR72" s="159">
        <v>0.75783272956504766</v>
      </c>
      <c r="AS72" s="159">
        <v>0.76053379340190996</v>
      </c>
      <c r="AT72" s="159">
        <v>0.76335574576820697</v>
      </c>
      <c r="AU72" s="159">
        <v>0.76630080349897278</v>
      </c>
      <c r="AV72" s="159">
        <v>0.76937163839937162</v>
      </c>
      <c r="AW72" s="159">
        <v>0.7725706044476246</v>
      </c>
      <c r="AX72" s="159">
        <v>0.77589965877797007</v>
      </c>
      <c r="AY72" s="159">
        <v>0.77936030347935159</v>
      </c>
      <c r="AZ72" s="159">
        <v>0.78295415425699622</v>
      </c>
      <c r="BA72" s="159">
        <v>0.78668322557732073</v>
      </c>
      <c r="BB72" s="159">
        <v>0.7905492740034048</v>
      </c>
      <c r="BC72" s="159">
        <v>0.79455377596101551</v>
      </c>
      <c r="BD72" s="159">
        <v>0.79869792276699858</v>
      </c>
      <c r="BE72" s="159">
        <v>0.80298246916218474</v>
      </c>
      <c r="BF72" s="159">
        <v>0.80740762548184009</v>
      </c>
      <c r="BG72" s="159">
        <v>0.81197323056949899</v>
      </c>
      <c r="BH72" s="159">
        <v>0.81667875742633134</v>
      </c>
      <c r="BI72" s="159">
        <v>0.821523334019998</v>
      </c>
      <c r="BJ72" s="159">
        <v>0.82650554566250045</v>
      </c>
      <c r="BK72" s="159">
        <v>0.83162332468958444</v>
      </c>
      <c r="BL72" s="159">
        <v>0.83687426412430732</v>
      </c>
      <c r="BM72" s="159">
        <v>0.84225571884134631</v>
      </c>
      <c r="BN72" s="159">
        <v>0.84776476208203566</v>
      </c>
      <c r="BO72" s="159">
        <v>0.85339763417542247</v>
      </c>
      <c r="BP72" s="159">
        <v>0.85914950704208737</v>
      </c>
      <c r="BQ72" s="159">
        <v>0.86501505969296066</v>
      </c>
      <c r="BR72" s="159">
        <v>0.87098882265154443</v>
      </c>
      <c r="BS72" s="159">
        <v>0.87706478148951206</v>
      </c>
      <c r="BT72" s="159">
        <v>0.88323576248289959</v>
      </c>
      <c r="BU72" s="159">
        <v>0.88949317740265144</v>
      </c>
      <c r="BV72" s="159">
        <v>0.89582718900940617</v>
      </c>
      <c r="BW72" s="159">
        <v>0.90222760411906611</v>
      </c>
      <c r="BX72" s="159">
        <v>0.90868405820220433</v>
      </c>
      <c r="BY72" s="159">
        <v>0.91518538495191259</v>
      </c>
      <c r="BZ72" s="159">
        <v>0.92171929863987889</v>
      </c>
      <c r="CA72" s="159">
        <v>0.92827348141502442</v>
      </c>
      <c r="CB72" s="159">
        <v>0.93483586725032641</v>
      </c>
      <c r="CC72" s="159">
        <v>0.94139498710564429</v>
      </c>
      <c r="CD72" s="159">
        <v>0.9479400127621096</v>
      </c>
      <c r="CE72" s="159">
        <v>0.95446100863441696</v>
      </c>
      <c r="CF72" s="159">
        <v>0.96094992324450179</v>
      </c>
      <c r="CG72" s="159">
        <v>0.96739969068364473</v>
      </c>
      <c r="CH72" s="159">
        <v>0.97380148105393438</v>
      </c>
      <c r="CI72" s="159">
        <v>0.98014326269502317</v>
      </c>
      <c r="CJ72" s="159">
        <v>0.98641106492637287</v>
      </c>
      <c r="CK72" s="159">
        <v>0.99259104809203091</v>
      </c>
      <c r="CL72" s="159">
        <v>0.99866954232562888</v>
      </c>
      <c r="CM72" s="159">
        <v>1.0046341851597613</v>
      </c>
      <c r="CN72" s="49">
        <v>1.0104749453783168</v>
      </c>
      <c r="CO72" s="73"/>
      <c r="CP72" s="96"/>
      <c r="CQ72" s="96"/>
      <c r="CR72" s="96"/>
      <c r="CS72" s="96"/>
      <c r="CT72" s="96"/>
      <c r="CU72" s="96"/>
      <c r="CV72" s="96"/>
      <c r="CW72" s="96"/>
      <c r="CX72" s="96"/>
      <c r="CY72" s="96"/>
      <c r="CZ72" s="96"/>
      <c r="DA72" s="96"/>
      <c r="DC72" t="s">
        <v>637</v>
      </c>
      <c r="DD72" s="55">
        <f>DSUM(Active_Vesteds,"PC4_TOTAL_PV",All_Criteria)</f>
        <v>0</v>
      </c>
      <c r="DN72" s="88">
        <v>1976</v>
      </c>
      <c r="DO72" s="84">
        <v>53400</v>
      </c>
      <c r="DP72" s="81">
        <v>55500</v>
      </c>
      <c r="DQ72" s="81">
        <v>57600</v>
      </c>
      <c r="DR72" s="81">
        <v>60600</v>
      </c>
      <c r="DS72" s="81">
        <v>61200</v>
      </c>
      <c r="DT72" s="81">
        <v>62700</v>
      </c>
      <c r="DU72" s="81">
        <v>65400</v>
      </c>
      <c r="DV72" s="81">
        <v>68400</v>
      </c>
      <c r="DW72" s="81">
        <v>72600</v>
      </c>
      <c r="DX72" s="81">
        <v>76200</v>
      </c>
      <c r="DY72" s="81">
        <v>80400</v>
      </c>
      <c r="DZ72" s="81">
        <v>84900</v>
      </c>
      <c r="EA72" s="81">
        <v>87000</v>
      </c>
      <c r="EB72" s="86">
        <v>87900</v>
      </c>
      <c r="EE72" s="88">
        <v>1976</v>
      </c>
      <c r="EF72" s="125">
        <v>32400</v>
      </c>
      <c r="EG72" s="103">
        <v>35700</v>
      </c>
      <c r="EH72" s="98">
        <v>37800</v>
      </c>
      <c r="EI72" s="103">
        <v>39600</v>
      </c>
      <c r="EJ72" s="103">
        <v>42000</v>
      </c>
      <c r="EK72" s="103">
        <v>43800</v>
      </c>
      <c r="EL72" s="103">
        <v>45000</v>
      </c>
      <c r="EM72" s="111">
        <v>48000</v>
      </c>
      <c r="EN72" s="103">
        <v>51300</v>
      </c>
      <c r="EO72" s="108">
        <v>53400</v>
      </c>
      <c r="EP72" s="81">
        <v>55500</v>
      </c>
      <c r="EQ72" s="81">
        <v>57600</v>
      </c>
      <c r="ER72" s="81">
        <v>60600</v>
      </c>
      <c r="ES72" s="81">
        <v>61200</v>
      </c>
      <c r="ET72" s="81">
        <v>62700</v>
      </c>
      <c r="EU72" s="81">
        <v>65400</v>
      </c>
      <c r="EV72" s="81">
        <v>68400</v>
      </c>
      <c r="EW72" s="81">
        <v>72600</v>
      </c>
      <c r="EX72" s="81">
        <v>76200</v>
      </c>
      <c r="EY72" s="81">
        <v>80400</v>
      </c>
      <c r="EZ72" s="81">
        <v>84900</v>
      </c>
      <c r="FA72" s="81">
        <v>87000</v>
      </c>
      <c r="FB72" s="86">
        <v>87900</v>
      </c>
    </row>
    <row r="73" spans="2:158" ht="15.75" x14ac:dyDescent="0.25">
      <c r="B73" s="73"/>
      <c r="C73" s="73"/>
      <c r="D73" s="215">
        <f t="shared" si="7"/>
        <v>68</v>
      </c>
      <c r="E73" s="216">
        <f>[1]!PBGCLRF(65+D73/12)</f>
        <v>1.8440000000000001</v>
      </c>
      <c r="F73" s="73"/>
      <c r="G73" s="73"/>
      <c r="H73" s="73"/>
      <c r="I73" s="73"/>
      <c r="J73" s="48">
        <v>69</v>
      </c>
      <c r="K73" s="49">
        <v>0.65500000000000003</v>
      </c>
      <c r="L73" s="73"/>
      <c r="M73" s="155">
        <v>69</v>
      </c>
      <c r="N73" s="49">
        <v>2.0537000000000001</v>
      </c>
      <c r="O73" s="73"/>
      <c r="P73" s="73"/>
      <c r="Q73" s="73"/>
      <c r="R73" s="155">
        <v>0.71077709139804401</v>
      </c>
      <c r="S73" s="159">
        <v>0.71170778987386529</v>
      </c>
      <c r="T73" s="159">
        <v>0.71267592649288192</v>
      </c>
      <c r="U73" s="159">
        <v>0.71368200146786775</v>
      </c>
      <c r="V73" s="159">
        <v>0.71472647311974558</v>
      </c>
      <c r="W73" s="159">
        <v>0.71580976861056833</v>
      </c>
      <c r="X73" s="159">
        <v>0.71693228816216337</v>
      </c>
      <c r="Y73" s="159">
        <v>0.71809440810250158</v>
      </c>
      <c r="Z73" s="159">
        <v>0.71929648218284159</v>
      </c>
      <c r="AA73" s="159">
        <v>0.72053885731816547</v>
      </c>
      <c r="AB73" s="159">
        <v>0.72182187231002959</v>
      </c>
      <c r="AC73" s="159">
        <v>0.72314585392283703</v>
      </c>
      <c r="AD73" s="159">
        <v>0.72451111008840308</v>
      </c>
      <c r="AE73" s="159">
        <v>0.72591792010940226</v>
      </c>
      <c r="AF73" s="159">
        <v>0.72736651438292377</v>
      </c>
      <c r="AG73" s="159">
        <v>0.72885705706398696</v>
      </c>
      <c r="AH73" s="159">
        <v>0.73040955571923771</v>
      </c>
      <c r="AI73" s="159">
        <v>0.73205195583393889</v>
      </c>
      <c r="AJ73" s="159">
        <v>0.73378817953282927</v>
      </c>
      <c r="AK73" s="159">
        <v>0.73562197856216716</v>
      </c>
      <c r="AL73" s="159">
        <v>0.73755689565030902</v>
      </c>
      <c r="AM73" s="159">
        <v>0.73959622763751021</v>
      </c>
      <c r="AN73" s="159">
        <v>0.7417430128481467</v>
      </c>
      <c r="AO73" s="159">
        <v>0.74399998200190942</v>
      </c>
      <c r="AP73" s="159">
        <v>0.74637002267806407</v>
      </c>
      <c r="AQ73" s="159">
        <v>0.74885636363813413</v>
      </c>
      <c r="AR73" s="159">
        <v>0.75146193940271766</v>
      </c>
      <c r="AS73" s="159">
        <v>0.75418933421312206</v>
      </c>
      <c r="AT73" s="159">
        <v>0.75704073426164831</v>
      </c>
      <c r="AU73" s="159">
        <v>0.76001856499813991</v>
      </c>
      <c r="AV73" s="159">
        <v>0.76312575971427754</v>
      </c>
      <c r="AW73" s="159">
        <v>0.76636493573593234</v>
      </c>
      <c r="AX73" s="159">
        <v>0.76973831095914524</v>
      </c>
      <c r="AY73" s="159">
        <v>0.77324764222869413</v>
      </c>
      <c r="AZ73" s="159">
        <v>0.7768948350638637</v>
      </c>
      <c r="BA73" s="159">
        <v>0.78068225549890813</v>
      </c>
      <c r="BB73" s="159">
        <v>0.784612029787635</v>
      </c>
      <c r="BC73" s="159">
        <v>0.78868602247001174</v>
      </c>
      <c r="BD73" s="159">
        <v>0.79290583235040391</v>
      </c>
      <c r="BE73" s="159">
        <v>0.79727263110417823</v>
      </c>
      <c r="BF73" s="159">
        <v>0.80178704721193528</v>
      </c>
      <c r="BG73" s="159">
        <v>0.80644935278531349</v>
      </c>
      <c r="BH73" s="159">
        <v>0.81125947065877602</v>
      </c>
      <c r="BI73" s="159">
        <v>0.81621699722066376</v>
      </c>
      <c r="BJ73" s="159">
        <v>0.82132098987244484</v>
      </c>
      <c r="BK73" s="159">
        <v>0.82656984674081613</v>
      </c>
      <c r="BL73" s="159">
        <v>0.83196164431873154</v>
      </c>
      <c r="BM73" s="159">
        <v>0.83749424721486243</v>
      </c>
      <c r="BN73" s="159">
        <v>0.84316526093866151</v>
      </c>
      <c r="BO73" s="159">
        <v>0.84897143397743335</v>
      </c>
      <c r="BP73" s="159">
        <v>0.85490839495725968</v>
      </c>
      <c r="BQ73" s="159">
        <v>0.86097126817845926</v>
      </c>
      <c r="BR73" s="159">
        <v>0.86715504045252412</v>
      </c>
      <c r="BS73" s="159">
        <v>0.87345412632202457</v>
      </c>
      <c r="BT73" s="159">
        <v>0.87986169148161975</v>
      </c>
      <c r="BU73" s="159">
        <v>0.88636936410401024</v>
      </c>
      <c r="BV73" s="159">
        <v>0.89296739853369655</v>
      </c>
      <c r="BW73" s="159">
        <v>0.89964563320285129</v>
      </c>
      <c r="BX73" s="159">
        <v>0.90639368094883588</v>
      </c>
      <c r="BY73" s="159">
        <v>0.91320023467026468</v>
      </c>
      <c r="BZ73" s="159">
        <v>0.92005270670751094</v>
      </c>
      <c r="CA73" s="159">
        <v>0.92693840287152196</v>
      </c>
      <c r="CB73" s="159">
        <v>0.9338448245275548</v>
      </c>
      <c r="CC73" s="159">
        <v>0.94076003966895239</v>
      </c>
      <c r="CD73" s="159">
        <v>0.94767272810628767</v>
      </c>
      <c r="CE73" s="159">
        <v>0.95457245171928207</v>
      </c>
      <c r="CF73" s="159">
        <v>0.96145073926775049</v>
      </c>
      <c r="CG73" s="159">
        <v>0.96830010828034263</v>
      </c>
      <c r="CH73" s="159">
        <v>0.97511104938528548</v>
      </c>
      <c r="CI73" s="159">
        <v>0.98187043399838758</v>
      </c>
      <c r="CJ73" s="159">
        <v>0.98856288661679637</v>
      </c>
      <c r="CK73" s="159">
        <v>0.99517305402374856</v>
      </c>
      <c r="CL73" s="159">
        <v>1.0016856542044814</v>
      </c>
      <c r="CM73" s="159">
        <v>1.0080867313205515</v>
      </c>
      <c r="CN73" s="49">
        <v>1.0143647991710045</v>
      </c>
      <c r="CO73" s="73"/>
      <c r="CP73" s="96"/>
      <c r="CQ73" s="96"/>
      <c r="CR73" s="96"/>
      <c r="CS73" s="96"/>
      <c r="CT73" s="96"/>
      <c r="CU73" s="96"/>
      <c r="CV73" s="96"/>
      <c r="CW73" s="96"/>
      <c r="CX73" s="96"/>
      <c r="CY73" s="96"/>
      <c r="CZ73" s="96"/>
      <c r="DA73" s="96"/>
      <c r="DC73" t="s">
        <v>200</v>
      </c>
      <c r="DD73" s="55">
        <f>SUM(DD71:DD72)</f>
        <v>0</v>
      </c>
      <c r="DN73" s="88">
        <v>1977</v>
      </c>
      <c r="DO73" s="84">
        <v>53400</v>
      </c>
      <c r="DP73" s="81">
        <v>55500</v>
      </c>
      <c r="DQ73" s="81">
        <v>57600</v>
      </c>
      <c r="DR73" s="81">
        <v>60600</v>
      </c>
      <c r="DS73" s="81">
        <v>61200</v>
      </c>
      <c r="DT73" s="81">
        <v>62700</v>
      </c>
      <c r="DU73" s="81">
        <v>65400</v>
      </c>
      <c r="DV73" s="81">
        <v>68400</v>
      </c>
      <c r="DW73" s="81">
        <v>72600</v>
      </c>
      <c r="DX73" s="81">
        <v>76200</v>
      </c>
      <c r="DY73" s="81">
        <v>80400</v>
      </c>
      <c r="DZ73" s="81">
        <v>84900</v>
      </c>
      <c r="EA73" s="81">
        <v>87000</v>
      </c>
      <c r="EB73" s="86">
        <v>87900</v>
      </c>
      <c r="EE73" s="88">
        <v>1977</v>
      </c>
      <c r="EF73" s="125">
        <v>32400</v>
      </c>
      <c r="EG73" s="103">
        <v>35700</v>
      </c>
      <c r="EH73" s="98">
        <v>37800</v>
      </c>
      <c r="EI73" s="103">
        <v>39600</v>
      </c>
      <c r="EJ73" s="103">
        <v>42000</v>
      </c>
      <c r="EK73" s="103">
        <v>43800</v>
      </c>
      <c r="EL73" s="103">
        <v>45000</v>
      </c>
      <c r="EM73" s="111">
        <v>48000</v>
      </c>
      <c r="EN73" s="103">
        <v>51300</v>
      </c>
      <c r="EO73" s="108">
        <v>53400</v>
      </c>
      <c r="EP73" s="81">
        <v>55500</v>
      </c>
      <c r="EQ73" s="81">
        <v>57600</v>
      </c>
      <c r="ER73" s="81">
        <v>60600</v>
      </c>
      <c r="ES73" s="81">
        <v>61200</v>
      </c>
      <c r="ET73" s="81">
        <v>62700</v>
      </c>
      <c r="EU73" s="81">
        <v>65400</v>
      </c>
      <c r="EV73" s="81">
        <v>68400</v>
      </c>
      <c r="EW73" s="81">
        <v>72600</v>
      </c>
      <c r="EX73" s="81">
        <v>76200</v>
      </c>
      <c r="EY73" s="81">
        <v>80400</v>
      </c>
      <c r="EZ73" s="81">
        <v>84900</v>
      </c>
      <c r="FA73" s="81">
        <v>87000</v>
      </c>
      <c r="FB73" s="86">
        <v>87900</v>
      </c>
    </row>
    <row r="74" spans="2:158" ht="15.75" x14ac:dyDescent="0.25">
      <c r="B74" s="73"/>
      <c r="C74" s="73"/>
      <c r="D74" s="215">
        <f t="shared" si="7"/>
        <v>69</v>
      </c>
      <c r="E74" s="216">
        <f>[1]!PBGCLRF(65+D74/12)</f>
        <v>1.867</v>
      </c>
      <c r="F74" s="73"/>
      <c r="G74" s="73"/>
      <c r="H74" s="73"/>
      <c r="I74" s="73"/>
      <c r="J74" s="48">
        <v>70</v>
      </c>
      <c r="K74" s="49">
        <v>0.65</v>
      </c>
      <c r="L74" s="73"/>
      <c r="M74" s="155">
        <v>70</v>
      </c>
      <c r="N74" s="49">
        <v>2.0764</v>
      </c>
      <c r="O74" s="73"/>
      <c r="P74" s="73"/>
      <c r="Q74" s="73"/>
      <c r="R74" s="155">
        <v>0.70445455618758324</v>
      </c>
      <c r="S74" s="159">
        <v>0.70539296900614112</v>
      </c>
      <c r="T74" s="159">
        <v>0.70636950310252145</v>
      </c>
      <c r="U74" s="159">
        <v>0.70738460709070039</v>
      </c>
      <c r="V74" s="159">
        <v>0.70843866120210941</v>
      </c>
      <c r="W74" s="159">
        <v>0.70953198815990604</v>
      </c>
      <c r="X74" s="159">
        <v>0.7106648645024265</v>
      </c>
      <c r="Y74" s="159">
        <v>0.71183752451019089</v>
      </c>
      <c r="Z74" s="159">
        <v>0.71305016273457056</v>
      </c>
      <c r="AA74" s="159">
        <v>0.71430293449053051</v>
      </c>
      <c r="AB74" s="159">
        <v>0.71559597248219753</v>
      </c>
      <c r="AC74" s="159">
        <v>0.71692938416868734</v>
      </c>
      <c r="AD74" s="159">
        <v>0.71830324601896223</v>
      </c>
      <c r="AE74" s="159">
        <v>0.71971759438089533</v>
      </c>
      <c r="AF74" s="159">
        <v>0.7211724127932202</v>
      </c>
      <c r="AG74" s="159">
        <v>0.72266760728404345</v>
      </c>
      <c r="AH74" s="159">
        <v>0.72422423377722367</v>
      </c>
      <c r="AI74" s="159">
        <v>0.72587197793750868</v>
      </c>
      <c r="AJ74" s="159">
        <v>0.72761493403549793</v>
      </c>
      <c r="AK74" s="159">
        <v>0.72945702563501491</v>
      </c>
      <c r="AL74" s="159">
        <v>0.73140196463445672</v>
      </c>
      <c r="AM74" s="159">
        <v>0.7334532117242436</v>
      </c>
      <c r="AN74" s="159">
        <v>0.73561396228773646</v>
      </c>
      <c r="AO74" s="159">
        <v>0.73788709351369874</v>
      </c>
      <c r="AP74" s="159">
        <v>0.74027566015017776</v>
      </c>
      <c r="AQ74" s="159">
        <v>0.74278309562147149</v>
      </c>
      <c r="AR74" s="159">
        <v>0.74541253380379635</v>
      </c>
      <c r="AS74" s="159">
        <v>0.74816674879552048</v>
      </c>
      <c r="AT74" s="159">
        <v>0.75104810360795216</v>
      </c>
      <c r="AU74" s="159">
        <v>0.75405923184055146</v>
      </c>
      <c r="AV74" s="159">
        <v>0.75720333134384843</v>
      </c>
      <c r="AW74" s="159">
        <v>0.76048328442262014</v>
      </c>
      <c r="AX74" s="159">
        <v>0.76390156972608581</v>
      </c>
      <c r="AY74" s="159">
        <v>0.76746019700562307</v>
      </c>
      <c r="AZ74" s="159">
        <v>0.77116136144049541</v>
      </c>
      <c r="BA74" s="159">
        <v>0.77500778511215507</v>
      </c>
      <c r="BB74" s="159">
        <v>0.7790019691873511</v>
      </c>
      <c r="BC74" s="159">
        <v>0.78314617296996436</v>
      </c>
      <c r="BD74" s="159">
        <v>0.78744241163866824</v>
      </c>
      <c r="BE74" s="159">
        <v>0.79189228446603854</v>
      </c>
      <c r="BF74" s="159">
        <v>0.79649684967064194</v>
      </c>
      <c r="BG74" s="159">
        <v>0.80125682605033521</v>
      </c>
      <c r="BH74" s="159">
        <v>0.80617260249448264</v>
      </c>
      <c r="BI74" s="159">
        <v>0.81124426388429749</v>
      </c>
      <c r="BJ74" s="159">
        <v>0.81647136303514745</v>
      </c>
      <c r="BK74" s="159">
        <v>0.82185278889432167</v>
      </c>
      <c r="BL74" s="159">
        <v>0.82738713109197215</v>
      </c>
      <c r="BM74" s="159">
        <v>0.83307279957648517</v>
      </c>
      <c r="BN74" s="159">
        <v>0.838907975507306</v>
      </c>
      <c r="BO74" s="159">
        <v>0.84488996350039447</v>
      </c>
      <c r="BP74" s="159">
        <v>0.85101489976802946</v>
      </c>
      <c r="BQ74" s="159">
        <v>0.85727841144461114</v>
      </c>
      <c r="BR74" s="159">
        <v>0.86367601050733589</v>
      </c>
      <c r="BS74" s="159">
        <v>0.87020261775690622</v>
      </c>
      <c r="BT74" s="159">
        <v>0.87685181729239137</v>
      </c>
      <c r="BU74" s="159">
        <v>0.88361552953426614</v>
      </c>
      <c r="BV74" s="159">
        <v>0.89048417268918922</v>
      </c>
      <c r="BW74" s="159">
        <v>0.89744769291474569</v>
      </c>
      <c r="BX74" s="159">
        <v>0.90449576195346104</v>
      </c>
      <c r="BY74" s="159">
        <v>0.91161701057014521</v>
      </c>
      <c r="BZ74" s="159">
        <v>0.91879861763214266</v>
      </c>
      <c r="CA74" s="159">
        <v>0.92602757917568912</v>
      </c>
      <c r="CB74" s="159">
        <v>0.93329103147853532</v>
      </c>
      <c r="CC74" s="159">
        <v>0.94057665010736813</v>
      </c>
      <c r="CD74" s="159">
        <v>0.94787269547844466</v>
      </c>
      <c r="CE74" s="159">
        <v>0.95516830398422081</v>
      </c>
      <c r="CF74" s="159">
        <v>0.96245467461275114</v>
      </c>
      <c r="CG74" s="159">
        <v>0.96972400318481344</v>
      </c>
      <c r="CH74" s="159">
        <v>0.97696616773852496</v>
      </c>
      <c r="CI74" s="159">
        <v>0.98416695806255583</v>
      </c>
      <c r="CJ74" s="159">
        <v>0.99130955636948825</v>
      </c>
      <c r="CK74" s="159">
        <v>0.99837703136624445</v>
      </c>
      <c r="CL74" s="159">
        <v>1.0053523977046046</v>
      </c>
      <c r="CM74" s="159">
        <v>1.0122200020696088</v>
      </c>
      <c r="CN74" s="49">
        <v>1.0189667979876751</v>
      </c>
      <c r="CO74" s="73"/>
      <c r="CP74" s="96"/>
      <c r="CQ74" s="96"/>
      <c r="CR74" s="96"/>
      <c r="CS74" s="96"/>
      <c r="CT74" s="96"/>
      <c r="CU74" s="96"/>
      <c r="CV74" s="96"/>
      <c r="CW74" s="96"/>
      <c r="CX74" s="96"/>
      <c r="CY74" s="96"/>
      <c r="CZ74" s="96"/>
      <c r="DA74" s="96"/>
      <c r="DB74" t="s">
        <v>639</v>
      </c>
      <c r="DC74" t="s">
        <v>635</v>
      </c>
      <c r="DN74" s="88">
        <v>1978</v>
      </c>
      <c r="DO74" s="84">
        <v>53400</v>
      </c>
      <c r="DP74" s="81">
        <v>55500</v>
      </c>
      <c r="DQ74" s="81">
        <v>57600</v>
      </c>
      <c r="DR74" s="81">
        <v>60600</v>
      </c>
      <c r="DS74" s="81">
        <v>61200</v>
      </c>
      <c r="DT74" s="81">
        <v>62700</v>
      </c>
      <c r="DU74" s="81">
        <v>65400</v>
      </c>
      <c r="DV74" s="81">
        <v>68400</v>
      </c>
      <c r="DW74" s="81">
        <v>72600</v>
      </c>
      <c r="DX74" s="81">
        <v>76200</v>
      </c>
      <c r="DY74" s="81">
        <v>80400</v>
      </c>
      <c r="DZ74" s="81">
        <v>84900</v>
      </c>
      <c r="EA74" s="81">
        <v>87000</v>
      </c>
      <c r="EB74" s="86">
        <v>87900</v>
      </c>
      <c r="EE74" s="88">
        <v>1978</v>
      </c>
      <c r="EF74" s="125">
        <v>32400</v>
      </c>
      <c r="EG74" s="103">
        <v>35700</v>
      </c>
      <c r="EH74" s="98">
        <v>37800</v>
      </c>
      <c r="EI74" s="103">
        <v>39600</v>
      </c>
      <c r="EJ74" s="103">
        <v>42000</v>
      </c>
      <c r="EK74" s="103">
        <v>43800</v>
      </c>
      <c r="EL74" s="103">
        <v>45000</v>
      </c>
      <c r="EM74" s="111">
        <v>48000</v>
      </c>
      <c r="EN74" s="103">
        <v>51300</v>
      </c>
      <c r="EO74" s="108">
        <v>53400</v>
      </c>
      <c r="EP74" s="81">
        <v>55500</v>
      </c>
      <c r="EQ74" s="81">
        <v>57600</v>
      </c>
      <c r="ER74" s="81">
        <v>60600</v>
      </c>
      <c r="ES74" s="81">
        <v>61200</v>
      </c>
      <c r="ET74" s="81">
        <v>62700</v>
      </c>
      <c r="EU74" s="81">
        <v>65400</v>
      </c>
      <c r="EV74" s="81">
        <v>68400</v>
      </c>
      <c r="EW74" s="81">
        <v>72600</v>
      </c>
      <c r="EX74" s="81">
        <v>76200</v>
      </c>
      <c r="EY74" s="81">
        <v>80400</v>
      </c>
      <c r="EZ74" s="81">
        <v>84900</v>
      </c>
      <c r="FA74" s="81">
        <v>87000</v>
      </c>
      <c r="FB74" s="86">
        <v>87900</v>
      </c>
    </row>
    <row r="75" spans="2:158" ht="15.75" x14ac:dyDescent="0.25">
      <c r="B75" s="73"/>
      <c r="C75" s="73"/>
      <c r="D75" s="215">
        <f t="shared" si="7"/>
        <v>70</v>
      </c>
      <c r="E75" s="216">
        <f>[1]!PBGCLRF(65+D75/12)</f>
        <v>1.89</v>
      </c>
      <c r="F75" s="73"/>
      <c r="G75" s="73"/>
      <c r="H75" s="73"/>
      <c r="I75" s="73"/>
      <c r="J75" s="48">
        <v>71</v>
      </c>
      <c r="K75" s="49">
        <v>0.64500000000000002</v>
      </c>
      <c r="L75" s="73"/>
      <c r="M75" s="155">
        <v>71</v>
      </c>
      <c r="N75" s="49">
        <v>2.0992999999999999</v>
      </c>
      <c r="O75" s="73"/>
      <c r="P75" s="73"/>
      <c r="Q75" s="73"/>
      <c r="R75" s="155">
        <v>0.69849186049758438</v>
      </c>
      <c r="S75" s="159">
        <v>0.69943840372313237</v>
      </c>
      <c r="T75" s="159">
        <v>0.70042382920563817</v>
      </c>
      <c r="U75" s="159">
        <v>0.70144854455622241</v>
      </c>
      <c r="V75" s="159">
        <v>0.70251286050844219</v>
      </c>
      <c r="W75" s="159">
        <v>0.70361699923239096</v>
      </c>
      <c r="X75" s="159">
        <v>0.70476110578704865</v>
      </c>
      <c r="Y75" s="159">
        <v>0.705945260003222</v>
      </c>
      <c r="Z75" s="159">
        <v>0.70716947991819856</v>
      </c>
      <c r="AA75" s="159">
        <v>0.70843372352696976</v>
      </c>
      <c r="AB75" s="159">
        <v>0.70973788811442606</v>
      </c>
      <c r="AC75" s="159">
        <v>0.71108182770146433</v>
      </c>
      <c r="AD75" s="159">
        <v>0.71246534856940158</v>
      </c>
      <c r="AE75" s="159">
        <v>0.71388820109198503</v>
      </c>
      <c r="AF75" s="159">
        <v>0.71535006753513442</v>
      </c>
      <c r="AG75" s="159">
        <v>0.71685054559580685</v>
      </c>
      <c r="AH75" s="159">
        <v>0.71841179997897742</v>
      </c>
      <c r="AI75" s="159">
        <v>0.72006539727299945</v>
      </c>
      <c r="AJ75" s="159">
        <v>0.72181560842080084</v>
      </c>
      <c r="AK75" s="159">
        <v>0.72366653285302251</v>
      </c>
      <c r="AL75" s="159">
        <v>0.72562205488671272</v>
      </c>
      <c r="AM75" s="159">
        <v>0.72768580138416195</v>
      </c>
      <c r="AN75" s="159">
        <v>0.72986112641144907</v>
      </c>
      <c r="AO75" s="159">
        <v>0.73215105372823175</v>
      </c>
      <c r="AP75" s="159">
        <v>0.73455880616939007</v>
      </c>
      <c r="AQ75" s="159">
        <v>0.737088025444258</v>
      </c>
      <c r="AR75" s="159">
        <v>0.73974204714659886</v>
      </c>
      <c r="AS75" s="159">
        <v>0.74252383604651129</v>
      </c>
      <c r="AT75" s="159">
        <v>0.74543593039810307</v>
      </c>
      <c r="AU75" s="159">
        <v>0.74848117173013262</v>
      </c>
      <c r="AV75" s="159">
        <v>0.751663026339773</v>
      </c>
      <c r="AW75" s="159">
        <v>0.75498464426229794</v>
      </c>
      <c r="AX75" s="159">
        <v>0.75844876535482086</v>
      </c>
      <c r="AY75" s="159">
        <v>0.76205765027357975</v>
      </c>
      <c r="AZ75" s="159">
        <v>0.76581378347104589</v>
      </c>
      <c r="BA75" s="159">
        <v>0.76972024773523962</v>
      </c>
      <c r="BB75" s="159">
        <v>0.77377992469404566</v>
      </c>
      <c r="BC75" s="159">
        <v>0.77799547481006293</v>
      </c>
      <c r="BD75" s="159">
        <v>0.78236933776595208</v>
      </c>
      <c r="BE75" s="159">
        <v>0.78690355019477665</v>
      </c>
      <c r="BF75" s="159">
        <v>0.79159961084248287</v>
      </c>
      <c r="BG75" s="159">
        <v>0.79645869837497274</v>
      </c>
      <c r="BH75" s="159">
        <v>0.80148168317425261</v>
      </c>
      <c r="BI75" s="159">
        <v>0.80666915754314439</v>
      </c>
      <c r="BJ75" s="159">
        <v>0.81202119170723963</v>
      </c>
      <c r="BK75" s="159">
        <v>0.81753718990185131</v>
      </c>
      <c r="BL75" s="159">
        <v>0.82321628389917867</v>
      </c>
      <c r="BM75" s="159">
        <v>0.82905746439967609</v>
      </c>
      <c r="BN75" s="159">
        <v>0.8350595305347005</v>
      </c>
      <c r="BO75" s="159">
        <v>0.84122038978475333</v>
      </c>
      <c r="BP75" s="159">
        <v>0.84753673492581927</v>
      </c>
      <c r="BQ75" s="159">
        <v>0.85400475275118404</v>
      </c>
      <c r="BR75" s="159">
        <v>0.8606205480773742</v>
      </c>
      <c r="BS75" s="159">
        <v>0.86737962546169378</v>
      </c>
      <c r="BT75" s="159">
        <v>0.87427606784186818</v>
      </c>
      <c r="BU75" s="159">
        <v>0.88130216646979609</v>
      </c>
      <c r="BV75" s="159">
        <v>0.88844857747827444</v>
      </c>
      <c r="BW75" s="159">
        <v>0.89570543232964195</v>
      </c>
      <c r="BX75" s="159">
        <v>0.90306254493106675</v>
      </c>
      <c r="BY75" s="159">
        <v>0.91050856663982638</v>
      </c>
      <c r="BZ75" s="159">
        <v>0.91803051625260035</v>
      </c>
      <c r="CA75" s="159">
        <v>0.92561515187501286</v>
      </c>
      <c r="CB75" s="159">
        <v>0.93324931703347969</v>
      </c>
      <c r="CC75" s="159">
        <v>0.94092037223959546</v>
      </c>
      <c r="CD75" s="159">
        <v>0.94861624066892014</v>
      </c>
      <c r="CE75" s="159">
        <v>0.95632572104435021</v>
      </c>
      <c r="CF75" s="159">
        <v>0.9640397891322805</v>
      </c>
      <c r="CG75" s="159">
        <v>0.97175043335146227</v>
      </c>
      <c r="CH75" s="159">
        <v>0.97944700535206231</v>
      </c>
      <c r="CI75" s="159">
        <v>0.98711424441510232</v>
      </c>
      <c r="CJ75" s="159">
        <v>0.9947338712205257</v>
      </c>
      <c r="CK75" s="159">
        <v>1.0022873202151399</v>
      </c>
      <c r="CL75" s="159">
        <v>1.009755815217271</v>
      </c>
      <c r="CM75" s="159">
        <v>1.0171219016955837</v>
      </c>
      <c r="CN75" s="49">
        <v>1.0243708713302535</v>
      </c>
      <c r="CO75" s="73"/>
      <c r="CP75" s="96"/>
      <c r="CQ75" s="96"/>
      <c r="CR75" s="96"/>
      <c r="CS75" s="96"/>
      <c r="CT75" s="96"/>
      <c r="CU75" s="96"/>
      <c r="CV75" s="96"/>
      <c r="CW75" s="96"/>
      <c r="CX75" s="96"/>
      <c r="CY75" s="96"/>
      <c r="CZ75" s="96"/>
      <c r="DA75" s="96"/>
      <c r="DC75" t="s">
        <v>636</v>
      </c>
      <c r="DD75" s="55">
        <f>DSUM(Separated_Vesteds,"PC3_TOTAL_PV",All_Criteria)</f>
        <v>0</v>
      </c>
      <c r="DN75" s="88">
        <v>1979</v>
      </c>
      <c r="DO75" s="84">
        <v>53400</v>
      </c>
      <c r="DP75" s="81">
        <v>55500</v>
      </c>
      <c r="DQ75" s="81">
        <v>57600</v>
      </c>
      <c r="DR75" s="81">
        <v>60600</v>
      </c>
      <c r="DS75" s="81">
        <v>61200</v>
      </c>
      <c r="DT75" s="81">
        <v>62700</v>
      </c>
      <c r="DU75" s="81">
        <v>65400</v>
      </c>
      <c r="DV75" s="81">
        <v>68400</v>
      </c>
      <c r="DW75" s="81">
        <v>72600</v>
      </c>
      <c r="DX75" s="81">
        <v>76200</v>
      </c>
      <c r="DY75" s="81">
        <v>80400</v>
      </c>
      <c r="DZ75" s="81">
        <v>84900</v>
      </c>
      <c r="EA75" s="81">
        <v>87000</v>
      </c>
      <c r="EB75" s="86">
        <v>87900</v>
      </c>
      <c r="EE75" s="88">
        <v>1979</v>
      </c>
      <c r="EF75" s="125">
        <v>32400</v>
      </c>
      <c r="EG75" s="103">
        <v>35700</v>
      </c>
      <c r="EH75" s="98">
        <v>37800</v>
      </c>
      <c r="EI75" s="103">
        <v>39600</v>
      </c>
      <c r="EJ75" s="103">
        <v>42000</v>
      </c>
      <c r="EK75" s="103">
        <v>43800</v>
      </c>
      <c r="EL75" s="103">
        <v>45000</v>
      </c>
      <c r="EM75" s="111">
        <v>48000</v>
      </c>
      <c r="EN75" s="103">
        <v>51300</v>
      </c>
      <c r="EO75" s="108">
        <v>53400</v>
      </c>
      <c r="EP75" s="81">
        <v>55500</v>
      </c>
      <c r="EQ75" s="81">
        <v>57600</v>
      </c>
      <c r="ER75" s="81">
        <v>60600</v>
      </c>
      <c r="ES75" s="81">
        <v>61200</v>
      </c>
      <c r="ET75" s="81">
        <v>62700</v>
      </c>
      <c r="EU75" s="81">
        <v>65400</v>
      </c>
      <c r="EV75" s="81">
        <v>68400</v>
      </c>
      <c r="EW75" s="81">
        <v>72600</v>
      </c>
      <c r="EX75" s="81">
        <v>76200</v>
      </c>
      <c r="EY75" s="81">
        <v>80400</v>
      </c>
      <c r="EZ75" s="81">
        <v>84900</v>
      </c>
      <c r="FA75" s="81">
        <v>87000</v>
      </c>
      <c r="FB75" s="86">
        <v>87900</v>
      </c>
    </row>
    <row r="76" spans="2:158" ht="16.5" thickBot="1" x14ac:dyDescent="0.3">
      <c r="B76" s="73"/>
      <c r="C76" s="73"/>
      <c r="D76" s="215">
        <f t="shared" si="7"/>
        <v>71</v>
      </c>
      <c r="E76" s="216">
        <f>[1]!PBGCLRF(65+D76/12)</f>
        <v>1.913</v>
      </c>
      <c r="F76" s="73"/>
      <c r="G76" s="73"/>
      <c r="H76" s="73"/>
      <c r="I76" s="73"/>
      <c r="J76" s="48">
        <v>72</v>
      </c>
      <c r="K76" s="49">
        <v>0.64</v>
      </c>
      <c r="L76" s="73"/>
      <c r="M76" s="155">
        <v>72</v>
      </c>
      <c r="N76" s="49">
        <v>2.1225000000000001</v>
      </c>
      <c r="O76" s="73"/>
      <c r="P76" s="73"/>
      <c r="Q76" s="73"/>
      <c r="R76" s="155">
        <v>0.69294549654835869</v>
      </c>
      <c r="S76" s="159">
        <v>0.69390063884321385</v>
      </c>
      <c r="T76" s="159">
        <v>0.69489550778382603</v>
      </c>
      <c r="U76" s="159">
        <v>0.69593047661878571</v>
      </c>
      <c r="V76" s="159">
        <v>0.69700579693883691</v>
      </c>
      <c r="W76" s="159">
        <v>0.69812159803581719</v>
      </c>
      <c r="X76" s="159">
        <v>0.69927789541373164</v>
      </c>
      <c r="Y76" s="159">
        <v>0.70047460277451812</v>
      </c>
      <c r="Z76" s="159">
        <v>0.7017115443934534</v>
      </c>
      <c r="AA76" s="159">
        <v>0.702988457781896</v>
      </c>
      <c r="AB76" s="159">
        <v>0.70430499430353544</v>
      </c>
      <c r="AC76" s="159">
        <v>0.70566071688840504</v>
      </c>
      <c r="AD76" s="159">
        <v>0.70705511816734956</v>
      </c>
      <c r="AE76" s="159">
        <v>0.70848761349917211</v>
      </c>
      <c r="AF76" s="159">
        <v>0.7099575295694478</v>
      </c>
      <c r="AG76" s="159">
        <v>0.71146408813503614</v>
      </c>
      <c r="AH76" s="159">
        <v>0.71303062773844417</v>
      </c>
      <c r="AI76" s="159">
        <v>0.71469075308976659</v>
      </c>
      <c r="AJ76" s="159">
        <v>0.71644891703617142</v>
      </c>
      <c r="AK76" s="159">
        <v>0.71830939992067133</v>
      </c>
      <c r="AL76" s="159">
        <v>0.72027626267400169</v>
      </c>
      <c r="AM76" s="159">
        <v>0.72235330123938157</v>
      </c>
      <c r="AN76" s="159">
        <v>0.7245440299983541</v>
      </c>
      <c r="AO76" s="159">
        <v>0.72685161958960498</v>
      </c>
      <c r="AP76" s="159">
        <v>0.72927946235331975</v>
      </c>
      <c r="AQ76" s="159">
        <v>0.731831412717735</v>
      </c>
      <c r="AR76" s="159">
        <v>0.73451101110183981</v>
      </c>
      <c r="AS76" s="159">
        <v>0.73732141402674967</v>
      </c>
      <c r="AT76" s="159">
        <v>0.74026533368625536</v>
      </c>
      <c r="AU76" s="159">
        <v>0.74334581959523649</v>
      </c>
      <c r="AV76" s="159">
        <v>0.74656661118877077</v>
      </c>
      <c r="AW76" s="159">
        <v>0.7499311298202016</v>
      </c>
      <c r="AX76" s="159">
        <v>0.75344237808558379</v>
      </c>
      <c r="AY76" s="159">
        <v>0.75710286576912145</v>
      </c>
      <c r="AZ76" s="159">
        <v>0.76091536614323663</v>
      </c>
      <c r="BA76" s="159">
        <v>0.76488332767261558</v>
      </c>
      <c r="BB76" s="159">
        <v>0.76901001827443105</v>
      </c>
      <c r="BC76" s="159">
        <v>0.77329850642491427</v>
      </c>
      <c r="BD76" s="159">
        <v>0.77775166427331544</v>
      </c>
      <c r="BE76" s="159">
        <v>0.78237197476562337</v>
      </c>
      <c r="BF76" s="159">
        <v>0.78716138687992787</v>
      </c>
      <c r="BG76" s="159">
        <v>0.7921215515464618</v>
      </c>
      <c r="BH76" s="159">
        <v>0.79725383599360988</v>
      </c>
      <c r="BI76" s="159">
        <v>0.80255935824391855</v>
      </c>
      <c r="BJ76" s="159">
        <v>0.80803872679365707</v>
      </c>
      <c r="BK76" s="159">
        <v>0.81369188415524929</v>
      </c>
      <c r="BL76" s="159">
        <v>0.81951853301188382</v>
      </c>
      <c r="BM76" s="159">
        <v>0.82551828009064521</v>
      </c>
      <c r="BN76" s="159">
        <v>0.8316905853371438</v>
      </c>
      <c r="BO76" s="159">
        <v>0.83803400491846869</v>
      </c>
      <c r="BP76" s="159">
        <v>0.84454583567635289</v>
      </c>
      <c r="BQ76" s="159">
        <v>0.85122287925743834</v>
      </c>
      <c r="BR76" s="159">
        <v>0.85806190123621873</v>
      </c>
      <c r="BS76" s="159">
        <v>0.86505906689672718</v>
      </c>
      <c r="BT76" s="159">
        <v>0.87220903875323552</v>
      </c>
      <c r="BU76" s="159">
        <v>0.87950455871368149</v>
      </c>
      <c r="BV76" s="159">
        <v>0.88693659734623231</v>
      </c>
      <c r="BW76" s="159">
        <v>0.89449555124783908</v>
      </c>
      <c r="BX76" s="159">
        <v>0.90217146178771157</v>
      </c>
      <c r="BY76" s="159">
        <v>0.90995308511970951</v>
      </c>
      <c r="BZ76" s="159">
        <v>0.91782735651768821</v>
      </c>
      <c r="CA76" s="159">
        <v>0.92578087329027481</v>
      </c>
      <c r="CB76" s="159">
        <v>0.93380026444371145</v>
      </c>
      <c r="CC76" s="159">
        <v>0.94187265857328206</v>
      </c>
      <c r="CD76" s="159">
        <v>0.94998573201124381</v>
      </c>
      <c r="CE76" s="159">
        <v>0.9581280454052471</v>
      </c>
      <c r="CF76" s="159">
        <v>0.96629047287673753</v>
      </c>
      <c r="CG76" s="159">
        <v>0.97446493081797425</v>
      </c>
      <c r="CH76" s="159">
        <v>0.98264035033174357</v>
      </c>
      <c r="CI76" s="159">
        <v>0.99080046685973211</v>
      </c>
      <c r="CJ76" s="159">
        <v>0.99892553192679179</v>
      </c>
      <c r="CK76" s="159">
        <v>1.0069953068017341</v>
      </c>
      <c r="CL76" s="159">
        <v>1.0149891419846915</v>
      </c>
      <c r="CM76" s="159">
        <v>1.0228876790888881</v>
      </c>
      <c r="CN76" s="49">
        <v>1.0306744459770434</v>
      </c>
      <c r="CO76" s="73"/>
      <c r="CP76" s="96"/>
      <c r="CQ76" s="96"/>
      <c r="CR76" s="96"/>
      <c r="CS76" s="96"/>
      <c r="CT76" s="96"/>
      <c r="CU76" s="96"/>
      <c r="CV76" s="96"/>
      <c r="CW76" s="96"/>
      <c r="CX76" s="96"/>
      <c r="CY76" s="96"/>
      <c r="CZ76" s="96"/>
      <c r="DA76" s="96"/>
      <c r="DC76" t="s">
        <v>637</v>
      </c>
      <c r="DD76" s="55">
        <f>DSUM(Active_Vesteds,"PC4_TOTAL_PV",All_Criteria)</f>
        <v>0</v>
      </c>
      <c r="DN76" s="89">
        <v>1980</v>
      </c>
      <c r="DO76" s="90">
        <v>53400</v>
      </c>
      <c r="DP76" s="91">
        <v>55500</v>
      </c>
      <c r="DQ76" s="91">
        <v>57600</v>
      </c>
      <c r="DR76" s="91">
        <v>60600</v>
      </c>
      <c r="DS76" s="91">
        <v>61200</v>
      </c>
      <c r="DT76" s="91">
        <v>62700</v>
      </c>
      <c r="DU76" s="91">
        <v>65400</v>
      </c>
      <c r="DV76" s="91">
        <v>68400</v>
      </c>
      <c r="DW76" s="91">
        <v>72600</v>
      </c>
      <c r="DX76" s="91">
        <v>76200</v>
      </c>
      <c r="DY76" s="91">
        <v>80400</v>
      </c>
      <c r="DZ76" s="91">
        <v>84900</v>
      </c>
      <c r="EA76" s="91">
        <v>87000</v>
      </c>
      <c r="EB76" s="92">
        <v>87900</v>
      </c>
      <c r="EE76" s="89">
        <v>1980</v>
      </c>
      <c r="EF76" s="128">
        <v>32400</v>
      </c>
      <c r="EG76" s="75">
        <v>35700</v>
      </c>
      <c r="EH76" s="122">
        <v>37800</v>
      </c>
      <c r="EI76" s="75">
        <v>39600</v>
      </c>
      <c r="EJ76" s="75">
        <v>42000</v>
      </c>
      <c r="EK76" s="75">
        <v>43800</v>
      </c>
      <c r="EL76" s="75">
        <v>45000</v>
      </c>
      <c r="EM76" s="106">
        <v>48000</v>
      </c>
      <c r="EN76" s="75">
        <v>51300</v>
      </c>
      <c r="EO76" s="109">
        <v>53400</v>
      </c>
      <c r="EP76" s="91">
        <v>55500</v>
      </c>
      <c r="EQ76" s="91">
        <v>57600</v>
      </c>
      <c r="ER76" s="91">
        <v>60600</v>
      </c>
      <c r="ES76" s="91">
        <v>61200</v>
      </c>
      <c r="ET76" s="91">
        <v>62700</v>
      </c>
      <c r="EU76" s="91">
        <v>65400</v>
      </c>
      <c r="EV76" s="91">
        <v>68400</v>
      </c>
      <c r="EW76" s="91">
        <v>72600</v>
      </c>
      <c r="EX76" s="91">
        <v>76200</v>
      </c>
      <c r="EY76" s="91">
        <v>80400</v>
      </c>
      <c r="EZ76" s="91">
        <v>84900</v>
      </c>
      <c r="FA76" s="91">
        <v>87000</v>
      </c>
      <c r="FB76" s="92">
        <v>87900</v>
      </c>
    </row>
    <row r="77" spans="2:158" ht="16.5" thickTop="1" x14ac:dyDescent="0.25">
      <c r="B77" s="73"/>
      <c r="C77" s="73"/>
      <c r="D77" s="215">
        <f t="shared" si="7"/>
        <v>72</v>
      </c>
      <c r="E77" s="216">
        <f>[1]!PBGCLRF(65+D77/12)</f>
        <v>1.9359999999999999</v>
      </c>
      <c r="F77" s="73"/>
      <c r="G77" s="73"/>
      <c r="H77" s="73"/>
      <c r="I77" s="73"/>
      <c r="J77" s="48">
        <v>73</v>
      </c>
      <c r="K77" s="49">
        <v>0.63500000000000001</v>
      </c>
      <c r="L77" s="73"/>
      <c r="M77" s="155">
        <v>73</v>
      </c>
      <c r="N77" s="49">
        <v>2.1461999999999999</v>
      </c>
      <c r="O77" s="73"/>
      <c r="P77" s="73"/>
      <c r="Q77" s="73"/>
      <c r="R77" s="155">
        <v>0.68787108231230487</v>
      </c>
      <c r="S77" s="159">
        <v>0.68883534516124967</v>
      </c>
      <c r="T77" s="159">
        <v>0.68984026726861547</v>
      </c>
      <c r="U77" s="159">
        <v>0.69088619653352779</v>
      </c>
      <c r="V77" s="159">
        <v>0.69197333120737103</v>
      </c>
      <c r="W77" s="159">
        <v>0.69310171726755687</v>
      </c>
      <c r="X77" s="159">
        <v>0.69427124665050177</v>
      </c>
      <c r="Y77" s="159">
        <v>0.69548166582993309</v>
      </c>
      <c r="Z77" s="159">
        <v>0.69673258824777762</v>
      </c>
      <c r="AA77" s="159">
        <v>0.6980235070609232</v>
      </c>
      <c r="AB77" s="159">
        <v>0.69935379664216912</v>
      </c>
      <c r="AC77" s="159">
        <v>0.70072271156780308</v>
      </c>
      <c r="AD77" s="159">
        <v>0.70212938208696896</v>
      </c>
      <c r="AE77" s="159">
        <v>0.70357283270978999</v>
      </c>
      <c r="AF77" s="159">
        <v>0.70505197184308466</v>
      </c>
      <c r="AG77" s="159">
        <v>0.70656557605559778</v>
      </c>
      <c r="AH77" s="159">
        <v>0.70813821671555088</v>
      </c>
      <c r="AI77" s="159">
        <v>0.70980571295820216</v>
      </c>
      <c r="AJ77" s="159">
        <v>0.71157270489145297</v>
      </c>
      <c r="AK77" s="159">
        <v>0.71344365960034506</v>
      </c>
      <c r="AL77" s="159">
        <v>0.71542281989658218</v>
      </c>
      <c r="AM77" s="159">
        <v>0.71751415466680779</v>
      </c>
      <c r="AN77" s="159">
        <v>0.71972134074239535</v>
      </c>
      <c r="AO77" s="159">
        <v>0.72204769571122152</v>
      </c>
      <c r="AP77" s="159">
        <v>0.72449678314194543</v>
      </c>
      <c r="AQ77" s="159">
        <v>0.72707267558076183</v>
      </c>
      <c r="AR77" s="159">
        <v>0.72977912215505436</v>
      </c>
      <c r="AS77" s="159">
        <v>0.73261947282026174</v>
      </c>
      <c r="AT77" s="159">
        <v>0.73559661235466778</v>
      </c>
      <c r="AU77" s="159">
        <v>0.73871379872637954</v>
      </c>
      <c r="AV77" s="159">
        <v>0.74197505009096898</v>
      </c>
      <c r="AW77" s="159">
        <v>0.74538406349307618</v>
      </c>
      <c r="AX77" s="159">
        <v>0.74894410650469834</v>
      </c>
      <c r="AY77" s="159">
        <v>0.75265793711489493</v>
      </c>
      <c r="AZ77" s="159">
        <v>0.75652861729630716</v>
      </c>
      <c r="BA77" s="159">
        <v>0.760559966703511</v>
      </c>
      <c r="BB77" s="159">
        <v>0.76475564576801935</v>
      </c>
      <c r="BC77" s="159">
        <v>0.76911913821403655</v>
      </c>
      <c r="BD77" s="159">
        <v>0.77365375723762941</v>
      </c>
      <c r="BE77" s="159">
        <v>0.77836244086043904</v>
      </c>
      <c r="BF77" s="159">
        <v>0.78324759693609036</v>
      </c>
      <c r="BG77" s="159">
        <v>0.78831135990123891</v>
      </c>
      <c r="BH77" s="159">
        <v>0.79355560844520223</v>
      </c>
      <c r="BI77" s="159">
        <v>0.79898200475971681</v>
      </c>
      <c r="BJ77" s="159">
        <v>0.8045917158844601</v>
      </c>
      <c r="BK77" s="159">
        <v>0.81038524427210856</v>
      </c>
      <c r="BL77" s="159">
        <v>0.81636289100110537</v>
      </c>
      <c r="BM77" s="159">
        <v>0.82252491449257881</v>
      </c>
      <c r="BN77" s="159">
        <v>0.82887147900285452</v>
      </c>
      <c r="BO77" s="159">
        <v>0.83540183610990049</v>
      </c>
      <c r="BP77" s="159">
        <v>0.84211393304862048</v>
      </c>
      <c r="BQ77" s="159">
        <v>0.84900524039689973</v>
      </c>
      <c r="BR77" s="159">
        <v>0.85607325172622784</v>
      </c>
      <c r="BS77" s="159">
        <v>0.86331487127174467</v>
      </c>
      <c r="BT77" s="159">
        <v>0.87072542132183772</v>
      </c>
      <c r="BU77" s="159">
        <v>0.87829817416321831</v>
      </c>
      <c r="BV77" s="159">
        <v>0.88602449198752886</v>
      </c>
      <c r="BW77" s="159">
        <v>0.89389511949172384</v>
      </c>
      <c r="BX77" s="159">
        <v>0.90190041389681996</v>
      </c>
      <c r="BY77" s="159">
        <v>0.9100293222480873</v>
      </c>
      <c r="BZ77" s="159">
        <v>0.91826877288045272</v>
      </c>
      <c r="CA77" s="159">
        <v>0.92660528275040588</v>
      </c>
      <c r="CB77" s="159">
        <v>0.93502535065498082</v>
      </c>
      <c r="CC77" s="159">
        <v>0.94351596368412871</v>
      </c>
      <c r="CD77" s="159">
        <v>0.95206464901605881</v>
      </c>
      <c r="CE77" s="159">
        <v>0.96065983941388589</v>
      </c>
      <c r="CF77" s="159">
        <v>0.96929244586912622</v>
      </c>
      <c r="CG77" s="159">
        <v>0.97795446810425046</v>
      </c>
      <c r="CH77" s="159">
        <v>0.9866345440775528</v>
      </c>
      <c r="CI77" s="159">
        <v>0.99531546730864295</v>
      </c>
      <c r="CJ77" s="159">
        <v>1.0039760230468755</v>
      </c>
      <c r="CK77" s="159">
        <v>1.0125942694343595</v>
      </c>
      <c r="CL77" s="159">
        <v>1.0211476162498201</v>
      </c>
      <c r="CM77" s="159">
        <v>1.0296147007081269</v>
      </c>
      <c r="CN77" s="49">
        <v>1.0379771850733515</v>
      </c>
      <c r="CO77" s="73"/>
      <c r="CP77" s="96"/>
      <c r="CQ77" s="96"/>
      <c r="CR77" s="96"/>
      <c r="CS77" s="96"/>
      <c r="CT77" s="96"/>
      <c r="CU77" s="96"/>
      <c r="CV77" s="96"/>
      <c r="CW77" s="96"/>
      <c r="CX77" s="96"/>
      <c r="CY77" s="96"/>
      <c r="CZ77" s="96"/>
      <c r="DA77" s="96"/>
      <c r="DC77" t="s">
        <v>200</v>
      </c>
      <c r="DD77" s="55">
        <v>0</v>
      </c>
    </row>
    <row r="78" spans="2:158" ht="15.75" x14ac:dyDescent="0.25">
      <c r="B78" s="73"/>
      <c r="C78" s="73"/>
      <c r="D78" s="215">
        <f t="shared" si="7"/>
        <v>73</v>
      </c>
      <c r="E78" s="216">
        <f>[1]!PBGCLRF(65+D78/12)</f>
        <v>1.9590000000000001</v>
      </c>
      <c r="F78" s="73"/>
      <c r="G78" s="73"/>
      <c r="H78" s="73"/>
      <c r="I78" s="73"/>
      <c r="J78" s="48">
        <v>74</v>
      </c>
      <c r="K78" s="49">
        <v>0.63</v>
      </c>
      <c r="L78" s="73"/>
      <c r="M78" s="155">
        <v>74</v>
      </c>
      <c r="N78" s="49">
        <v>2.1701999999999999</v>
      </c>
      <c r="O78" s="73"/>
      <c r="P78" s="73"/>
      <c r="Q78" s="73"/>
      <c r="R78" s="155">
        <v>0.68330506776392641</v>
      </c>
      <c r="S78" s="159">
        <v>0.68427896482541783</v>
      </c>
      <c r="T78" s="159">
        <v>0.68529454302957671</v>
      </c>
      <c r="U78" s="159">
        <v>0.68635213676191964</v>
      </c>
      <c r="V78" s="159">
        <v>0.68745189935152895</v>
      </c>
      <c r="W78" s="159">
        <v>0.6885937977122264</v>
      </c>
      <c r="X78" s="159">
        <v>0.68977760817975908</v>
      </c>
      <c r="Y78" s="159">
        <v>0.69100291321078688</v>
      </c>
      <c r="Z78" s="159">
        <v>0.69226910982888157</v>
      </c>
      <c r="AA78" s="159">
        <v>0.69357542234603331</v>
      </c>
      <c r="AB78" s="159">
        <v>0.6949209152780903</v>
      </c>
      <c r="AC78" s="159">
        <v>0.6963044931390735</v>
      </c>
      <c r="AD78" s="159">
        <v>0.69772489711567354</v>
      </c>
      <c r="AE78" s="159">
        <v>0.69918069743002498</v>
      </c>
      <c r="AF78" s="159">
        <v>0.70067031199075536</v>
      </c>
      <c r="AG78" s="159">
        <v>0.70219199141029343</v>
      </c>
      <c r="AH78" s="159">
        <v>0.70377160454308585</v>
      </c>
      <c r="AI78" s="159">
        <v>0.70544737334021779</v>
      </c>
      <c r="AJ78" s="159">
        <v>0.70722413084376878</v>
      </c>
      <c r="AK78" s="159">
        <v>0.70910653649585043</v>
      </c>
      <c r="AL78" s="159">
        <v>0.71109902077433773</v>
      </c>
      <c r="AM78" s="159">
        <v>0.71320573015991162</v>
      </c>
      <c r="AN78" s="159">
        <v>0.71543050668602937</v>
      </c>
      <c r="AO78" s="159">
        <v>0.71777681498344237</v>
      </c>
      <c r="AP78" s="159">
        <v>0.72024839092638249</v>
      </c>
      <c r="AQ78" s="159">
        <v>0.72284953103756644</v>
      </c>
      <c r="AR78" s="159">
        <v>0.72558419765243043</v>
      </c>
      <c r="AS78" s="159">
        <v>0.7284559361587617</v>
      </c>
      <c r="AT78" s="159">
        <v>0.73146780258175981</v>
      </c>
      <c r="AU78" s="159">
        <v>0.73462326333509564</v>
      </c>
      <c r="AV78" s="159">
        <v>0.73792662160966715</v>
      </c>
      <c r="AW78" s="159">
        <v>0.74138185501507614</v>
      </c>
      <c r="AX78" s="159">
        <v>0.74499249861027461</v>
      </c>
      <c r="AY78" s="159">
        <v>0.74876155773853315</v>
      </c>
      <c r="AZ78" s="159">
        <v>0.75269238344669387</v>
      </c>
      <c r="BA78" s="159">
        <v>0.75678917270895085</v>
      </c>
      <c r="BB78" s="159">
        <v>0.76105598488378634</v>
      </c>
      <c r="BC78" s="159">
        <v>0.76549672621489817</v>
      </c>
      <c r="BD78" s="159">
        <v>0.77011515956594068</v>
      </c>
      <c r="BE78" s="159">
        <v>0.77491468707597455</v>
      </c>
      <c r="BF78" s="159">
        <v>0.77989818327356986</v>
      </c>
      <c r="BG78" s="159">
        <v>0.78506827573849869</v>
      </c>
      <c r="BH78" s="159">
        <v>0.79042736761241617</v>
      </c>
      <c r="BI78" s="159">
        <v>0.79597768265193469</v>
      </c>
      <c r="BJ78" s="159">
        <v>0.80172096667353032</v>
      </c>
      <c r="BK78" s="159">
        <v>0.80765830259727844</v>
      </c>
      <c r="BL78" s="159">
        <v>0.81379061586988777</v>
      </c>
      <c r="BM78" s="159">
        <v>0.82011885107086036</v>
      </c>
      <c r="BN78" s="159">
        <v>0.82664392121945152</v>
      </c>
      <c r="BO78" s="159">
        <v>0.83336582094388545</v>
      </c>
      <c r="BP78" s="159">
        <v>0.84028319487905367</v>
      </c>
      <c r="BQ78" s="159">
        <v>0.84739423563203353</v>
      </c>
      <c r="BR78" s="159">
        <v>0.85469723176289336</v>
      </c>
      <c r="BS78" s="159">
        <v>0.86218990499008408</v>
      </c>
      <c r="BT78" s="159">
        <v>0.86986831922468155</v>
      </c>
      <c r="BU78" s="159">
        <v>0.877726356203411</v>
      </c>
      <c r="BV78" s="159">
        <v>0.88575584636911131</v>
      </c>
      <c r="BW78" s="159">
        <v>0.89394796715266034</v>
      </c>
      <c r="BX78" s="159">
        <v>0.90229348481531779</v>
      </c>
      <c r="BY78" s="159">
        <v>0.91078162764711768</v>
      </c>
      <c r="BZ78" s="159">
        <v>0.91939939497463019</v>
      </c>
      <c r="CA78" s="159">
        <v>0.92813330463109955</v>
      </c>
      <c r="CB78" s="159">
        <v>0.93696981450201977</v>
      </c>
      <c r="CC78" s="159">
        <v>0.94589586934840886</v>
      </c>
      <c r="CD78" s="159">
        <v>0.95489895541381742</v>
      </c>
      <c r="CE78" s="159">
        <v>0.96396749848120111</v>
      </c>
      <c r="CF78" s="159">
        <v>0.97309260176656232</v>
      </c>
      <c r="CG78" s="159">
        <v>0.98226652804005821</v>
      </c>
      <c r="CH78" s="159">
        <v>0.99147777224337352</v>
      </c>
      <c r="CI78" s="159">
        <v>1.0007082680557258</v>
      </c>
      <c r="CJ78" s="159">
        <v>1.0099353495731658</v>
      </c>
      <c r="CK78" s="159">
        <v>1.0191353522289066</v>
      </c>
      <c r="CL78" s="159">
        <v>1.0282836855894661</v>
      </c>
      <c r="CM78" s="159">
        <v>1.0373568982781449</v>
      </c>
      <c r="CN78" s="49">
        <v>1.0463346892417011</v>
      </c>
      <c r="CO78" s="73"/>
      <c r="CP78" s="96"/>
      <c r="CQ78" s="96"/>
      <c r="CR78" s="96"/>
      <c r="CS78" s="96"/>
      <c r="CT78" s="96"/>
      <c r="CU78" s="96"/>
      <c r="CV78" s="96"/>
      <c r="CW78" s="96"/>
      <c r="CX78" s="96"/>
      <c r="CY78" s="96"/>
      <c r="CZ78" s="96"/>
      <c r="DA78" s="96"/>
      <c r="DC78" t="s">
        <v>200</v>
      </c>
      <c r="DD78" s="55">
        <f>SUM(DD75:DD77)</f>
        <v>0</v>
      </c>
    </row>
    <row r="79" spans="2:158" ht="16.5" thickBot="1" x14ac:dyDescent="0.3">
      <c r="B79" s="73"/>
      <c r="C79" s="73"/>
      <c r="D79" s="215">
        <f t="shared" si="7"/>
        <v>74</v>
      </c>
      <c r="E79" s="216">
        <f>[1]!PBGCLRF(65+D79/12)</f>
        <v>1.982</v>
      </c>
      <c r="F79" s="73"/>
      <c r="G79" s="73"/>
      <c r="H79" s="73"/>
      <c r="I79" s="73"/>
      <c r="J79" s="48">
        <v>75</v>
      </c>
      <c r="K79" s="49">
        <v>0.625</v>
      </c>
      <c r="L79" s="73"/>
      <c r="M79" s="155">
        <v>75</v>
      </c>
      <c r="N79" s="49">
        <v>2.1945000000000001</v>
      </c>
      <c r="O79" s="73"/>
      <c r="P79" s="73"/>
      <c r="Q79" s="73"/>
      <c r="R79" s="156">
        <v>0.67927920272679809</v>
      </c>
      <c r="S79" s="160">
        <v>0.68026325855836423</v>
      </c>
      <c r="T79" s="160">
        <v>0.68129010669293677</v>
      </c>
      <c r="U79" s="160">
        <v>0.68236008345000643</v>
      </c>
      <c r="V79" s="160">
        <v>0.68347330892729175</v>
      </c>
      <c r="W79" s="160">
        <v>0.68462967813774689</v>
      </c>
      <c r="X79" s="160">
        <v>0.68582885354696166</v>
      </c>
      <c r="Y79" s="160">
        <v>0.68707025885072737</v>
      </c>
      <c r="Z79" s="160">
        <v>0.68835307358676634</v>
      </c>
      <c r="AA79" s="160">
        <v>0.68967624114798176</v>
      </c>
      <c r="AB79" s="160">
        <v>0.69103848154155167</v>
      </c>
      <c r="AC79" s="160">
        <v>0.69243830414948182</v>
      </c>
      <c r="AD79" s="160">
        <v>0.69387400505254748</v>
      </c>
      <c r="AE79" s="160">
        <v>0.69534366043838269</v>
      </c>
      <c r="AF79" s="160">
        <v>0.69684511466412724</v>
      </c>
      <c r="AG79" s="160">
        <v>0.69837599834522945</v>
      </c>
      <c r="AH79" s="160">
        <v>0.69996354159615048</v>
      </c>
      <c r="AI79" s="160">
        <v>0.70164857600654296</v>
      </c>
      <c r="AJ79" s="160">
        <v>0.70343613402496263</v>
      </c>
      <c r="AK79" s="160">
        <v>0.70533107360263425</v>
      </c>
      <c r="AL79" s="160">
        <v>0.70733801856477374</v>
      </c>
      <c r="AM79" s="160">
        <v>0.70946129832369942</v>
      </c>
      <c r="AN79" s="160">
        <v>0.71170492380749584</v>
      </c>
      <c r="AO79" s="160">
        <v>0.71407250742350226</v>
      </c>
      <c r="AP79" s="160">
        <v>0.71656795866049372</v>
      </c>
      <c r="AQ79" s="160">
        <v>0.71919580361778113</v>
      </c>
      <c r="AR79" s="160">
        <v>0.72196022294736117</v>
      </c>
      <c r="AS79" s="160">
        <v>0.72486496015071478</v>
      </c>
      <c r="AT79" s="160">
        <v>0.72791324136667623</v>
      </c>
      <c r="AU79" s="160">
        <v>0.7311087417072043</v>
      </c>
      <c r="AV79" s="160">
        <v>0.73445605581403983</v>
      </c>
      <c r="AW79" s="160">
        <v>0.73795944769742117</v>
      </c>
      <c r="AX79" s="160">
        <v>0.74162272298579524</v>
      </c>
      <c r="AY79" s="160">
        <v>0.74544913369558341</v>
      </c>
      <c r="AZ79" s="160">
        <v>0.74944232065974947</v>
      </c>
      <c r="BA79" s="160">
        <v>0.75360686558058276</v>
      </c>
      <c r="BB79" s="160">
        <v>0.75794723415171072</v>
      </c>
      <c r="BC79" s="160">
        <v>0.76246776292331209</v>
      </c>
      <c r="BD79" s="160">
        <v>0.76717267342730688</v>
      </c>
      <c r="BE79" s="160">
        <v>0.77206584125816691</v>
      </c>
      <c r="BF79" s="160">
        <v>0.77715061585919043</v>
      </c>
      <c r="BG79" s="160">
        <v>0.78243012688943925</v>
      </c>
      <c r="BH79" s="160">
        <v>0.78790731342399378</v>
      </c>
      <c r="BI79" s="160">
        <v>0.79358497675891138</v>
      </c>
      <c r="BJ79" s="160">
        <v>0.79946546086909265</v>
      </c>
      <c r="BK79" s="160">
        <v>0.80555044985913837</v>
      </c>
      <c r="BL79" s="160">
        <v>0.81184151879089428</v>
      </c>
      <c r="BM79" s="160">
        <v>0.81834033197923262</v>
      </c>
      <c r="BN79" s="160">
        <v>0.82504859533494868</v>
      </c>
      <c r="BO79" s="160">
        <v>0.83196709594396301</v>
      </c>
      <c r="BP79" s="160">
        <v>0.83909522418534777</v>
      </c>
      <c r="BQ79" s="160">
        <v>0.84643194942405109</v>
      </c>
      <c r="BR79" s="160">
        <v>0.8539764224879387</v>
      </c>
      <c r="BS79" s="160">
        <v>0.86172726211381401</v>
      </c>
      <c r="BT79" s="160">
        <v>0.86968135659228085</v>
      </c>
      <c r="BU79" s="160">
        <v>0.87783327807862765</v>
      </c>
      <c r="BV79" s="160">
        <v>0.88617540077383683</v>
      </c>
      <c r="BW79" s="160">
        <v>0.89469941934441799</v>
      </c>
      <c r="BX79" s="160">
        <v>0.90339660499372854</v>
      </c>
      <c r="BY79" s="160">
        <v>0.9122565630717423</v>
      </c>
      <c r="BZ79" s="160">
        <v>0.92126644552688608</v>
      </c>
      <c r="CA79" s="160">
        <v>0.93041285361257553</v>
      </c>
      <c r="CB79" s="160">
        <v>0.93968229455937458</v>
      </c>
      <c r="CC79" s="160">
        <v>0.94906177648065415</v>
      </c>
      <c r="CD79" s="160">
        <v>0.95853886416687561</v>
      </c>
      <c r="CE79" s="160">
        <v>0.96810211129828416</v>
      </c>
      <c r="CF79" s="160">
        <v>0.97774298521481573</v>
      </c>
      <c r="CG79" s="160">
        <v>0.98745421493512164</v>
      </c>
      <c r="CH79" s="160">
        <v>0.99722433007216349</v>
      </c>
      <c r="CI79" s="160">
        <v>1.0070345075590539</v>
      </c>
      <c r="CJ79" s="160">
        <v>1.0168606630293924</v>
      </c>
      <c r="CK79" s="160">
        <v>1.0266773999553667</v>
      </c>
      <c r="CL79" s="160">
        <v>1.0364580754691997</v>
      </c>
      <c r="CM79" s="160">
        <v>1.0461770713552951</v>
      </c>
      <c r="CN79" s="131">
        <v>1.0558120443280627</v>
      </c>
      <c r="CO79" s="73"/>
      <c r="CP79" s="96"/>
      <c r="CQ79" s="96"/>
      <c r="CR79" s="96"/>
      <c r="CS79" s="96"/>
      <c r="CT79" s="96"/>
      <c r="CU79" s="96"/>
      <c r="CV79" s="96"/>
      <c r="CW79" s="96"/>
      <c r="CX79" s="96"/>
      <c r="CY79" s="96"/>
      <c r="CZ79" s="96"/>
      <c r="DA79" s="96"/>
    </row>
    <row r="80" spans="2:158" ht="15.75" x14ac:dyDescent="0.25">
      <c r="B80" s="73"/>
      <c r="C80" s="73"/>
      <c r="D80" s="215">
        <f t="shared" si="7"/>
        <v>75</v>
      </c>
      <c r="E80" s="216">
        <f>[1]!PBGCLRF(65+D80/12)</f>
        <v>2.0049999999999999</v>
      </c>
      <c r="F80" s="73"/>
      <c r="G80" s="73"/>
      <c r="H80" s="73"/>
      <c r="I80" s="73"/>
      <c r="J80" s="48">
        <v>76</v>
      </c>
      <c r="K80" s="49">
        <v>0.62</v>
      </c>
      <c r="L80" s="73"/>
      <c r="M80" s="155">
        <v>76</v>
      </c>
      <c r="N80" s="49">
        <v>2.2191000000000001</v>
      </c>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c r="BL80" s="73"/>
      <c r="BM80" s="73"/>
      <c r="BN80" s="73"/>
      <c r="BO80" s="73"/>
      <c r="BP80" s="73"/>
      <c r="BQ80" s="73"/>
      <c r="BR80" s="73"/>
      <c r="BS80" s="73"/>
      <c r="BT80" s="73"/>
      <c r="BU80" s="73"/>
      <c r="BV80" s="73"/>
      <c r="BW80" s="73"/>
      <c r="BX80" s="73"/>
      <c r="BY80" s="73"/>
      <c r="BZ80" s="73"/>
      <c r="CA80" s="73"/>
      <c r="CB80" s="73"/>
      <c r="CC80" s="73"/>
      <c r="CD80" s="73"/>
      <c r="CE80" s="73"/>
      <c r="CF80" s="73"/>
      <c r="CG80" s="73"/>
      <c r="CH80" s="73"/>
      <c r="CI80" s="73"/>
      <c r="CJ80" s="73"/>
      <c r="CK80" s="73"/>
      <c r="CL80" s="73"/>
      <c r="CM80" s="73"/>
      <c r="CN80" s="73"/>
      <c r="CO80" s="73"/>
      <c r="CP80" s="96"/>
      <c r="CQ80" s="96"/>
      <c r="CR80" s="96"/>
      <c r="CS80" s="96"/>
      <c r="CT80" s="96"/>
      <c r="CU80" s="96"/>
      <c r="CV80" s="96"/>
      <c r="CW80" s="96"/>
      <c r="CX80" s="96"/>
      <c r="CY80" s="96"/>
      <c r="CZ80" s="96"/>
      <c r="DA80" s="96"/>
    </row>
    <row r="81" spans="2:105" ht="15.75" x14ac:dyDescent="0.25">
      <c r="B81" s="73"/>
      <c r="C81" s="73"/>
      <c r="D81" s="215">
        <f t="shared" si="7"/>
        <v>76</v>
      </c>
      <c r="E81" s="216">
        <f>[1]!PBGCLRF(65+D81/12)</f>
        <v>2.028</v>
      </c>
      <c r="F81" s="73"/>
      <c r="G81" s="73"/>
      <c r="H81" s="73"/>
      <c r="I81" s="73"/>
      <c r="J81" s="48">
        <v>77</v>
      </c>
      <c r="K81" s="49">
        <v>0.61499999999999999</v>
      </c>
      <c r="L81" s="73"/>
      <c r="M81" s="155">
        <v>77</v>
      </c>
      <c r="N81" s="49">
        <v>2.2440000000000002</v>
      </c>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c r="BL81" s="73"/>
      <c r="BM81" s="73"/>
      <c r="BN81" s="73"/>
      <c r="BO81" s="73"/>
      <c r="BP81" s="73"/>
      <c r="BQ81" s="73"/>
      <c r="BR81" s="73"/>
      <c r="BS81" s="73"/>
      <c r="BT81" s="73"/>
      <c r="BU81" s="73"/>
      <c r="BV81" s="73"/>
      <c r="BW81" s="73"/>
      <c r="BX81" s="73"/>
      <c r="BY81" s="73"/>
      <c r="BZ81" s="73"/>
      <c r="CA81" s="73"/>
      <c r="CB81" s="73"/>
      <c r="CC81" s="73"/>
      <c r="CD81" s="73"/>
      <c r="CE81" s="73"/>
      <c r="CF81" s="73"/>
      <c r="CG81" s="73"/>
      <c r="CH81" s="73"/>
      <c r="CI81" s="73"/>
      <c r="CJ81" s="73"/>
      <c r="CK81" s="73"/>
      <c r="CL81" s="73"/>
      <c r="CM81" s="73"/>
      <c r="CN81" s="73"/>
      <c r="CO81" s="73"/>
      <c r="CP81" s="96"/>
      <c r="CQ81" s="96"/>
      <c r="CR81" s="96"/>
      <c r="CS81" s="96"/>
      <c r="CT81" s="96"/>
      <c r="CU81" s="96"/>
      <c r="CV81" s="96"/>
      <c r="CW81" s="96"/>
      <c r="CX81" s="96"/>
      <c r="CY81" s="96"/>
      <c r="CZ81" s="96"/>
      <c r="DA81" s="96"/>
    </row>
    <row r="82" spans="2:105" ht="15.75" x14ac:dyDescent="0.25">
      <c r="B82" s="73"/>
      <c r="C82" s="73"/>
      <c r="D82" s="215">
        <f t="shared" si="7"/>
        <v>77</v>
      </c>
      <c r="E82" s="216">
        <f>[1]!PBGCLRF(65+D82/12)</f>
        <v>2.0510000000000002</v>
      </c>
      <c r="F82" s="73"/>
      <c r="G82" s="73"/>
      <c r="H82" s="73"/>
      <c r="I82" s="73"/>
      <c r="J82" s="48">
        <v>78</v>
      </c>
      <c r="K82" s="49">
        <v>0.61</v>
      </c>
      <c r="L82" s="73"/>
      <c r="M82" s="155">
        <v>78</v>
      </c>
      <c r="N82" s="49">
        <v>2.2692000000000001</v>
      </c>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c r="BL82" s="73"/>
      <c r="BM82" s="73"/>
      <c r="BN82" s="73"/>
      <c r="BO82" s="73"/>
      <c r="BP82" s="73"/>
      <c r="BQ82" s="73"/>
      <c r="BR82" s="73"/>
      <c r="BS82" s="73"/>
      <c r="BT82" s="73"/>
      <c r="BU82" s="73"/>
      <c r="BV82" s="73"/>
      <c r="BW82" s="73"/>
      <c r="BX82" s="73"/>
      <c r="BY82" s="73"/>
      <c r="BZ82" s="73"/>
      <c r="CA82" s="73"/>
      <c r="CB82" s="73"/>
      <c r="CC82" s="73"/>
      <c r="CD82" s="73"/>
      <c r="CE82" s="73"/>
      <c r="CF82" s="73"/>
      <c r="CG82" s="73"/>
      <c r="CH82" s="73"/>
      <c r="CI82" s="73"/>
      <c r="CJ82" s="73"/>
      <c r="CK82" s="73"/>
      <c r="CL82" s="73"/>
      <c r="CM82" s="73"/>
      <c r="CN82" s="73"/>
      <c r="CO82" s="73"/>
      <c r="CP82" s="96"/>
      <c r="CQ82" s="96"/>
      <c r="CR82" s="96"/>
      <c r="CS82" s="96"/>
      <c r="CT82" s="96"/>
      <c r="CU82" s="96"/>
      <c r="CV82" s="96"/>
      <c r="CW82" s="96"/>
      <c r="CX82" s="96"/>
      <c r="CY82" s="96"/>
      <c r="CZ82" s="96"/>
      <c r="DA82" s="96"/>
    </row>
    <row r="83" spans="2:105" ht="15.75" x14ac:dyDescent="0.25">
      <c r="B83" s="73"/>
      <c r="C83" s="73"/>
      <c r="D83" s="215">
        <f t="shared" si="7"/>
        <v>78</v>
      </c>
      <c r="E83" s="216">
        <f>[1]!PBGCLRF(65+D83/12)</f>
        <v>2.0739999999999998</v>
      </c>
      <c r="F83" s="73"/>
      <c r="G83" s="73"/>
      <c r="H83" s="73"/>
      <c r="I83" s="73"/>
      <c r="J83" s="48">
        <v>79</v>
      </c>
      <c r="K83" s="49">
        <v>0.60499999999999998</v>
      </c>
      <c r="L83" s="73"/>
      <c r="M83" s="155">
        <v>79</v>
      </c>
      <c r="N83" s="49">
        <v>2.2947000000000002</v>
      </c>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c r="BL83" s="73"/>
      <c r="BM83" s="73"/>
      <c r="BN83" s="73"/>
      <c r="BO83" s="73"/>
      <c r="BP83" s="73"/>
      <c r="BQ83" s="73"/>
      <c r="BR83" s="73"/>
      <c r="BS83" s="73"/>
      <c r="BT83" s="73"/>
      <c r="BU83" s="73"/>
      <c r="BV83" s="73"/>
      <c r="BW83" s="73"/>
      <c r="BX83" s="73"/>
      <c r="BY83" s="73"/>
      <c r="BZ83" s="73"/>
      <c r="CA83" s="73"/>
      <c r="CB83" s="73"/>
      <c r="CC83" s="73"/>
      <c r="CD83" s="73"/>
      <c r="CE83" s="73"/>
      <c r="CF83" s="73"/>
      <c r="CG83" s="73"/>
      <c r="CH83" s="73"/>
      <c r="CI83" s="73"/>
      <c r="CJ83" s="73"/>
      <c r="CK83" s="73"/>
      <c r="CL83" s="73"/>
      <c r="CM83" s="73"/>
      <c r="CN83" s="73"/>
      <c r="CO83" s="73"/>
      <c r="CP83" s="96"/>
      <c r="CQ83" s="96"/>
      <c r="CR83" s="96"/>
      <c r="CS83" s="96"/>
      <c r="CT83" s="96"/>
      <c r="CU83" s="96"/>
      <c r="CV83" s="96"/>
      <c r="CW83" s="96"/>
      <c r="CX83" s="96"/>
      <c r="CY83" s="96"/>
      <c r="CZ83" s="96"/>
      <c r="DA83" s="96"/>
    </row>
    <row r="84" spans="2:105" ht="15.75" x14ac:dyDescent="0.25">
      <c r="B84" s="73"/>
      <c r="C84" s="73"/>
      <c r="D84" s="215">
        <f t="shared" si="7"/>
        <v>79</v>
      </c>
      <c r="E84" s="216">
        <f>[1]!PBGCLRF(65+D84/12)</f>
        <v>2.097</v>
      </c>
      <c r="F84" s="73"/>
      <c r="G84" s="73"/>
      <c r="H84" s="73"/>
      <c r="I84" s="73"/>
      <c r="J84" s="48">
        <v>80</v>
      </c>
      <c r="K84" s="49">
        <v>0.6</v>
      </c>
      <c r="L84" s="73"/>
      <c r="M84" s="155">
        <v>80</v>
      </c>
      <c r="N84" s="49">
        <v>2.3205</v>
      </c>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c r="BL84" s="73"/>
      <c r="BM84" s="73"/>
      <c r="BN84" s="73"/>
      <c r="BO84" s="73"/>
      <c r="BP84" s="73"/>
      <c r="BQ84" s="73"/>
      <c r="BR84" s="73"/>
      <c r="BS84" s="73"/>
      <c r="BT84" s="73"/>
      <c r="BU84" s="73"/>
      <c r="BV84" s="73"/>
      <c r="BW84" s="73"/>
      <c r="BX84" s="73"/>
      <c r="BY84" s="73"/>
      <c r="BZ84" s="73"/>
      <c r="CA84" s="73"/>
      <c r="CB84" s="73"/>
      <c r="CC84" s="73"/>
      <c r="CD84" s="73"/>
      <c r="CE84" s="73"/>
      <c r="CF84" s="73"/>
      <c r="CG84" s="73"/>
      <c r="CH84" s="73"/>
      <c r="CI84" s="73"/>
      <c r="CJ84" s="73"/>
      <c r="CK84" s="73"/>
      <c r="CL84" s="73"/>
      <c r="CM84" s="73"/>
      <c r="CN84" s="73"/>
      <c r="CO84" s="73"/>
      <c r="CP84" s="96"/>
      <c r="CQ84" s="96"/>
      <c r="CR84" s="96"/>
      <c r="CS84" s="96"/>
      <c r="CT84" s="96"/>
      <c r="CU84" s="96"/>
      <c r="CV84" s="96"/>
      <c r="CW84" s="96"/>
      <c r="CX84" s="96"/>
      <c r="CY84" s="96"/>
      <c r="CZ84" s="96"/>
      <c r="DA84" s="96"/>
    </row>
    <row r="85" spans="2:105" ht="15.75" x14ac:dyDescent="0.25">
      <c r="B85" s="73"/>
      <c r="C85" s="73"/>
      <c r="D85" s="215">
        <f t="shared" si="7"/>
        <v>80</v>
      </c>
      <c r="E85" s="216">
        <f>[1]!PBGCLRF(65+D85/12)</f>
        <v>2.12</v>
      </c>
      <c r="F85" s="73"/>
      <c r="G85" s="73"/>
      <c r="H85" s="73"/>
      <c r="I85" s="73"/>
      <c r="J85" s="48">
        <v>81</v>
      </c>
      <c r="K85" s="49">
        <v>0.59499999999999997</v>
      </c>
      <c r="L85" s="73"/>
      <c r="M85" s="155">
        <v>81</v>
      </c>
      <c r="N85" s="49">
        <v>2.3466</v>
      </c>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c r="BL85" s="73"/>
      <c r="BM85" s="73"/>
      <c r="BN85" s="73"/>
      <c r="BO85" s="73"/>
      <c r="BP85" s="73"/>
      <c r="BQ85" s="73"/>
      <c r="BR85" s="73"/>
      <c r="BS85" s="73"/>
      <c r="BT85" s="73"/>
      <c r="BU85" s="73"/>
      <c r="BV85" s="73"/>
      <c r="BW85" s="73"/>
      <c r="BX85" s="73"/>
      <c r="BY85" s="73"/>
      <c r="BZ85" s="73"/>
      <c r="CA85" s="73"/>
      <c r="CB85" s="73"/>
      <c r="CC85" s="73"/>
      <c r="CD85" s="73"/>
      <c r="CE85" s="73"/>
      <c r="CF85" s="73"/>
      <c r="CG85" s="73"/>
      <c r="CH85" s="73"/>
      <c r="CI85" s="73"/>
      <c r="CJ85" s="73"/>
      <c r="CK85" s="73"/>
      <c r="CL85" s="73"/>
      <c r="CM85" s="73"/>
      <c r="CN85" s="73"/>
      <c r="CO85" s="73"/>
      <c r="CP85" s="96"/>
      <c r="CQ85" s="96"/>
      <c r="CR85" s="96"/>
      <c r="CS85" s="96"/>
      <c r="CT85" s="96"/>
      <c r="CU85" s="96"/>
      <c r="CV85" s="96"/>
      <c r="CW85" s="96"/>
      <c r="CX85" s="96"/>
      <c r="CY85" s="96"/>
      <c r="CZ85" s="96"/>
      <c r="DA85" s="96"/>
    </row>
    <row r="86" spans="2:105" ht="15.75" x14ac:dyDescent="0.25">
      <c r="B86" s="73"/>
      <c r="C86" s="73"/>
      <c r="D86" s="215">
        <f t="shared" si="7"/>
        <v>81</v>
      </c>
      <c r="E86" s="216">
        <f>[1]!PBGCLRF(65+D86/12)</f>
        <v>2.1429999999999998</v>
      </c>
      <c r="F86" s="73"/>
      <c r="G86" s="73"/>
      <c r="H86" s="73"/>
      <c r="I86" s="73"/>
      <c r="J86" s="48">
        <v>82</v>
      </c>
      <c r="K86" s="49">
        <v>0.59</v>
      </c>
      <c r="L86" s="73"/>
      <c r="M86" s="155">
        <v>82</v>
      </c>
      <c r="N86" s="49">
        <v>2.3730000000000002</v>
      </c>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c r="BL86" s="73"/>
      <c r="BM86" s="73"/>
      <c r="BN86" s="73"/>
      <c r="BO86" s="73"/>
      <c r="BP86" s="73"/>
      <c r="BQ86" s="73"/>
      <c r="BR86" s="73"/>
      <c r="BS86" s="73"/>
      <c r="BT86" s="73"/>
      <c r="BU86" s="73"/>
      <c r="BV86" s="73"/>
      <c r="BW86" s="73"/>
      <c r="BX86" s="73"/>
      <c r="BY86" s="73"/>
      <c r="BZ86" s="73"/>
      <c r="CA86" s="73"/>
      <c r="CB86" s="73"/>
      <c r="CC86" s="73"/>
      <c r="CD86" s="73"/>
      <c r="CE86" s="73"/>
      <c r="CF86" s="73"/>
      <c r="CG86" s="73"/>
      <c r="CH86" s="73"/>
      <c r="CI86" s="73"/>
      <c r="CJ86" s="73"/>
      <c r="CK86" s="73"/>
      <c r="CL86" s="73"/>
      <c r="CM86" s="73"/>
      <c r="CN86" s="73"/>
      <c r="CO86" s="73"/>
      <c r="CP86" s="96"/>
      <c r="CQ86" s="96"/>
      <c r="CR86" s="96"/>
      <c r="CS86" s="96"/>
      <c r="CT86" s="96"/>
      <c r="CU86" s="96"/>
      <c r="CV86" s="96"/>
      <c r="CW86" s="96"/>
      <c r="CX86" s="96"/>
      <c r="CY86" s="96"/>
      <c r="CZ86" s="96"/>
      <c r="DA86" s="96"/>
    </row>
    <row r="87" spans="2:105" ht="15.75" x14ac:dyDescent="0.25">
      <c r="B87" s="73"/>
      <c r="C87" s="73"/>
      <c r="D87" s="215">
        <f t="shared" si="7"/>
        <v>82</v>
      </c>
      <c r="E87" s="216">
        <f>[1]!PBGCLRF(65+D87/12)</f>
        <v>2.1659999999999999</v>
      </c>
      <c r="F87" s="73"/>
      <c r="G87" s="73"/>
      <c r="H87" s="73"/>
      <c r="I87" s="73"/>
      <c r="J87" s="48">
        <v>83</v>
      </c>
      <c r="K87" s="49">
        <v>0.58499999999999996</v>
      </c>
      <c r="L87" s="73"/>
      <c r="M87" s="155">
        <v>83</v>
      </c>
      <c r="N87" s="49">
        <v>2.3997000000000002</v>
      </c>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c r="BL87" s="73"/>
      <c r="BM87" s="73"/>
      <c r="BN87" s="73"/>
      <c r="BO87" s="73"/>
      <c r="BP87" s="73"/>
      <c r="BQ87" s="73"/>
      <c r="BR87" s="73"/>
      <c r="BS87" s="73"/>
      <c r="BT87" s="73"/>
      <c r="BU87" s="73"/>
      <c r="BV87" s="73"/>
      <c r="BW87" s="73"/>
      <c r="BX87" s="73"/>
      <c r="BY87" s="73"/>
      <c r="BZ87" s="73"/>
      <c r="CA87" s="73"/>
      <c r="CB87" s="73"/>
      <c r="CC87" s="73"/>
      <c r="CD87" s="73"/>
      <c r="CE87" s="73"/>
      <c r="CF87" s="73"/>
      <c r="CG87" s="73"/>
      <c r="CH87" s="73"/>
      <c r="CI87" s="73"/>
      <c r="CJ87" s="73"/>
      <c r="CK87" s="73"/>
      <c r="CL87" s="73"/>
      <c r="CM87" s="73"/>
      <c r="CN87" s="73"/>
      <c r="CO87" s="73"/>
      <c r="CP87" s="96"/>
      <c r="CQ87" s="96"/>
      <c r="CR87" s="96"/>
      <c r="CS87" s="96"/>
      <c r="CT87" s="96"/>
      <c r="CU87" s="96"/>
      <c r="CV87" s="96"/>
      <c r="CW87" s="96"/>
      <c r="CX87" s="96"/>
      <c r="CY87" s="96"/>
      <c r="CZ87" s="96"/>
      <c r="DA87" s="96"/>
    </row>
    <row r="88" spans="2:105" ht="15.75" x14ac:dyDescent="0.25">
      <c r="B88" s="73"/>
      <c r="C88" s="73"/>
      <c r="D88" s="215">
        <f t="shared" si="7"/>
        <v>83</v>
      </c>
      <c r="E88" s="216">
        <f>[1]!PBGCLRF(65+D88/12)</f>
        <v>2.1890000000000001</v>
      </c>
      <c r="F88" s="73"/>
      <c r="G88" s="73"/>
      <c r="H88" s="73"/>
      <c r="I88" s="73"/>
      <c r="J88" s="48">
        <v>84</v>
      </c>
      <c r="K88" s="49">
        <v>0.57999999999999996</v>
      </c>
      <c r="L88" s="73"/>
      <c r="M88" s="155">
        <v>84</v>
      </c>
      <c r="N88" s="49">
        <v>2.4268000000000001</v>
      </c>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c r="BL88" s="73"/>
      <c r="BM88" s="73"/>
      <c r="BN88" s="73"/>
      <c r="BO88" s="73"/>
      <c r="BP88" s="73"/>
      <c r="BQ88" s="73"/>
      <c r="BR88" s="73"/>
      <c r="BS88" s="73"/>
      <c r="BT88" s="73"/>
      <c r="BU88" s="73"/>
      <c r="BV88" s="73"/>
      <c r="BW88" s="73"/>
      <c r="BX88" s="73"/>
      <c r="BY88" s="73"/>
      <c r="BZ88" s="73"/>
      <c r="CA88" s="73"/>
      <c r="CB88" s="73"/>
      <c r="CC88" s="73"/>
      <c r="CD88" s="73"/>
      <c r="CE88" s="73"/>
      <c r="CF88" s="73"/>
      <c r="CG88" s="73"/>
      <c r="CH88" s="73"/>
      <c r="CI88" s="73"/>
      <c r="CJ88" s="73"/>
      <c r="CK88" s="73"/>
      <c r="CL88" s="73"/>
      <c r="CM88" s="73"/>
      <c r="CN88" s="73"/>
      <c r="CO88" s="73"/>
      <c r="CP88" s="96"/>
      <c r="CQ88" s="96"/>
      <c r="CR88" s="96"/>
      <c r="CS88" s="96"/>
      <c r="CT88" s="96"/>
      <c r="CU88" s="96"/>
      <c r="CV88" s="96"/>
      <c r="CW88" s="96"/>
      <c r="CX88" s="96"/>
      <c r="CY88" s="96"/>
      <c r="CZ88" s="96"/>
      <c r="DA88" s="96"/>
    </row>
    <row r="89" spans="2:105" ht="15.75" x14ac:dyDescent="0.25">
      <c r="B89" s="73"/>
      <c r="C89" s="73"/>
      <c r="D89" s="215">
        <f t="shared" si="7"/>
        <v>84</v>
      </c>
      <c r="E89" s="216">
        <f>[1]!PBGCLRF(65+D89/12)</f>
        <v>2.2120000000000002</v>
      </c>
      <c r="F89" s="73"/>
      <c r="G89" s="73"/>
      <c r="H89" s="73"/>
      <c r="I89" s="73"/>
      <c r="J89" s="48">
        <v>85</v>
      </c>
      <c r="K89" s="49">
        <v>0.57499999999999996</v>
      </c>
      <c r="L89" s="73"/>
      <c r="M89" s="155">
        <v>85</v>
      </c>
      <c r="N89" s="49">
        <v>2.4544999999999999</v>
      </c>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c r="BL89" s="73"/>
      <c r="BM89" s="73"/>
      <c r="BN89" s="73"/>
      <c r="BO89" s="73"/>
      <c r="BP89" s="73"/>
      <c r="BQ89" s="73"/>
      <c r="BR89" s="73"/>
      <c r="BS89" s="73"/>
      <c r="BT89" s="73"/>
      <c r="BU89" s="73"/>
      <c r="BV89" s="73"/>
      <c r="BW89" s="73"/>
      <c r="BX89" s="73"/>
      <c r="BY89" s="73"/>
      <c r="BZ89" s="73"/>
      <c r="CA89" s="73"/>
      <c r="CB89" s="73"/>
      <c r="CC89" s="73"/>
      <c r="CD89" s="73"/>
      <c r="CE89" s="73"/>
      <c r="CF89" s="73"/>
      <c r="CG89" s="73"/>
      <c r="CH89" s="73"/>
      <c r="CI89" s="73"/>
      <c r="CJ89" s="73"/>
      <c r="CK89" s="73"/>
      <c r="CL89" s="73"/>
      <c r="CM89" s="73"/>
      <c r="CN89" s="73"/>
      <c r="CO89" s="73"/>
      <c r="CP89" s="96"/>
      <c r="CQ89" s="96"/>
      <c r="CR89" s="96"/>
      <c r="CS89" s="96"/>
      <c r="CT89" s="96"/>
      <c r="CU89" s="96"/>
      <c r="CV89" s="96"/>
      <c r="CW89" s="96"/>
      <c r="CX89" s="96"/>
      <c r="CY89" s="96"/>
      <c r="CZ89" s="96"/>
      <c r="DA89" s="96"/>
    </row>
    <row r="90" spans="2:105" ht="15.75" x14ac:dyDescent="0.25">
      <c r="B90" s="73"/>
      <c r="C90" s="73"/>
      <c r="D90" s="215">
        <f t="shared" si="7"/>
        <v>85</v>
      </c>
      <c r="E90" s="216">
        <f>[1]!PBGCLRF(65+D90/12)</f>
        <v>2.2349999999999999</v>
      </c>
      <c r="F90" s="73"/>
      <c r="G90" s="73"/>
      <c r="H90" s="73"/>
      <c r="I90" s="73"/>
      <c r="J90" s="48">
        <v>86</v>
      </c>
      <c r="K90" s="49">
        <v>0.56999999999999995</v>
      </c>
      <c r="L90" s="73"/>
      <c r="M90" s="155">
        <v>86</v>
      </c>
      <c r="N90" s="49">
        <v>2.4824999999999999</v>
      </c>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c r="BL90" s="73"/>
      <c r="BM90" s="73"/>
      <c r="BN90" s="73"/>
      <c r="BO90" s="73"/>
      <c r="BP90" s="73"/>
      <c r="BQ90" s="73"/>
      <c r="BR90" s="73"/>
      <c r="BS90" s="73"/>
      <c r="BT90" s="73"/>
      <c r="BU90" s="73"/>
      <c r="BV90" s="73"/>
      <c r="BW90" s="73"/>
      <c r="BX90" s="73"/>
      <c r="BY90" s="73"/>
      <c r="BZ90" s="73"/>
      <c r="CA90" s="73"/>
      <c r="CB90" s="73"/>
      <c r="CC90" s="73"/>
      <c r="CD90" s="73"/>
      <c r="CE90" s="73"/>
      <c r="CF90" s="73"/>
      <c r="CG90" s="73"/>
      <c r="CH90" s="73"/>
      <c r="CI90" s="73"/>
      <c r="CJ90" s="73"/>
      <c r="CK90" s="73"/>
      <c r="CL90" s="73"/>
      <c r="CM90" s="73"/>
      <c r="CN90" s="73"/>
      <c r="CO90" s="73"/>
      <c r="CP90" s="96"/>
      <c r="CQ90" s="96"/>
      <c r="CR90" s="96"/>
      <c r="CS90" s="96"/>
      <c r="CT90" s="96"/>
      <c r="CU90" s="96"/>
      <c r="CV90" s="96"/>
      <c r="CW90" s="96"/>
      <c r="CX90" s="96"/>
      <c r="CY90" s="96"/>
      <c r="CZ90" s="96"/>
      <c r="DA90" s="96"/>
    </row>
    <row r="91" spans="2:105" ht="15.75" x14ac:dyDescent="0.25">
      <c r="B91" s="73"/>
      <c r="C91" s="73"/>
      <c r="D91" s="215">
        <f t="shared" si="7"/>
        <v>86</v>
      </c>
      <c r="E91" s="216">
        <f>[1]!PBGCLRF(65+D91/12)</f>
        <v>2.258</v>
      </c>
      <c r="F91" s="73"/>
      <c r="G91" s="73"/>
      <c r="H91" s="73"/>
      <c r="I91" s="73"/>
      <c r="J91" s="48">
        <v>87</v>
      </c>
      <c r="K91" s="49">
        <v>0.56499999999999995</v>
      </c>
      <c r="L91" s="73"/>
      <c r="M91" s="155">
        <v>87</v>
      </c>
      <c r="N91" s="49">
        <v>2.5108999999999999</v>
      </c>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c r="BL91" s="73"/>
      <c r="BM91" s="73"/>
      <c r="BN91" s="73"/>
      <c r="BO91" s="73"/>
      <c r="BP91" s="73"/>
      <c r="BQ91" s="73"/>
      <c r="BR91" s="73"/>
      <c r="BS91" s="73"/>
      <c r="BT91" s="73"/>
      <c r="BU91" s="73"/>
      <c r="BV91" s="73"/>
      <c r="BW91" s="73"/>
      <c r="BX91" s="73"/>
      <c r="BY91" s="73"/>
      <c r="BZ91" s="73"/>
      <c r="CA91" s="73"/>
      <c r="CB91" s="73"/>
      <c r="CC91" s="73"/>
      <c r="CD91" s="73"/>
      <c r="CE91" s="73"/>
      <c r="CF91" s="73"/>
      <c r="CG91" s="73"/>
      <c r="CH91" s="73"/>
      <c r="CI91" s="73"/>
      <c r="CJ91" s="73"/>
      <c r="CK91" s="73"/>
      <c r="CL91" s="73"/>
      <c r="CM91" s="73"/>
      <c r="CN91" s="73"/>
      <c r="CO91" s="73"/>
      <c r="CP91" s="96"/>
      <c r="CQ91" s="96"/>
      <c r="CR91" s="96"/>
      <c r="CS91" s="96"/>
      <c r="CT91" s="96"/>
      <c r="CU91" s="96"/>
      <c r="CV91" s="96"/>
      <c r="CW91" s="96"/>
      <c r="CX91" s="96"/>
      <c r="CY91" s="96"/>
      <c r="CZ91" s="96"/>
      <c r="DA91" s="96"/>
    </row>
    <row r="92" spans="2:105" ht="15.75" x14ac:dyDescent="0.25">
      <c r="B92" s="73"/>
      <c r="C92" s="73"/>
      <c r="D92" s="215">
        <f t="shared" si="7"/>
        <v>87</v>
      </c>
      <c r="E92" s="216">
        <f>[1]!PBGCLRF(65+D92/12)</f>
        <v>2.2810000000000001</v>
      </c>
      <c r="F92" s="73"/>
      <c r="G92" s="73"/>
      <c r="H92" s="73"/>
      <c r="I92" s="73"/>
      <c r="J92" s="48">
        <v>88</v>
      </c>
      <c r="K92" s="49">
        <v>0.56000000000000005</v>
      </c>
      <c r="L92" s="73"/>
      <c r="M92" s="155">
        <v>88</v>
      </c>
      <c r="N92" s="49">
        <v>2.5396000000000001</v>
      </c>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c r="BL92" s="73"/>
      <c r="BM92" s="73"/>
      <c r="BN92" s="73"/>
      <c r="BO92" s="73"/>
      <c r="BP92" s="73"/>
      <c r="BQ92" s="73"/>
      <c r="BR92" s="73"/>
      <c r="BS92" s="73"/>
      <c r="BT92" s="73"/>
      <c r="BU92" s="73"/>
      <c r="BV92" s="73"/>
      <c r="BW92" s="73"/>
      <c r="BX92" s="73"/>
      <c r="BY92" s="73"/>
      <c r="BZ92" s="73"/>
      <c r="CA92" s="73"/>
      <c r="CB92" s="73"/>
      <c r="CC92" s="73"/>
      <c r="CD92" s="73"/>
      <c r="CE92" s="73"/>
      <c r="CF92" s="73"/>
      <c r="CG92" s="73"/>
      <c r="CH92" s="73"/>
      <c r="CI92" s="73"/>
      <c r="CJ92" s="73"/>
      <c r="CK92" s="73"/>
      <c r="CL92" s="73"/>
      <c r="CM92" s="73"/>
      <c r="CN92" s="73"/>
      <c r="CO92" s="73"/>
      <c r="CP92" s="96"/>
      <c r="CQ92" s="96"/>
      <c r="CR92" s="96"/>
      <c r="CS92" s="96"/>
      <c r="CT92" s="96"/>
      <c r="CU92" s="96"/>
      <c r="CV92" s="96"/>
      <c r="CW92" s="96"/>
      <c r="CX92" s="96"/>
      <c r="CY92" s="96"/>
      <c r="CZ92" s="96"/>
      <c r="DA92" s="96"/>
    </row>
    <row r="93" spans="2:105" ht="15.75" x14ac:dyDescent="0.25">
      <c r="B93" s="73"/>
      <c r="C93" s="73"/>
      <c r="D93" s="215">
        <f t="shared" si="7"/>
        <v>88</v>
      </c>
      <c r="E93" s="216">
        <f>[1]!PBGCLRF(65+D93/12)</f>
        <v>2.3039999999999998</v>
      </c>
      <c r="F93" s="73"/>
      <c r="G93" s="73"/>
      <c r="H93" s="73"/>
      <c r="I93" s="73"/>
      <c r="J93" s="48">
        <v>89</v>
      </c>
      <c r="K93" s="49">
        <v>0.55500000000000005</v>
      </c>
      <c r="L93" s="73"/>
      <c r="M93" s="155">
        <v>89</v>
      </c>
      <c r="N93" s="49">
        <v>2.5687000000000002</v>
      </c>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c r="BL93" s="73"/>
      <c r="BM93" s="73"/>
      <c r="BN93" s="73"/>
      <c r="BO93" s="73"/>
      <c r="BP93" s="73"/>
      <c r="BQ93" s="73"/>
      <c r="BR93" s="73"/>
      <c r="BS93" s="73"/>
      <c r="BT93" s="73"/>
      <c r="BU93" s="73"/>
      <c r="BV93" s="73"/>
      <c r="BW93" s="73"/>
      <c r="BX93" s="73"/>
      <c r="BY93" s="73"/>
      <c r="BZ93" s="73"/>
      <c r="CA93" s="73"/>
      <c r="CB93" s="73"/>
      <c r="CC93" s="73"/>
      <c r="CD93" s="73"/>
      <c r="CE93" s="73"/>
      <c r="CF93" s="73"/>
      <c r="CG93" s="73"/>
      <c r="CH93" s="73"/>
      <c r="CI93" s="73"/>
      <c r="CJ93" s="73"/>
      <c r="CK93" s="73"/>
      <c r="CL93" s="73"/>
      <c r="CM93" s="73"/>
      <c r="CN93" s="73"/>
      <c r="CO93" s="73"/>
      <c r="CP93" s="96"/>
      <c r="CQ93" s="96"/>
      <c r="CR93" s="96"/>
      <c r="CS93" s="96"/>
      <c r="CT93" s="96"/>
      <c r="CU93" s="96"/>
      <c r="CV93" s="96"/>
      <c r="CW93" s="96"/>
      <c r="CX93" s="96"/>
      <c r="CY93" s="96"/>
      <c r="CZ93" s="96"/>
      <c r="DA93" s="96"/>
    </row>
    <row r="94" spans="2:105" ht="15.75" x14ac:dyDescent="0.25">
      <c r="B94" s="73"/>
      <c r="C94" s="73"/>
      <c r="D94" s="215">
        <f t="shared" si="7"/>
        <v>89</v>
      </c>
      <c r="E94" s="216">
        <f>[1]!PBGCLRF(65+D94/12)</f>
        <v>2.327</v>
      </c>
      <c r="F94" s="73"/>
      <c r="G94" s="73"/>
      <c r="H94" s="73"/>
      <c r="I94" s="73"/>
      <c r="J94" s="48">
        <v>90</v>
      </c>
      <c r="K94" s="49">
        <v>0.55000000000000004</v>
      </c>
      <c r="L94" s="73"/>
      <c r="M94" s="155">
        <v>90</v>
      </c>
      <c r="N94" s="49">
        <v>2.5981000000000001</v>
      </c>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c r="BL94" s="73"/>
      <c r="BM94" s="73"/>
      <c r="BN94" s="73"/>
      <c r="BO94" s="73"/>
      <c r="BP94" s="73"/>
      <c r="BQ94" s="73"/>
      <c r="BR94" s="73"/>
      <c r="BS94" s="73"/>
      <c r="BT94" s="73"/>
      <c r="BU94" s="73"/>
      <c r="BV94" s="73"/>
      <c r="BW94" s="73"/>
      <c r="BX94" s="73"/>
      <c r="BY94" s="73"/>
      <c r="BZ94" s="73"/>
      <c r="CA94" s="73"/>
      <c r="CB94" s="73"/>
      <c r="CC94" s="73"/>
      <c r="CD94" s="73"/>
      <c r="CE94" s="73"/>
      <c r="CF94" s="73"/>
      <c r="CG94" s="73"/>
      <c r="CH94" s="73"/>
      <c r="CI94" s="73"/>
      <c r="CJ94" s="73"/>
      <c r="CK94" s="73"/>
      <c r="CL94" s="73"/>
      <c r="CM94" s="73"/>
      <c r="CN94" s="73"/>
      <c r="CO94" s="73"/>
      <c r="CP94" s="96"/>
      <c r="CQ94" s="96"/>
      <c r="CR94" s="96"/>
      <c r="CS94" s="96"/>
      <c r="CT94" s="96"/>
      <c r="CU94" s="96"/>
      <c r="CV94" s="96"/>
      <c r="CW94" s="96"/>
      <c r="CX94" s="96"/>
      <c r="CY94" s="96"/>
      <c r="CZ94" s="96"/>
      <c r="DA94" s="96"/>
    </row>
    <row r="95" spans="2:105" ht="15.75" x14ac:dyDescent="0.25">
      <c r="B95" s="73"/>
      <c r="C95" s="73"/>
      <c r="D95" s="215">
        <f t="shared" si="7"/>
        <v>90</v>
      </c>
      <c r="E95" s="216">
        <f>[1]!PBGCLRF(65+D95/12)</f>
        <v>2.35</v>
      </c>
      <c r="F95" s="73"/>
      <c r="G95" s="73"/>
      <c r="H95" s="73"/>
      <c r="I95" s="73"/>
      <c r="J95" s="48">
        <v>91</v>
      </c>
      <c r="K95" s="49">
        <v>0.54500000000000004</v>
      </c>
      <c r="L95" s="73"/>
      <c r="M95" s="155">
        <v>91</v>
      </c>
      <c r="N95" s="49">
        <v>2.6278999999999999</v>
      </c>
      <c r="O95" s="73"/>
      <c r="P95" s="73"/>
      <c r="Q95" s="73"/>
      <c r="R95" s="73"/>
      <c r="S95" s="73" t="e">
        <f>([1]!NPVF2("MP","SLA","N",AEQ_Rates,"M",55,55,0,0,120,0,"UP84","UP84","P","","")/[1]!NPVF2("MP","SLA","N",AEQ_Rates,"M",55,55,0,0,0,0,"UP84","UP84","P","",""))</f>
        <v>#VALUE!</v>
      </c>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c r="BL95" s="73"/>
      <c r="BM95" s="73"/>
      <c r="BN95" s="73"/>
      <c r="BO95" s="73"/>
      <c r="BP95" s="73"/>
      <c r="BQ95" s="73"/>
      <c r="BR95" s="73"/>
      <c r="BS95" s="73"/>
      <c r="BT95" s="73"/>
      <c r="BU95" s="73"/>
      <c r="BV95" s="73"/>
      <c r="BW95" s="73"/>
      <c r="BX95" s="73"/>
      <c r="BY95" s="73"/>
      <c r="BZ95" s="73"/>
      <c r="CA95" s="73"/>
      <c r="CB95" s="73"/>
      <c r="CC95" s="73"/>
      <c r="CD95" s="73"/>
      <c r="CE95" s="73"/>
      <c r="CF95" s="73"/>
      <c r="CG95" s="73"/>
      <c r="CH95" s="73"/>
      <c r="CI95" s="73"/>
      <c r="CJ95" s="73"/>
      <c r="CK95" s="73"/>
      <c r="CL95" s="73"/>
      <c r="CM95" s="73"/>
      <c r="CN95" s="73"/>
      <c r="CO95" s="73"/>
      <c r="CP95" s="96"/>
      <c r="CQ95" s="96"/>
      <c r="CR95" s="96"/>
      <c r="CS95" s="96"/>
      <c r="CT95" s="96"/>
      <c r="CU95" s="96"/>
      <c r="CV95" s="96"/>
      <c r="CW95" s="96"/>
      <c r="CX95" s="96"/>
      <c r="CY95" s="96"/>
      <c r="CZ95" s="96"/>
      <c r="DA95" s="96"/>
    </row>
    <row r="96" spans="2:105" ht="15.75" x14ac:dyDescent="0.25">
      <c r="B96" s="73"/>
      <c r="C96" s="73"/>
      <c r="D96" s="215">
        <f t="shared" si="7"/>
        <v>91</v>
      </c>
      <c r="E96" s="216">
        <f>[1]!PBGCLRF(65+D96/12)</f>
        <v>2.3730000000000002</v>
      </c>
      <c r="F96" s="73"/>
      <c r="G96" s="73"/>
      <c r="H96" s="73"/>
      <c r="I96" s="73"/>
      <c r="J96" s="48">
        <v>92</v>
      </c>
      <c r="K96" s="49">
        <v>0.54</v>
      </c>
      <c r="L96" s="73"/>
      <c r="M96" s="155">
        <v>92</v>
      </c>
      <c r="N96" s="49">
        <v>2.6581000000000001</v>
      </c>
      <c r="O96" s="73"/>
      <c r="P96" s="73"/>
      <c r="Q96" s="73"/>
      <c r="R96" s="73"/>
      <c r="S96" s="73" t="e">
        <f>([1]!NPVF2("MP","SLA","N",AEQ_Rates,"M",55,55,0,0,120,0,"UP84","UP84","P","","")/[1]!NPVF2("MP","SLA","N",AEQ_Rates,"M",55,55,0,0,0,0,"UP84","UP84","P","",""))*([1]!NPVF2("MP","JSJ","N",AEQ_Rates,"M",55,55,51,0,0,0,"UP84","UP84","P","","")/([1]!NPVF2("MP","JSC","N",AEQ_Rates,"M",55,55,51,0.5,0,0,"UP84","UP84","P","","")-[1]!NPVF2("MP","SLA","N",AEQ_Rates,"M",55,55,0,0,0,0,"UP84","UP84","P","","")+[1]!NPVF2("MP","JSJ","N",AEQ_Rates,"M",55,55,51,0,0,0,"UP84","UP84","P","","")))</f>
        <v>#VALUE!</v>
      </c>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c r="BL96" s="73"/>
      <c r="BM96" s="73"/>
      <c r="BN96" s="73"/>
      <c r="BO96" s="73"/>
      <c r="BP96" s="73"/>
      <c r="BQ96" s="73"/>
      <c r="BR96" s="73"/>
      <c r="BS96" s="73"/>
      <c r="BT96" s="73"/>
      <c r="BU96" s="73"/>
      <c r="BV96" s="73"/>
      <c r="BW96" s="73"/>
      <c r="BX96" s="73"/>
      <c r="BY96" s="73"/>
      <c r="BZ96" s="73"/>
      <c r="CA96" s="73"/>
      <c r="CB96" s="73"/>
      <c r="CC96" s="73"/>
      <c r="CD96" s="73"/>
      <c r="CE96" s="73"/>
      <c r="CF96" s="73"/>
      <c r="CG96" s="73"/>
      <c r="CH96" s="73"/>
      <c r="CI96" s="73"/>
      <c r="CJ96" s="73"/>
      <c r="CK96" s="73"/>
      <c r="CL96" s="73"/>
      <c r="CM96" s="73"/>
      <c r="CN96" s="73"/>
      <c r="CO96" s="73"/>
      <c r="CP96" s="96"/>
      <c r="CQ96" s="96"/>
      <c r="CR96" s="96"/>
      <c r="CS96" s="96"/>
      <c r="CT96" s="96"/>
      <c r="CU96" s="96"/>
      <c r="CV96" s="96"/>
      <c r="CW96" s="96"/>
      <c r="CX96" s="96"/>
      <c r="CY96" s="96"/>
      <c r="CZ96" s="96"/>
      <c r="DA96" s="96"/>
    </row>
    <row r="97" spans="2:105" ht="15.75" x14ac:dyDescent="0.25">
      <c r="B97" s="73"/>
      <c r="C97" s="73"/>
      <c r="D97" s="215">
        <f t="shared" si="7"/>
        <v>92</v>
      </c>
      <c r="E97" s="216">
        <f>[1]!PBGCLRF(65+D97/12)</f>
        <v>2.3959999999999999</v>
      </c>
      <c r="F97" s="73"/>
      <c r="G97" s="73"/>
      <c r="H97" s="73"/>
      <c r="I97" s="73"/>
      <c r="J97" s="48">
        <v>93</v>
      </c>
      <c r="K97" s="49">
        <v>0.53500000000000003</v>
      </c>
      <c r="L97" s="73"/>
      <c r="M97" s="155">
        <v>93</v>
      </c>
      <c r="N97" s="49">
        <v>2.6886000000000001</v>
      </c>
      <c r="O97" s="73"/>
      <c r="P97" s="73"/>
      <c r="Q97" s="73"/>
      <c r="R97" s="73"/>
      <c r="S97" s="73">
        <f>100</f>
        <v>100</v>
      </c>
      <c r="T97" s="73" t="e">
        <f>100*S96</f>
        <v>#VALUE!</v>
      </c>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c r="BL97" s="73"/>
      <c r="BM97" s="73"/>
      <c r="BN97" s="73"/>
      <c r="BO97" s="73"/>
      <c r="BP97" s="73"/>
      <c r="BQ97" s="73"/>
      <c r="BR97" s="73"/>
      <c r="BS97" s="73"/>
      <c r="BT97" s="73"/>
      <c r="BU97" s="73"/>
      <c r="BV97" s="73"/>
      <c r="BW97" s="73"/>
      <c r="BX97" s="73"/>
      <c r="BY97" s="73"/>
      <c r="BZ97" s="73"/>
      <c r="CA97" s="73"/>
      <c r="CB97" s="73"/>
      <c r="CC97" s="73"/>
      <c r="CD97" s="73"/>
      <c r="CE97" s="73"/>
      <c r="CF97" s="73"/>
      <c r="CG97" s="73"/>
      <c r="CH97" s="73"/>
      <c r="CI97" s="73"/>
      <c r="CJ97" s="73"/>
      <c r="CK97" s="73"/>
      <c r="CL97" s="73"/>
      <c r="CM97" s="73"/>
      <c r="CN97" s="73"/>
      <c r="CO97" s="73"/>
      <c r="CP97" s="96"/>
      <c r="CQ97" s="96"/>
      <c r="CR97" s="96"/>
      <c r="CS97" s="96"/>
      <c r="CT97" s="96"/>
      <c r="CU97" s="96"/>
      <c r="CV97" s="96"/>
      <c r="CW97" s="96"/>
      <c r="CX97" s="96"/>
      <c r="CY97" s="96"/>
      <c r="CZ97" s="96"/>
      <c r="DA97" s="96"/>
    </row>
    <row r="98" spans="2:105" ht="15.75" x14ac:dyDescent="0.25">
      <c r="B98" s="73"/>
      <c r="C98" s="73"/>
      <c r="D98" s="215">
        <f t="shared" si="7"/>
        <v>93</v>
      </c>
      <c r="E98" s="216">
        <f>[1]!PBGCLRF(65+D98/12)</f>
        <v>2.419</v>
      </c>
      <c r="F98" s="73"/>
      <c r="G98" s="73"/>
      <c r="H98" s="73"/>
      <c r="I98" s="73"/>
      <c r="J98" s="48">
        <v>94</v>
      </c>
      <c r="K98" s="49">
        <v>0.53</v>
      </c>
      <c r="L98" s="73"/>
      <c r="M98" s="155">
        <v>94</v>
      </c>
      <c r="N98" s="49">
        <v>2.7195999999999998</v>
      </c>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c r="BL98" s="73"/>
      <c r="BM98" s="73"/>
      <c r="BN98" s="73"/>
      <c r="BO98" s="73"/>
      <c r="BP98" s="73"/>
      <c r="BQ98" s="73"/>
      <c r="BR98" s="73"/>
      <c r="BS98" s="73"/>
      <c r="BT98" s="73"/>
      <c r="BU98" s="73"/>
      <c r="BV98" s="73"/>
      <c r="BW98" s="73"/>
      <c r="BX98" s="73"/>
      <c r="BY98" s="73"/>
      <c r="BZ98" s="73"/>
      <c r="CA98" s="73"/>
      <c r="CB98" s="73"/>
      <c r="CC98" s="73"/>
      <c r="CD98" s="73"/>
      <c r="CE98" s="73"/>
      <c r="CF98" s="73"/>
      <c r="CG98" s="73"/>
      <c r="CH98" s="73"/>
      <c r="CI98" s="73"/>
      <c r="CJ98" s="73"/>
      <c r="CK98" s="73"/>
      <c r="CL98" s="73"/>
      <c r="CM98" s="73"/>
      <c r="CN98" s="73"/>
      <c r="CO98" s="73"/>
      <c r="CP98" s="96"/>
      <c r="CQ98" s="96"/>
      <c r="CR98" s="96"/>
      <c r="CS98" s="96"/>
      <c r="CT98" s="96"/>
      <c r="CU98" s="96"/>
      <c r="CV98" s="96"/>
      <c r="CW98" s="96"/>
      <c r="CX98" s="96"/>
      <c r="CY98" s="96"/>
      <c r="CZ98" s="96"/>
      <c r="DA98" s="96"/>
    </row>
    <row r="99" spans="2:105" ht="15.75" x14ac:dyDescent="0.25">
      <c r="B99" s="73"/>
      <c r="C99" s="73"/>
      <c r="D99" s="215">
        <f t="shared" si="7"/>
        <v>94</v>
      </c>
      <c r="E99" s="216">
        <f>[1]!PBGCLRF(65+D99/12)</f>
        <v>2.4420000000000002</v>
      </c>
      <c r="F99" s="73"/>
      <c r="G99" s="73"/>
      <c r="H99" s="73"/>
      <c r="I99" s="73"/>
      <c r="J99" s="48">
        <v>95</v>
      </c>
      <c r="K99" s="49">
        <v>0.52500000000000002</v>
      </c>
      <c r="L99" s="73"/>
      <c r="M99" s="155">
        <v>95</v>
      </c>
      <c r="N99" s="49">
        <v>2.7509000000000001</v>
      </c>
      <c r="O99" s="73"/>
      <c r="P99" s="73"/>
      <c r="Q99" s="73"/>
      <c r="R99" s="73"/>
      <c r="S99" s="73" t="e">
        <f>S97*[1]!NPVF2("MP","SLA","N",AEQ_Rates,"M",55,55,0,0,120,0,"UP84","UP84","P","","")*12</f>
        <v>#VALUE!</v>
      </c>
      <c r="T99" s="73" t="e">
        <f>T97*[1]!NPVF2("MP","JSC","N",AEQ_Rates,"M",55,55,51,0.5,0,0,"UP84","UP84","P","","")*12+(S97*S95-T97)*([1]!NPVF2("MP","SLA","N",AEQ_Rates,"M",55,55,0,0,0,0,"UP84","UP84","P","","")-[1]!NPVF2("MP","JSJ","N",AEQ_Rates,"M",55,55,51,0,0,0,"UP84","UP84","P","",""))*12</f>
        <v>#VALUE!</v>
      </c>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Q99" s="73"/>
      <c r="BR99" s="73"/>
      <c r="BS99" s="73"/>
      <c r="BT99" s="73"/>
      <c r="BU99" s="73"/>
      <c r="BV99" s="73"/>
      <c r="BW99" s="73"/>
      <c r="BX99" s="73"/>
      <c r="BY99" s="73"/>
      <c r="BZ99" s="73"/>
      <c r="CA99" s="73"/>
      <c r="CB99" s="73"/>
      <c r="CC99" s="73"/>
      <c r="CD99" s="73"/>
      <c r="CE99" s="73"/>
      <c r="CF99" s="73"/>
      <c r="CG99" s="73"/>
      <c r="CH99" s="73"/>
      <c r="CI99" s="73"/>
      <c r="CJ99" s="73"/>
      <c r="CK99" s="73"/>
      <c r="CL99" s="73"/>
      <c r="CM99" s="73"/>
      <c r="CN99" s="73"/>
      <c r="CO99" s="73"/>
      <c r="CP99" s="96"/>
      <c r="CQ99" s="96"/>
      <c r="CR99" s="96"/>
      <c r="CS99" s="96"/>
      <c r="CT99" s="96"/>
      <c r="CU99" s="96"/>
      <c r="CV99" s="96"/>
      <c r="CW99" s="96"/>
      <c r="CX99" s="96"/>
      <c r="CY99" s="96"/>
      <c r="CZ99" s="96"/>
      <c r="DA99" s="96"/>
    </row>
    <row r="100" spans="2:105" ht="15.75" x14ac:dyDescent="0.25">
      <c r="B100" s="73"/>
      <c r="C100" s="73"/>
      <c r="D100" s="215">
        <f t="shared" si="7"/>
        <v>95</v>
      </c>
      <c r="E100" s="216">
        <f>[1]!PBGCLRF(65+D100/12)</f>
        <v>2.4649999999999999</v>
      </c>
      <c r="F100" s="73"/>
      <c r="G100" s="73"/>
      <c r="H100" s="73"/>
      <c r="I100" s="73"/>
      <c r="J100" s="48">
        <v>96</v>
      </c>
      <c r="K100" s="49">
        <v>0.52</v>
      </c>
      <c r="L100" s="73"/>
      <c r="M100" s="155">
        <v>96</v>
      </c>
      <c r="N100" s="49">
        <v>2.7826</v>
      </c>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c r="BL100" s="73"/>
      <c r="BM100" s="73"/>
      <c r="BN100" s="73"/>
      <c r="BO100" s="73"/>
      <c r="BP100" s="73"/>
      <c r="BQ100" s="73"/>
      <c r="BR100" s="73"/>
      <c r="BS100" s="73"/>
      <c r="BT100" s="73"/>
      <c r="BU100" s="73"/>
      <c r="BV100" s="73"/>
      <c r="BW100" s="73"/>
      <c r="BX100" s="73"/>
      <c r="BY100" s="73"/>
      <c r="BZ100" s="73"/>
      <c r="CA100" s="73"/>
      <c r="CB100" s="73"/>
      <c r="CC100" s="73"/>
      <c r="CD100" s="73"/>
      <c r="CE100" s="73"/>
      <c r="CF100" s="73"/>
      <c r="CG100" s="73"/>
      <c r="CH100" s="73"/>
      <c r="CI100" s="73"/>
      <c r="CJ100" s="73"/>
      <c r="CK100" s="73"/>
      <c r="CL100" s="73"/>
      <c r="CM100" s="73"/>
      <c r="CN100" s="73"/>
      <c r="CO100" s="73"/>
      <c r="CP100" s="96"/>
      <c r="CQ100" s="96"/>
      <c r="CR100" s="96"/>
      <c r="CS100" s="96"/>
      <c r="CT100" s="96"/>
      <c r="CU100" s="96"/>
      <c r="CV100" s="96"/>
      <c r="CW100" s="96"/>
      <c r="CX100" s="96"/>
      <c r="CY100" s="96"/>
      <c r="CZ100" s="96"/>
      <c r="DA100" s="96"/>
    </row>
    <row r="101" spans="2:105" ht="15.75" x14ac:dyDescent="0.25">
      <c r="B101" s="73"/>
      <c r="C101" s="73"/>
      <c r="D101" s="215">
        <f t="shared" si="7"/>
        <v>96</v>
      </c>
      <c r="E101" s="216">
        <f>[1]!PBGCLRF(65+D101/12)</f>
        <v>2.488</v>
      </c>
      <c r="F101" s="73"/>
      <c r="G101" s="73"/>
      <c r="H101" s="73"/>
      <c r="I101" s="73"/>
      <c r="J101" s="48">
        <v>97</v>
      </c>
      <c r="K101" s="49">
        <v>0.51500000000000001</v>
      </c>
      <c r="L101" s="73"/>
      <c r="M101" s="155">
        <v>97</v>
      </c>
      <c r="N101" s="49">
        <v>2.8149999999999999</v>
      </c>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c r="BL101" s="73"/>
      <c r="BM101" s="73"/>
      <c r="BN101" s="73"/>
      <c r="BO101" s="73"/>
      <c r="BP101" s="73"/>
      <c r="BQ101" s="73"/>
      <c r="BR101" s="73"/>
      <c r="BS101" s="73"/>
      <c r="BT101" s="73"/>
      <c r="BU101" s="73"/>
      <c r="BV101" s="73"/>
      <c r="BW101" s="73"/>
      <c r="BX101" s="73"/>
      <c r="BY101" s="73"/>
      <c r="BZ101" s="73"/>
      <c r="CA101" s="73"/>
      <c r="CB101" s="73"/>
      <c r="CC101" s="73"/>
      <c r="CD101" s="73"/>
      <c r="CE101" s="73"/>
      <c r="CF101" s="73"/>
      <c r="CG101" s="73"/>
      <c r="CH101" s="73"/>
      <c r="CI101" s="73"/>
      <c r="CJ101" s="73"/>
      <c r="CK101" s="73"/>
      <c r="CL101" s="73"/>
      <c r="CM101" s="73"/>
      <c r="CN101" s="73"/>
      <c r="CO101" s="73"/>
      <c r="CP101" s="96"/>
      <c r="CQ101" s="96"/>
      <c r="CR101" s="96"/>
      <c r="CS101" s="96"/>
      <c r="CT101" s="96"/>
      <c r="CU101" s="96"/>
      <c r="CV101" s="96"/>
      <c r="CW101" s="96"/>
      <c r="CX101" s="96"/>
      <c r="CY101" s="96"/>
      <c r="CZ101" s="96"/>
      <c r="DA101" s="96"/>
    </row>
    <row r="102" spans="2:105" ht="15.75" x14ac:dyDescent="0.25">
      <c r="B102" s="73"/>
      <c r="C102" s="73"/>
      <c r="D102" s="215">
        <f t="shared" si="7"/>
        <v>97</v>
      </c>
      <c r="E102" s="216">
        <f>[1]!PBGCLRF(65+D102/12)</f>
        <v>2.5110000000000001</v>
      </c>
      <c r="F102" s="73"/>
      <c r="G102" s="73"/>
      <c r="H102" s="73"/>
      <c r="I102" s="73"/>
      <c r="J102" s="48">
        <v>98</v>
      </c>
      <c r="K102" s="49">
        <v>0.51</v>
      </c>
      <c r="L102" s="73"/>
      <c r="M102" s="155">
        <v>98</v>
      </c>
      <c r="N102" s="49">
        <v>2.8479000000000001</v>
      </c>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c r="BL102" s="73"/>
      <c r="BM102" s="73"/>
      <c r="BN102" s="73"/>
      <c r="BO102" s="73"/>
      <c r="BP102" s="73"/>
      <c r="BQ102" s="73"/>
      <c r="BR102" s="73"/>
      <c r="BS102" s="73"/>
      <c r="BT102" s="73"/>
      <c r="BU102" s="73"/>
      <c r="BV102" s="73"/>
      <c r="BW102" s="73"/>
      <c r="BX102" s="73"/>
      <c r="BY102" s="73"/>
      <c r="BZ102" s="73"/>
      <c r="CA102" s="73"/>
      <c r="CB102" s="73"/>
      <c r="CC102" s="73"/>
      <c r="CD102" s="73"/>
      <c r="CE102" s="73"/>
      <c r="CF102" s="73"/>
      <c r="CG102" s="73"/>
      <c r="CH102" s="73"/>
      <c r="CI102" s="73"/>
      <c r="CJ102" s="73"/>
      <c r="CK102" s="73"/>
      <c r="CL102" s="73"/>
      <c r="CM102" s="73"/>
      <c r="CN102" s="73"/>
      <c r="CO102" s="73"/>
      <c r="CP102" s="96"/>
      <c r="CQ102" s="96"/>
      <c r="CR102" s="96"/>
      <c r="CS102" s="96"/>
      <c r="CT102" s="96"/>
      <c r="CU102" s="96"/>
      <c r="CV102" s="96"/>
      <c r="CW102" s="96"/>
      <c r="CX102" s="96"/>
      <c r="CY102" s="96"/>
      <c r="CZ102" s="96"/>
      <c r="DA102" s="96"/>
    </row>
    <row r="103" spans="2:105" ht="15.75" x14ac:dyDescent="0.25">
      <c r="B103" s="73"/>
      <c r="C103" s="73"/>
      <c r="D103" s="215">
        <f t="shared" si="7"/>
        <v>98</v>
      </c>
      <c r="E103" s="216">
        <f>[1]!PBGCLRF(65+D103/12)</f>
        <v>2.5339999999999998</v>
      </c>
      <c r="F103" s="73"/>
      <c r="G103" s="73"/>
      <c r="H103" s="73"/>
      <c r="I103" s="73"/>
      <c r="J103" s="48">
        <v>99</v>
      </c>
      <c r="K103" s="49">
        <v>0.505</v>
      </c>
      <c r="L103" s="73"/>
      <c r="M103" s="155">
        <v>99</v>
      </c>
      <c r="N103" s="49">
        <v>2.8812000000000002</v>
      </c>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c r="BL103" s="73"/>
      <c r="BM103" s="73"/>
      <c r="BN103" s="73"/>
      <c r="BO103" s="73"/>
      <c r="BP103" s="73"/>
      <c r="BQ103" s="73"/>
      <c r="BR103" s="73"/>
      <c r="BS103" s="73"/>
      <c r="BT103" s="73"/>
      <c r="BU103" s="73"/>
      <c r="BV103" s="73"/>
      <c r="BW103" s="73"/>
      <c r="BX103" s="73"/>
      <c r="BY103" s="73"/>
      <c r="BZ103" s="73"/>
      <c r="CA103" s="73"/>
      <c r="CB103" s="73"/>
      <c r="CC103" s="73"/>
      <c r="CD103" s="73"/>
      <c r="CE103" s="73"/>
      <c r="CF103" s="73"/>
      <c r="CG103" s="73"/>
      <c r="CH103" s="73"/>
      <c r="CI103" s="73"/>
      <c r="CJ103" s="73"/>
      <c r="CK103" s="73"/>
      <c r="CL103" s="73"/>
      <c r="CM103" s="73"/>
      <c r="CN103" s="73"/>
      <c r="CO103" s="73"/>
      <c r="CP103" s="96"/>
      <c r="CQ103" s="96"/>
      <c r="CR103" s="96"/>
      <c r="CS103" s="96"/>
      <c r="CT103" s="96"/>
      <c r="CU103" s="96"/>
      <c r="CV103" s="96"/>
      <c r="CW103" s="96"/>
      <c r="CX103" s="96"/>
      <c r="CY103" s="96"/>
      <c r="CZ103" s="96"/>
      <c r="DA103" s="96"/>
    </row>
    <row r="104" spans="2:105" ht="15.75" x14ac:dyDescent="0.25">
      <c r="B104" s="73"/>
      <c r="C104" s="73"/>
      <c r="D104" s="215">
        <f t="shared" si="7"/>
        <v>99</v>
      </c>
      <c r="E104" s="216">
        <f>[1]!PBGCLRF(65+D104/12)</f>
        <v>2.5569999999999999</v>
      </c>
      <c r="F104" s="73"/>
      <c r="G104" s="73"/>
      <c r="H104" s="73"/>
      <c r="I104" s="73"/>
      <c r="J104" s="48">
        <v>100</v>
      </c>
      <c r="K104" s="49">
        <v>0.5</v>
      </c>
      <c r="L104" s="73"/>
      <c r="M104" s="155">
        <v>100</v>
      </c>
      <c r="N104" s="49">
        <v>2.9148999999999998</v>
      </c>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c r="BL104" s="73"/>
      <c r="BM104" s="73"/>
      <c r="BN104" s="73"/>
      <c r="BO104" s="73"/>
      <c r="BP104" s="73"/>
      <c r="BQ104" s="73"/>
      <c r="BR104" s="73"/>
      <c r="BS104" s="73"/>
      <c r="BT104" s="73"/>
      <c r="BU104" s="73"/>
      <c r="BV104" s="73"/>
      <c r="BW104" s="73"/>
      <c r="BX104" s="73"/>
      <c r="BY104" s="73"/>
      <c r="BZ104" s="73"/>
      <c r="CA104" s="73"/>
      <c r="CB104" s="73"/>
      <c r="CC104" s="73"/>
      <c r="CD104" s="73"/>
      <c r="CE104" s="73"/>
      <c r="CF104" s="73"/>
      <c r="CG104" s="73"/>
      <c r="CH104" s="73"/>
      <c r="CI104" s="73"/>
      <c r="CJ104" s="73"/>
      <c r="CK104" s="73"/>
      <c r="CL104" s="73"/>
      <c r="CM104" s="73"/>
      <c r="CN104" s="73"/>
      <c r="CO104" s="73"/>
      <c r="CP104" s="96"/>
      <c r="CQ104" s="96"/>
      <c r="CR104" s="96"/>
      <c r="CS104" s="96"/>
      <c r="CT104" s="96"/>
      <c r="CU104" s="96"/>
      <c r="CV104" s="96"/>
      <c r="CW104" s="96"/>
      <c r="CX104" s="96"/>
      <c r="CY104" s="96"/>
      <c r="CZ104" s="96"/>
      <c r="DA104" s="96"/>
    </row>
    <row r="105" spans="2:105" ht="15.75" x14ac:dyDescent="0.25">
      <c r="B105" s="73"/>
      <c r="C105" s="73"/>
      <c r="D105" s="215">
        <f t="shared" si="7"/>
        <v>100</v>
      </c>
      <c r="E105" s="216">
        <f>[1]!PBGCLRF(65+D105/12)</f>
        <v>2.58</v>
      </c>
      <c r="F105" s="73"/>
      <c r="G105" s="73"/>
      <c r="H105" s="73"/>
      <c r="I105" s="73"/>
      <c r="J105" s="48">
        <v>101</v>
      </c>
      <c r="K105" s="49">
        <v>0.495</v>
      </c>
      <c r="L105" s="73"/>
      <c r="M105" s="155">
        <v>101</v>
      </c>
      <c r="N105" s="49">
        <v>2.9489999999999998</v>
      </c>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c r="BL105" s="73"/>
      <c r="BM105" s="73"/>
      <c r="BN105" s="73"/>
      <c r="BO105" s="73"/>
      <c r="BP105" s="73"/>
      <c r="BQ105" s="73"/>
      <c r="BR105" s="73"/>
      <c r="BS105" s="73"/>
      <c r="BT105" s="73"/>
      <c r="BU105" s="73"/>
      <c r="BV105" s="73"/>
      <c r="BW105" s="73"/>
      <c r="BX105" s="73"/>
      <c r="BY105" s="73"/>
      <c r="BZ105" s="73"/>
      <c r="CA105" s="73"/>
      <c r="CB105" s="73"/>
      <c r="CC105" s="73"/>
      <c r="CD105" s="73"/>
      <c r="CE105" s="73"/>
      <c r="CF105" s="73"/>
      <c r="CG105" s="73"/>
      <c r="CH105" s="73"/>
      <c r="CI105" s="73"/>
      <c r="CJ105" s="73"/>
      <c r="CK105" s="73"/>
      <c r="CL105" s="73"/>
      <c r="CM105" s="73"/>
      <c r="CN105" s="73"/>
      <c r="CO105" s="73"/>
      <c r="CP105" s="96"/>
      <c r="CQ105" s="96"/>
      <c r="CR105" s="96"/>
      <c r="CS105" s="96"/>
      <c r="CT105" s="96"/>
      <c r="CU105" s="96"/>
      <c r="CV105" s="96"/>
      <c r="CW105" s="96"/>
      <c r="CX105" s="96"/>
      <c r="CY105" s="96"/>
      <c r="CZ105" s="96"/>
      <c r="DA105" s="96"/>
    </row>
    <row r="106" spans="2:105" ht="15.75" x14ac:dyDescent="0.25">
      <c r="B106" s="73"/>
      <c r="C106" s="73"/>
      <c r="D106" s="215">
        <f t="shared" si="7"/>
        <v>101</v>
      </c>
      <c r="E106" s="216">
        <f>[1]!PBGCLRF(65+D106/12)</f>
        <v>2.6030000000000002</v>
      </c>
      <c r="F106" s="73"/>
      <c r="G106" s="73"/>
      <c r="H106" s="73"/>
      <c r="I106" s="73"/>
      <c r="J106" s="48">
        <v>102</v>
      </c>
      <c r="K106" s="49">
        <v>0.49</v>
      </c>
      <c r="L106" s="73"/>
      <c r="M106" s="155">
        <v>102</v>
      </c>
      <c r="N106" s="49">
        <v>2.9836</v>
      </c>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c r="BL106" s="73"/>
      <c r="BM106" s="73"/>
      <c r="BN106" s="73"/>
      <c r="BO106" s="73"/>
      <c r="BP106" s="73"/>
      <c r="BQ106" s="73"/>
      <c r="BR106" s="73"/>
      <c r="BS106" s="73"/>
      <c r="BT106" s="73"/>
      <c r="BU106" s="73"/>
      <c r="BV106" s="73"/>
      <c r="BW106" s="73"/>
      <c r="BX106" s="73"/>
      <c r="BY106" s="73"/>
      <c r="BZ106" s="73"/>
      <c r="CA106" s="73"/>
      <c r="CB106" s="73"/>
      <c r="CC106" s="73"/>
      <c r="CD106" s="73"/>
      <c r="CE106" s="73"/>
      <c r="CF106" s="73"/>
      <c r="CG106" s="73"/>
      <c r="CH106" s="73"/>
      <c r="CI106" s="73"/>
      <c r="CJ106" s="73"/>
      <c r="CK106" s="73"/>
      <c r="CL106" s="73"/>
      <c r="CM106" s="73"/>
      <c r="CN106" s="73"/>
      <c r="CO106" s="73"/>
      <c r="CP106" s="96"/>
      <c r="CQ106" s="96"/>
      <c r="CR106" s="96"/>
      <c r="CS106" s="96"/>
      <c r="CT106" s="96"/>
      <c r="CU106" s="96"/>
      <c r="CV106" s="96"/>
      <c r="CW106" s="96"/>
      <c r="CX106" s="96"/>
      <c r="CY106" s="96"/>
      <c r="CZ106" s="96"/>
      <c r="DA106" s="96"/>
    </row>
    <row r="107" spans="2:105" ht="15.75" x14ac:dyDescent="0.25">
      <c r="B107" s="73"/>
      <c r="C107" s="73"/>
      <c r="D107" s="215">
        <f t="shared" si="7"/>
        <v>102</v>
      </c>
      <c r="E107" s="216">
        <f>[1]!PBGCLRF(65+D107/12)</f>
        <v>2.6259999999999999</v>
      </c>
      <c r="F107" s="73"/>
      <c r="G107" s="73"/>
      <c r="H107" s="73"/>
      <c r="I107" s="73"/>
      <c r="J107" s="48">
        <v>103</v>
      </c>
      <c r="K107" s="49">
        <v>0.48499999999999999</v>
      </c>
      <c r="L107" s="73"/>
      <c r="M107" s="155">
        <v>103</v>
      </c>
      <c r="N107" s="49">
        <v>3.0186000000000002</v>
      </c>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c r="BL107" s="73"/>
      <c r="BM107" s="73"/>
      <c r="BN107" s="73"/>
      <c r="BO107" s="73"/>
      <c r="BP107" s="73"/>
      <c r="BQ107" s="73"/>
      <c r="BR107" s="73"/>
      <c r="BS107" s="73"/>
      <c r="BT107" s="73"/>
      <c r="BU107" s="73"/>
      <c r="BV107" s="73"/>
      <c r="BW107" s="73"/>
      <c r="BX107" s="73"/>
      <c r="BY107" s="73"/>
      <c r="BZ107" s="73"/>
      <c r="CA107" s="73"/>
      <c r="CB107" s="73"/>
      <c r="CC107" s="73"/>
      <c r="CD107" s="73"/>
      <c r="CE107" s="73"/>
      <c r="CF107" s="73"/>
      <c r="CG107" s="73"/>
      <c r="CH107" s="73"/>
      <c r="CI107" s="73"/>
      <c r="CJ107" s="73"/>
      <c r="CK107" s="73"/>
      <c r="CL107" s="73"/>
      <c r="CM107" s="73"/>
      <c r="CN107" s="73"/>
      <c r="CO107" s="73"/>
      <c r="CP107" s="96"/>
      <c r="CQ107" s="96"/>
      <c r="CR107" s="96"/>
      <c r="CS107" s="96"/>
      <c r="CT107" s="96"/>
      <c r="CU107" s="96"/>
      <c r="CV107" s="96"/>
      <c r="CW107" s="96"/>
      <c r="CX107" s="96"/>
      <c r="CY107" s="96"/>
      <c r="CZ107" s="96"/>
      <c r="DA107" s="96"/>
    </row>
    <row r="108" spans="2:105" ht="15.75" x14ac:dyDescent="0.25">
      <c r="B108" s="73"/>
      <c r="C108" s="73"/>
      <c r="D108" s="215">
        <f t="shared" si="7"/>
        <v>103</v>
      </c>
      <c r="E108" s="216">
        <f>[1]!PBGCLRF(65+D108/12)</f>
        <v>2.649</v>
      </c>
      <c r="F108" s="73"/>
      <c r="G108" s="73"/>
      <c r="H108" s="73"/>
      <c r="I108" s="73"/>
      <c r="J108" s="48">
        <v>104</v>
      </c>
      <c r="K108" s="49">
        <v>0.48</v>
      </c>
      <c r="L108" s="73"/>
      <c r="M108" s="155">
        <v>104</v>
      </c>
      <c r="N108" s="49">
        <v>3.0541</v>
      </c>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c r="BL108" s="73"/>
      <c r="BM108" s="73"/>
      <c r="BN108" s="73"/>
      <c r="BO108" s="73"/>
      <c r="BP108" s="73"/>
      <c r="BQ108" s="73"/>
      <c r="BR108" s="73"/>
      <c r="BS108" s="73"/>
      <c r="BT108" s="73"/>
      <c r="BU108" s="73"/>
      <c r="BV108" s="73"/>
      <c r="BW108" s="73"/>
      <c r="BX108" s="73"/>
      <c r="BY108" s="73"/>
      <c r="BZ108" s="73"/>
      <c r="CA108" s="73"/>
      <c r="CB108" s="73"/>
      <c r="CC108" s="73"/>
      <c r="CD108" s="73"/>
      <c r="CE108" s="73"/>
      <c r="CF108" s="73"/>
      <c r="CG108" s="73"/>
      <c r="CH108" s="73"/>
      <c r="CI108" s="73"/>
      <c r="CJ108" s="73"/>
      <c r="CK108" s="73"/>
      <c r="CL108" s="73"/>
      <c r="CM108" s="73"/>
      <c r="CN108" s="73"/>
      <c r="CO108" s="73"/>
      <c r="CP108" s="96"/>
      <c r="CQ108" s="96"/>
      <c r="CR108" s="96"/>
      <c r="CS108" s="96"/>
      <c r="CT108" s="96"/>
      <c r="CU108" s="96"/>
      <c r="CV108" s="96"/>
      <c r="CW108" s="96"/>
      <c r="CX108" s="96"/>
      <c r="CY108" s="96"/>
      <c r="CZ108" s="96"/>
      <c r="DA108" s="96"/>
    </row>
    <row r="109" spans="2:105" ht="15.75" x14ac:dyDescent="0.25">
      <c r="B109" s="73"/>
      <c r="C109" s="73"/>
      <c r="D109" s="215">
        <f t="shared" si="7"/>
        <v>104</v>
      </c>
      <c r="E109" s="216">
        <f>[1]!PBGCLRF(65+D109/12)</f>
        <v>2.6720000000000002</v>
      </c>
      <c r="F109" s="73"/>
      <c r="G109" s="73"/>
      <c r="H109" s="73"/>
      <c r="I109" s="73"/>
      <c r="J109" s="48">
        <v>105</v>
      </c>
      <c r="K109" s="49">
        <v>0.47499999999999998</v>
      </c>
      <c r="L109" s="73"/>
      <c r="M109" s="155">
        <v>105</v>
      </c>
      <c r="N109" s="49">
        <v>3.09</v>
      </c>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c r="BL109" s="73"/>
      <c r="BM109" s="73"/>
      <c r="BN109" s="73"/>
      <c r="BO109" s="73"/>
      <c r="BP109" s="73"/>
      <c r="BQ109" s="73"/>
      <c r="BR109" s="73"/>
      <c r="BS109" s="73"/>
      <c r="BT109" s="73"/>
      <c r="BU109" s="73"/>
      <c r="BV109" s="73"/>
      <c r="BW109" s="73"/>
      <c r="BX109" s="73"/>
      <c r="BY109" s="73"/>
      <c r="BZ109" s="73"/>
      <c r="CA109" s="73"/>
      <c r="CB109" s="73"/>
      <c r="CC109" s="73"/>
      <c r="CD109" s="73"/>
      <c r="CE109" s="73"/>
      <c r="CF109" s="73"/>
      <c r="CG109" s="73"/>
      <c r="CH109" s="73"/>
      <c r="CI109" s="73"/>
      <c r="CJ109" s="73"/>
      <c r="CK109" s="73"/>
      <c r="CL109" s="73"/>
      <c r="CM109" s="73"/>
      <c r="CN109" s="73"/>
      <c r="CO109" s="73"/>
      <c r="CP109" s="96"/>
      <c r="CQ109" s="96"/>
      <c r="CR109" s="96"/>
      <c r="CS109" s="96"/>
      <c r="CT109" s="96"/>
      <c r="CU109" s="96"/>
      <c r="CV109" s="96"/>
      <c r="CW109" s="96"/>
      <c r="CX109" s="96"/>
      <c r="CY109" s="96"/>
      <c r="CZ109" s="96"/>
      <c r="DA109" s="96"/>
    </row>
    <row r="110" spans="2:105" ht="15.75" x14ac:dyDescent="0.25">
      <c r="B110" s="73"/>
      <c r="C110" s="73"/>
      <c r="D110" s="215">
        <f t="shared" si="7"/>
        <v>105</v>
      </c>
      <c r="E110" s="216">
        <f>[1]!PBGCLRF(65+D110/12)</f>
        <v>2.6949999999999998</v>
      </c>
      <c r="F110" s="73"/>
      <c r="G110" s="73"/>
      <c r="H110" s="73"/>
      <c r="I110" s="73"/>
      <c r="J110" s="48">
        <v>106</v>
      </c>
      <c r="K110" s="49">
        <v>0.47</v>
      </c>
      <c r="L110" s="73"/>
      <c r="M110" s="155">
        <v>106</v>
      </c>
      <c r="N110" s="49">
        <v>3.1263999999999998</v>
      </c>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c r="BL110" s="73"/>
      <c r="BM110" s="73"/>
      <c r="BN110" s="73"/>
      <c r="BO110" s="73"/>
      <c r="BP110" s="73"/>
      <c r="BQ110" s="73"/>
      <c r="BR110" s="73"/>
      <c r="BS110" s="73"/>
      <c r="BT110" s="73"/>
      <c r="BU110" s="73"/>
      <c r="BV110" s="73"/>
      <c r="BW110" s="73"/>
      <c r="BX110" s="73"/>
      <c r="BY110" s="73"/>
      <c r="BZ110" s="73"/>
      <c r="CA110" s="73"/>
      <c r="CB110" s="73"/>
      <c r="CC110" s="73"/>
      <c r="CD110" s="73"/>
      <c r="CE110" s="73"/>
      <c r="CF110" s="73"/>
      <c r="CG110" s="73"/>
      <c r="CH110" s="73"/>
      <c r="CI110" s="73"/>
      <c r="CJ110" s="73"/>
      <c r="CK110" s="73"/>
      <c r="CL110" s="73"/>
      <c r="CM110" s="73"/>
      <c r="CN110" s="73"/>
      <c r="CO110" s="73"/>
      <c r="CP110" s="96"/>
      <c r="CQ110" s="96"/>
      <c r="CR110" s="96"/>
      <c r="CS110" s="96"/>
      <c r="CT110" s="96"/>
      <c r="CU110" s="96"/>
      <c r="CV110" s="96"/>
      <c r="CW110" s="96"/>
      <c r="CX110" s="96"/>
      <c r="CY110" s="96"/>
      <c r="CZ110" s="96"/>
      <c r="DA110" s="96"/>
    </row>
    <row r="111" spans="2:105" ht="15.75" x14ac:dyDescent="0.25">
      <c r="B111" s="73"/>
      <c r="C111" s="73"/>
      <c r="D111" s="215">
        <f t="shared" si="7"/>
        <v>106</v>
      </c>
      <c r="E111" s="216">
        <f>[1]!PBGCLRF(65+D111/12)</f>
        <v>2.718</v>
      </c>
      <c r="F111" s="73"/>
      <c r="G111" s="73"/>
      <c r="H111" s="73"/>
      <c r="I111" s="73"/>
      <c r="J111" s="48">
        <v>107</v>
      </c>
      <c r="K111" s="49">
        <v>0.46500000000000002</v>
      </c>
      <c r="L111" s="73"/>
      <c r="M111" s="155">
        <v>107</v>
      </c>
      <c r="N111" s="49">
        <v>3.1631999999999998</v>
      </c>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c r="BL111" s="73"/>
      <c r="BM111" s="73"/>
      <c r="BN111" s="73"/>
      <c r="BO111" s="73"/>
      <c r="BP111" s="73"/>
      <c r="BQ111" s="73"/>
      <c r="BR111" s="73"/>
      <c r="BS111" s="73"/>
      <c r="BT111" s="73"/>
      <c r="BU111" s="73"/>
      <c r="BV111" s="73"/>
      <c r="BW111" s="73"/>
      <c r="BX111" s="73"/>
      <c r="BY111" s="73"/>
      <c r="BZ111" s="73"/>
      <c r="CA111" s="73"/>
      <c r="CB111" s="73"/>
      <c r="CC111" s="73"/>
      <c r="CD111" s="73"/>
      <c r="CE111" s="73"/>
      <c r="CF111" s="73"/>
      <c r="CG111" s="73"/>
      <c r="CH111" s="73"/>
      <c r="CI111" s="73"/>
      <c r="CJ111" s="73"/>
      <c r="CK111" s="73"/>
      <c r="CL111" s="73"/>
      <c r="CM111" s="73"/>
      <c r="CN111" s="73"/>
      <c r="CO111" s="73"/>
      <c r="CP111" s="96"/>
      <c r="CQ111" s="96"/>
      <c r="CR111" s="96"/>
      <c r="CS111" s="96"/>
      <c r="CT111" s="96"/>
      <c r="CU111" s="96"/>
      <c r="CV111" s="96"/>
      <c r="CW111" s="96"/>
      <c r="CX111" s="96"/>
      <c r="CY111" s="96"/>
      <c r="CZ111" s="96"/>
      <c r="DA111" s="96"/>
    </row>
    <row r="112" spans="2:105" ht="15.75" x14ac:dyDescent="0.25">
      <c r="B112" s="73"/>
      <c r="C112" s="73"/>
      <c r="D112" s="215">
        <f t="shared" si="7"/>
        <v>107</v>
      </c>
      <c r="E112" s="216">
        <f>[1]!PBGCLRF(65+D112/12)</f>
        <v>2.7410000000000001</v>
      </c>
      <c r="F112" s="73"/>
      <c r="G112" s="73"/>
      <c r="H112" s="73"/>
      <c r="I112" s="73"/>
      <c r="J112" s="48">
        <v>108</v>
      </c>
      <c r="K112" s="49">
        <v>0.46</v>
      </c>
      <c r="L112" s="73"/>
      <c r="M112" s="155">
        <v>108</v>
      </c>
      <c r="N112" s="49">
        <v>3.2004999999999999</v>
      </c>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c r="BL112" s="73"/>
      <c r="BM112" s="73"/>
      <c r="BN112" s="73"/>
      <c r="BO112" s="73"/>
      <c r="BP112" s="73"/>
      <c r="BQ112" s="73"/>
      <c r="BR112" s="73"/>
      <c r="BS112" s="73"/>
      <c r="BT112" s="73"/>
      <c r="BU112" s="73"/>
      <c r="BV112" s="73"/>
      <c r="BW112" s="73"/>
      <c r="BX112" s="73"/>
      <c r="BY112" s="73"/>
      <c r="BZ112" s="73"/>
      <c r="CA112" s="73"/>
      <c r="CB112" s="73"/>
      <c r="CC112" s="73"/>
      <c r="CD112" s="73"/>
      <c r="CE112" s="73"/>
      <c r="CF112" s="73"/>
      <c r="CG112" s="73"/>
      <c r="CH112" s="73"/>
      <c r="CI112" s="73"/>
      <c r="CJ112" s="73"/>
      <c r="CK112" s="73"/>
      <c r="CL112" s="73"/>
      <c r="CM112" s="73"/>
      <c r="CN112" s="73"/>
      <c r="CO112" s="73"/>
      <c r="CP112" s="96"/>
      <c r="CQ112" s="96"/>
      <c r="CR112" s="96"/>
      <c r="CS112" s="96"/>
      <c r="CT112" s="96"/>
      <c r="CU112" s="96"/>
      <c r="CV112" s="96"/>
      <c r="CW112" s="96"/>
      <c r="CX112" s="96"/>
      <c r="CY112" s="96"/>
      <c r="CZ112" s="96"/>
      <c r="DA112" s="96"/>
    </row>
    <row r="113" spans="2:105" ht="15.75" x14ac:dyDescent="0.25">
      <c r="B113" s="73"/>
      <c r="C113" s="73"/>
      <c r="D113" s="215">
        <f t="shared" si="7"/>
        <v>108</v>
      </c>
      <c r="E113" s="216">
        <f>[1]!PBGCLRF(65+D113/12)</f>
        <v>2.7639999999999998</v>
      </c>
      <c r="F113" s="73"/>
      <c r="G113" s="73"/>
      <c r="H113" s="73"/>
      <c r="I113" s="73"/>
      <c r="J113" s="48">
        <v>109</v>
      </c>
      <c r="K113" s="49">
        <v>0.45500000000000002</v>
      </c>
      <c r="L113" s="73"/>
      <c r="M113" s="155">
        <v>109</v>
      </c>
      <c r="N113" s="49">
        <v>3.2387999999999999</v>
      </c>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c r="BL113" s="73"/>
      <c r="BM113" s="73"/>
      <c r="BN113" s="73"/>
      <c r="BO113" s="73"/>
      <c r="BP113" s="73"/>
      <c r="BQ113" s="73"/>
      <c r="BR113" s="73"/>
      <c r="BS113" s="73"/>
      <c r="BT113" s="73"/>
      <c r="BU113" s="73"/>
      <c r="BV113" s="73"/>
      <c r="BW113" s="73"/>
      <c r="BX113" s="73"/>
      <c r="BY113" s="73"/>
      <c r="BZ113" s="73"/>
      <c r="CA113" s="73"/>
      <c r="CB113" s="73"/>
      <c r="CC113" s="73"/>
      <c r="CD113" s="73"/>
      <c r="CE113" s="73"/>
      <c r="CF113" s="73"/>
      <c r="CG113" s="73"/>
      <c r="CH113" s="73"/>
      <c r="CI113" s="73"/>
      <c r="CJ113" s="73"/>
      <c r="CK113" s="73"/>
      <c r="CL113" s="73"/>
      <c r="CM113" s="73"/>
      <c r="CN113" s="73"/>
      <c r="CO113" s="73"/>
      <c r="CP113" s="96"/>
      <c r="CQ113" s="96"/>
      <c r="CR113" s="96"/>
      <c r="CS113" s="96"/>
      <c r="CT113" s="96"/>
      <c r="CU113" s="96"/>
      <c r="CV113" s="96"/>
      <c r="CW113" s="96"/>
      <c r="CX113" s="96"/>
      <c r="CY113" s="96"/>
      <c r="CZ113" s="96"/>
      <c r="DA113" s="96"/>
    </row>
    <row r="114" spans="2:105" ht="15.75" x14ac:dyDescent="0.25">
      <c r="B114" s="73"/>
      <c r="C114" s="73"/>
      <c r="D114" s="215">
        <f t="shared" si="7"/>
        <v>109</v>
      </c>
      <c r="E114" s="216">
        <f>[1]!PBGCLRF(65+D114/12)</f>
        <v>2.7869999999999999</v>
      </c>
      <c r="F114" s="73"/>
      <c r="G114" s="73"/>
      <c r="H114" s="73"/>
      <c r="I114" s="73"/>
      <c r="J114" s="48">
        <v>110</v>
      </c>
      <c r="K114" s="49">
        <v>0.45</v>
      </c>
      <c r="L114" s="73"/>
      <c r="M114" s="155">
        <v>110</v>
      </c>
      <c r="N114" s="49">
        <v>3.2774999999999999</v>
      </c>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c r="BL114" s="73"/>
      <c r="BM114" s="73"/>
      <c r="BN114" s="73"/>
      <c r="BO114" s="73"/>
      <c r="BP114" s="73"/>
      <c r="BQ114" s="73"/>
      <c r="BR114" s="73"/>
      <c r="BS114" s="73"/>
      <c r="BT114" s="73"/>
      <c r="BU114" s="73"/>
      <c r="BV114" s="73"/>
      <c r="BW114" s="73"/>
      <c r="BX114" s="73"/>
      <c r="BY114" s="73"/>
      <c r="BZ114" s="73"/>
      <c r="CA114" s="73"/>
      <c r="CB114" s="73"/>
      <c r="CC114" s="73"/>
      <c r="CD114" s="73"/>
      <c r="CE114" s="73"/>
      <c r="CF114" s="73"/>
      <c r="CG114" s="73"/>
      <c r="CH114" s="73"/>
      <c r="CI114" s="73"/>
      <c r="CJ114" s="73"/>
      <c r="CK114" s="73"/>
      <c r="CL114" s="73"/>
      <c r="CM114" s="73"/>
      <c r="CN114" s="73"/>
      <c r="CO114" s="73"/>
      <c r="CP114" s="96"/>
      <c r="CQ114" s="96"/>
      <c r="CR114" s="96"/>
      <c r="CS114" s="96"/>
      <c r="CT114" s="96"/>
      <c r="CU114" s="96"/>
      <c r="CV114" s="96"/>
      <c r="CW114" s="96"/>
      <c r="CX114" s="96"/>
      <c r="CY114" s="96"/>
      <c r="CZ114" s="96"/>
      <c r="DA114" s="96"/>
    </row>
    <row r="115" spans="2:105" ht="15.75" x14ac:dyDescent="0.25">
      <c r="B115" s="73"/>
      <c r="C115" s="73"/>
      <c r="D115" s="215">
        <f t="shared" si="7"/>
        <v>110</v>
      </c>
      <c r="E115" s="216">
        <f>[1]!PBGCLRF(65+D115/12)</f>
        <v>2.81</v>
      </c>
      <c r="F115" s="73"/>
      <c r="G115" s="73"/>
      <c r="H115" s="73"/>
      <c r="I115" s="73"/>
      <c r="J115" s="48">
        <v>111</v>
      </c>
      <c r="K115" s="49">
        <v>0.44500000000000001</v>
      </c>
      <c r="L115" s="73"/>
      <c r="M115" s="155">
        <v>111</v>
      </c>
      <c r="N115" s="49">
        <v>3.3168000000000002</v>
      </c>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c r="BL115" s="73"/>
      <c r="BM115" s="73"/>
      <c r="BN115" s="73"/>
      <c r="BO115" s="73"/>
      <c r="BP115" s="73"/>
      <c r="BQ115" s="73"/>
      <c r="BR115" s="73"/>
      <c r="BS115" s="73"/>
      <c r="BT115" s="73"/>
      <c r="BU115" s="73"/>
      <c r="BV115" s="73"/>
      <c r="BW115" s="73"/>
      <c r="BX115" s="73"/>
      <c r="BY115" s="73"/>
      <c r="BZ115" s="73"/>
      <c r="CA115" s="73"/>
      <c r="CB115" s="73"/>
      <c r="CC115" s="73"/>
      <c r="CD115" s="73"/>
      <c r="CE115" s="73"/>
      <c r="CF115" s="73"/>
      <c r="CG115" s="73"/>
      <c r="CH115" s="73"/>
      <c r="CI115" s="73"/>
      <c r="CJ115" s="73"/>
      <c r="CK115" s="73"/>
      <c r="CL115" s="73"/>
      <c r="CM115" s="73"/>
      <c r="CN115" s="73"/>
      <c r="CO115" s="73"/>
      <c r="CP115" s="96"/>
      <c r="CQ115" s="96"/>
      <c r="CR115" s="96"/>
      <c r="CS115" s="96"/>
      <c r="CT115" s="96"/>
      <c r="CU115" s="96"/>
      <c r="CV115" s="96"/>
      <c r="CW115" s="96"/>
      <c r="CX115" s="96"/>
      <c r="CY115" s="96"/>
      <c r="CZ115" s="96"/>
      <c r="DA115" s="96"/>
    </row>
    <row r="116" spans="2:105" ht="15.75" x14ac:dyDescent="0.25">
      <c r="B116" s="73"/>
      <c r="C116" s="73"/>
      <c r="D116" s="215">
        <f t="shared" si="7"/>
        <v>111</v>
      </c>
      <c r="E116" s="216">
        <f>[1]!PBGCLRF(65+D116/12)</f>
        <v>2.8330000000000002</v>
      </c>
      <c r="F116" s="73"/>
      <c r="G116" s="73"/>
      <c r="H116" s="73"/>
      <c r="I116" s="73"/>
      <c r="J116" s="48">
        <v>112</v>
      </c>
      <c r="K116" s="49">
        <v>0.44</v>
      </c>
      <c r="L116" s="73"/>
      <c r="M116" s="155">
        <v>112</v>
      </c>
      <c r="N116" s="49">
        <v>3.3565</v>
      </c>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c r="BL116" s="73"/>
      <c r="BM116" s="73"/>
      <c r="BN116" s="73"/>
      <c r="BO116" s="73"/>
      <c r="BP116" s="73"/>
      <c r="BQ116" s="73"/>
      <c r="BR116" s="73"/>
      <c r="BS116" s="73"/>
      <c r="BT116" s="73"/>
      <c r="BU116" s="73"/>
      <c r="BV116" s="73"/>
      <c r="BW116" s="73"/>
      <c r="BX116" s="73"/>
      <c r="BY116" s="73"/>
      <c r="BZ116" s="73"/>
      <c r="CA116" s="73"/>
      <c r="CB116" s="73"/>
      <c r="CC116" s="73"/>
      <c r="CD116" s="73"/>
      <c r="CE116" s="73"/>
      <c r="CF116" s="73"/>
      <c r="CG116" s="73"/>
      <c r="CH116" s="73"/>
      <c r="CI116" s="73"/>
      <c r="CJ116" s="73"/>
      <c r="CK116" s="73"/>
      <c r="CL116" s="73"/>
      <c r="CM116" s="73"/>
      <c r="CN116" s="73"/>
      <c r="CO116" s="73"/>
      <c r="CP116" s="96"/>
      <c r="CQ116" s="96"/>
      <c r="CR116" s="96"/>
      <c r="CS116" s="96"/>
      <c r="CT116" s="96"/>
      <c r="CU116" s="96"/>
      <c r="CV116" s="96"/>
      <c r="CW116" s="96"/>
      <c r="CX116" s="96"/>
      <c r="CY116" s="96"/>
      <c r="CZ116" s="96"/>
      <c r="DA116" s="96"/>
    </row>
    <row r="117" spans="2:105" ht="15.75" x14ac:dyDescent="0.25">
      <c r="B117" s="73"/>
      <c r="C117" s="73"/>
      <c r="D117" s="215">
        <f t="shared" si="7"/>
        <v>112</v>
      </c>
      <c r="E117" s="216">
        <f>[1]!PBGCLRF(65+D117/12)</f>
        <v>2.8559999999999999</v>
      </c>
      <c r="F117" s="73"/>
      <c r="G117" s="73"/>
      <c r="H117" s="73"/>
      <c r="I117" s="73"/>
      <c r="J117" s="48">
        <v>113</v>
      </c>
      <c r="K117" s="49">
        <v>0.435</v>
      </c>
      <c r="L117" s="73"/>
      <c r="M117" s="155">
        <v>113</v>
      </c>
      <c r="N117" s="49">
        <v>3.3967999999999998</v>
      </c>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c r="BL117" s="73"/>
      <c r="BM117" s="73"/>
      <c r="BN117" s="73"/>
      <c r="BO117" s="73"/>
      <c r="BP117" s="73"/>
      <c r="BQ117" s="73"/>
      <c r="BR117" s="73"/>
      <c r="BS117" s="73"/>
      <c r="BT117" s="73"/>
      <c r="BU117" s="73"/>
      <c r="BV117" s="73"/>
      <c r="BW117" s="73"/>
      <c r="BX117" s="73"/>
      <c r="BY117" s="73"/>
      <c r="BZ117" s="73"/>
      <c r="CA117" s="73"/>
      <c r="CB117" s="73"/>
      <c r="CC117" s="73"/>
      <c r="CD117" s="73"/>
      <c r="CE117" s="73"/>
      <c r="CF117" s="73"/>
      <c r="CG117" s="73"/>
      <c r="CH117" s="73"/>
      <c r="CI117" s="73"/>
      <c r="CJ117" s="73"/>
      <c r="CK117" s="73"/>
      <c r="CL117" s="73"/>
      <c r="CM117" s="73"/>
      <c r="CN117" s="73"/>
      <c r="CO117" s="73"/>
      <c r="CP117" s="96"/>
      <c r="CQ117" s="96"/>
      <c r="CR117" s="96"/>
      <c r="CS117" s="96"/>
      <c r="CT117" s="96"/>
      <c r="CU117" s="96"/>
      <c r="CV117" s="96"/>
      <c r="CW117" s="96"/>
      <c r="CX117" s="96"/>
      <c r="CY117" s="96"/>
      <c r="CZ117" s="96"/>
      <c r="DA117" s="96"/>
    </row>
    <row r="118" spans="2:105" ht="15.75" x14ac:dyDescent="0.25">
      <c r="B118" s="73"/>
      <c r="C118" s="73"/>
      <c r="D118" s="215">
        <f t="shared" si="7"/>
        <v>113</v>
      </c>
      <c r="E118" s="216">
        <f>[1]!PBGCLRF(65+D118/12)</f>
        <v>2.879</v>
      </c>
      <c r="F118" s="73"/>
      <c r="G118" s="73"/>
      <c r="H118" s="73"/>
      <c r="I118" s="73"/>
      <c r="J118" s="48">
        <v>114</v>
      </c>
      <c r="K118" s="49">
        <v>0.43</v>
      </c>
      <c r="L118" s="73"/>
      <c r="M118" s="155">
        <v>114</v>
      </c>
      <c r="N118" s="49">
        <v>3.4376000000000002</v>
      </c>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c r="BL118" s="73"/>
      <c r="BM118" s="73"/>
      <c r="BN118" s="73"/>
      <c r="BO118" s="73"/>
      <c r="BP118" s="73"/>
      <c r="BQ118" s="73"/>
      <c r="BR118" s="73"/>
      <c r="BS118" s="73"/>
      <c r="BT118" s="73"/>
      <c r="BU118" s="73"/>
      <c r="BV118" s="73"/>
      <c r="BW118" s="73"/>
      <c r="BX118" s="73"/>
      <c r="BY118" s="73"/>
      <c r="BZ118" s="73"/>
      <c r="CA118" s="73"/>
      <c r="CB118" s="73"/>
      <c r="CC118" s="73"/>
      <c r="CD118" s="73"/>
      <c r="CE118" s="73"/>
      <c r="CF118" s="73"/>
      <c r="CG118" s="73"/>
      <c r="CH118" s="73"/>
      <c r="CI118" s="73"/>
      <c r="CJ118" s="73"/>
      <c r="CK118" s="73"/>
      <c r="CL118" s="73"/>
      <c r="CM118" s="73"/>
      <c r="CN118" s="73"/>
      <c r="CO118" s="73"/>
      <c r="CP118" s="96"/>
      <c r="CQ118" s="96"/>
      <c r="CR118" s="96"/>
      <c r="CS118" s="96"/>
      <c r="CT118" s="96"/>
      <c r="CU118" s="96"/>
      <c r="CV118" s="96"/>
      <c r="CW118" s="96"/>
      <c r="CX118" s="96"/>
      <c r="CY118" s="96"/>
      <c r="CZ118" s="96"/>
      <c r="DA118" s="96"/>
    </row>
    <row r="119" spans="2:105" ht="15.75" x14ac:dyDescent="0.25">
      <c r="B119" s="73"/>
      <c r="C119" s="73"/>
      <c r="D119" s="215">
        <f t="shared" si="7"/>
        <v>114</v>
      </c>
      <c r="E119" s="216">
        <f>[1]!PBGCLRF(65+D119/12)</f>
        <v>2.9020000000000001</v>
      </c>
      <c r="F119" s="73"/>
      <c r="G119" s="73"/>
      <c r="H119" s="73"/>
      <c r="I119" s="73"/>
      <c r="J119" s="48">
        <v>115</v>
      </c>
      <c r="K119" s="49">
        <v>0.42499999999999999</v>
      </c>
      <c r="L119" s="73"/>
      <c r="M119" s="155">
        <v>115</v>
      </c>
      <c r="N119" s="49">
        <v>3.4790000000000001</v>
      </c>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c r="BL119" s="73"/>
      <c r="BM119" s="73"/>
      <c r="BN119" s="73"/>
      <c r="BO119" s="73"/>
      <c r="BP119" s="73"/>
      <c r="BQ119" s="73"/>
      <c r="BR119" s="73"/>
      <c r="BS119" s="73"/>
      <c r="BT119" s="73"/>
      <c r="BU119" s="73"/>
      <c r="BV119" s="73"/>
      <c r="BW119" s="73"/>
      <c r="BX119" s="73"/>
      <c r="BY119" s="73"/>
      <c r="BZ119" s="73"/>
      <c r="CA119" s="73"/>
      <c r="CB119" s="73"/>
      <c r="CC119" s="73"/>
      <c r="CD119" s="73"/>
      <c r="CE119" s="73"/>
      <c r="CF119" s="73"/>
      <c r="CG119" s="73"/>
      <c r="CH119" s="73"/>
      <c r="CI119" s="73"/>
      <c r="CJ119" s="73"/>
      <c r="CK119" s="73"/>
      <c r="CL119" s="73"/>
      <c r="CM119" s="73"/>
      <c r="CN119" s="73"/>
      <c r="CO119" s="73"/>
      <c r="CP119" s="96"/>
      <c r="CQ119" s="96"/>
      <c r="CR119" s="96"/>
      <c r="CS119" s="96"/>
      <c r="CT119" s="96"/>
      <c r="CU119" s="96"/>
      <c r="CV119" s="96"/>
      <c r="CW119" s="96"/>
      <c r="CX119" s="96"/>
      <c r="CY119" s="96"/>
      <c r="CZ119" s="96"/>
      <c r="DA119" s="96"/>
    </row>
    <row r="120" spans="2:105" ht="15.75" x14ac:dyDescent="0.25">
      <c r="B120" s="73"/>
      <c r="C120" s="73"/>
      <c r="D120" s="215">
        <f t="shared" si="7"/>
        <v>115</v>
      </c>
      <c r="E120" s="216">
        <f>[1]!PBGCLRF(65+D120/12)</f>
        <v>2.9249999999999998</v>
      </c>
      <c r="F120" s="73"/>
      <c r="G120" s="73"/>
      <c r="H120" s="73"/>
      <c r="I120" s="73"/>
      <c r="J120" s="48">
        <v>116</v>
      </c>
      <c r="K120" s="49">
        <v>0.42</v>
      </c>
      <c r="L120" s="73"/>
      <c r="M120" s="155">
        <v>116</v>
      </c>
      <c r="N120" s="49">
        <v>3.5209000000000001</v>
      </c>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c r="BL120" s="73"/>
      <c r="BM120" s="73"/>
      <c r="BN120" s="73"/>
      <c r="BO120" s="73"/>
      <c r="BP120" s="73"/>
      <c r="BQ120" s="73"/>
      <c r="BR120" s="73"/>
      <c r="BS120" s="73"/>
      <c r="BT120" s="73"/>
      <c r="BU120" s="73"/>
      <c r="BV120" s="73"/>
      <c r="BW120" s="73"/>
      <c r="BX120" s="73"/>
      <c r="BY120" s="73"/>
      <c r="BZ120" s="73"/>
      <c r="CA120" s="73"/>
      <c r="CB120" s="73"/>
      <c r="CC120" s="73"/>
      <c r="CD120" s="73"/>
      <c r="CE120" s="73"/>
      <c r="CF120" s="73"/>
      <c r="CG120" s="73"/>
      <c r="CH120" s="73"/>
      <c r="CI120" s="73"/>
      <c r="CJ120" s="73"/>
      <c r="CK120" s="73"/>
      <c r="CL120" s="73"/>
      <c r="CM120" s="73"/>
      <c r="CN120" s="73"/>
      <c r="CO120" s="73"/>
      <c r="CP120" s="96"/>
      <c r="CQ120" s="96"/>
      <c r="CR120" s="96"/>
      <c r="CS120" s="96"/>
      <c r="CT120" s="96"/>
      <c r="CU120" s="96"/>
      <c r="CV120" s="96"/>
      <c r="CW120" s="96"/>
      <c r="CX120" s="96"/>
      <c r="CY120" s="96"/>
      <c r="CZ120" s="96"/>
      <c r="DA120" s="96"/>
    </row>
    <row r="121" spans="2:105" ht="15.75" x14ac:dyDescent="0.25">
      <c r="B121" s="73"/>
      <c r="C121" s="73"/>
      <c r="D121" s="215">
        <f t="shared" si="7"/>
        <v>116</v>
      </c>
      <c r="E121" s="216">
        <f>[1]!PBGCLRF(65+D121/12)</f>
        <v>2.948</v>
      </c>
      <c r="F121" s="73"/>
      <c r="G121" s="73"/>
      <c r="H121" s="73"/>
      <c r="I121" s="73"/>
      <c r="J121" s="48">
        <v>117</v>
      </c>
      <c r="K121" s="49">
        <v>0.41499999999999998</v>
      </c>
      <c r="L121" s="73"/>
      <c r="M121" s="155">
        <v>117</v>
      </c>
      <c r="N121" s="49">
        <v>3.5632999999999999</v>
      </c>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c r="BL121" s="73"/>
      <c r="BM121" s="73"/>
      <c r="BN121" s="73"/>
      <c r="BO121" s="73"/>
      <c r="BP121" s="73"/>
      <c r="BQ121" s="73"/>
      <c r="BR121" s="73"/>
      <c r="BS121" s="73"/>
      <c r="BT121" s="73"/>
      <c r="BU121" s="73"/>
      <c r="BV121" s="73"/>
      <c r="BW121" s="73"/>
      <c r="BX121" s="73"/>
      <c r="BY121" s="73"/>
      <c r="BZ121" s="73"/>
      <c r="CA121" s="73"/>
      <c r="CB121" s="73"/>
      <c r="CC121" s="73"/>
      <c r="CD121" s="73"/>
      <c r="CE121" s="73"/>
      <c r="CF121" s="73"/>
      <c r="CG121" s="73"/>
      <c r="CH121" s="73"/>
      <c r="CI121" s="73"/>
      <c r="CJ121" s="73"/>
      <c r="CK121" s="73"/>
      <c r="CL121" s="73"/>
      <c r="CM121" s="73"/>
      <c r="CN121" s="73"/>
      <c r="CO121" s="73"/>
      <c r="CP121" s="96"/>
      <c r="CQ121" s="96"/>
      <c r="CR121" s="96"/>
      <c r="CS121" s="96"/>
      <c r="CT121" s="96"/>
      <c r="CU121" s="96"/>
      <c r="CV121" s="96"/>
      <c r="CW121" s="96"/>
      <c r="CX121" s="96"/>
      <c r="CY121" s="96"/>
      <c r="CZ121" s="96"/>
      <c r="DA121" s="96"/>
    </row>
    <row r="122" spans="2:105" ht="15.75" x14ac:dyDescent="0.25">
      <c r="B122" s="73"/>
      <c r="C122" s="73"/>
      <c r="D122" s="215">
        <f t="shared" si="7"/>
        <v>117</v>
      </c>
      <c r="E122" s="216">
        <f>[1]!PBGCLRF(65+D122/12)</f>
        <v>2.9710000000000001</v>
      </c>
      <c r="F122" s="73"/>
      <c r="G122" s="73"/>
      <c r="H122" s="73"/>
      <c r="I122" s="73"/>
      <c r="J122" s="48">
        <v>118</v>
      </c>
      <c r="K122" s="49">
        <v>0.41</v>
      </c>
      <c r="L122" s="73"/>
      <c r="M122" s="155">
        <v>118</v>
      </c>
      <c r="N122" s="49">
        <v>3.6063000000000001</v>
      </c>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c r="BL122" s="73"/>
      <c r="BM122" s="73"/>
      <c r="BN122" s="73"/>
      <c r="BO122" s="73"/>
      <c r="BP122" s="73"/>
      <c r="BQ122" s="73"/>
      <c r="BR122" s="73"/>
      <c r="BS122" s="73"/>
      <c r="BT122" s="73"/>
      <c r="BU122" s="73"/>
      <c r="BV122" s="73"/>
      <c r="BW122" s="73"/>
      <c r="BX122" s="73"/>
      <c r="BY122" s="73"/>
      <c r="BZ122" s="73"/>
      <c r="CA122" s="73"/>
      <c r="CB122" s="73"/>
      <c r="CC122" s="73"/>
      <c r="CD122" s="73"/>
      <c r="CE122" s="73"/>
      <c r="CF122" s="73"/>
      <c r="CG122" s="73"/>
      <c r="CH122" s="73"/>
      <c r="CI122" s="73"/>
      <c r="CJ122" s="73"/>
      <c r="CK122" s="73"/>
      <c r="CL122" s="73"/>
      <c r="CM122" s="73"/>
      <c r="CN122" s="73"/>
      <c r="CO122" s="73"/>
      <c r="CP122" s="96"/>
      <c r="CQ122" s="96"/>
      <c r="CR122" s="96"/>
      <c r="CS122" s="96"/>
      <c r="CT122" s="96"/>
      <c r="CU122" s="96"/>
      <c r="CV122" s="96"/>
      <c r="CW122" s="96"/>
      <c r="CX122" s="96"/>
      <c r="CY122" s="96"/>
      <c r="CZ122" s="96"/>
      <c r="DA122" s="96"/>
    </row>
    <row r="123" spans="2:105" ht="15.75" x14ac:dyDescent="0.25">
      <c r="B123" s="73"/>
      <c r="C123" s="73"/>
      <c r="D123" s="215">
        <f t="shared" si="7"/>
        <v>118</v>
      </c>
      <c r="E123" s="216">
        <f>[1]!PBGCLRF(65+D123/12)</f>
        <v>2.9940000000000002</v>
      </c>
      <c r="F123" s="73"/>
      <c r="G123" s="73"/>
      <c r="H123" s="73"/>
      <c r="I123" s="73"/>
      <c r="J123" s="48">
        <v>119</v>
      </c>
      <c r="K123" s="49">
        <v>0.40500000000000003</v>
      </c>
      <c r="L123" s="73"/>
      <c r="M123" s="155">
        <v>119</v>
      </c>
      <c r="N123" s="49">
        <v>3.6499000000000001</v>
      </c>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c r="BL123" s="73"/>
      <c r="BM123" s="73"/>
      <c r="BN123" s="73"/>
      <c r="BO123" s="73"/>
      <c r="BP123" s="73"/>
      <c r="BQ123" s="73"/>
      <c r="BR123" s="73"/>
      <c r="BS123" s="73"/>
      <c r="BT123" s="73"/>
      <c r="BU123" s="73"/>
      <c r="BV123" s="73"/>
      <c r="BW123" s="73"/>
      <c r="BX123" s="73"/>
      <c r="BY123" s="73"/>
      <c r="BZ123" s="73"/>
      <c r="CA123" s="73"/>
      <c r="CB123" s="73"/>
      <c r="CC123" s="73"/>
      <c r="CD123" s="73"/>
      <c r="CE123" s="73"/>
      <c r="CF123" s="73"/>
      <c r="CG123" s="73"/>
      <c r="CH123" s="73"/>
      <c r="CI123" s="73"/>
      <c r="CJ123" s="73"/>
      <c r="CK123" s="73"/>
      <c r="CL123" s="73"/>
      <c r="CM123" s="73"/>
      <c r="CN123" s="73"/>
      <c r="CO123" s="73"/>
      <c r="CP123" s="96"/>
      <c r="CQ123" s="96"/>
      <c r="CR123" s="96"/>
      <c r="CS123" s="96"/>
      <c r="CT123" s="96"/>
      <c r="CU123" s="96"/>
      <c r="CV123" s="96"/>
      <c r="CW123" s="96"/>
      <c r="CX123" s="96"/>
      <c r="CY123" s="96"/>
      <c r="CZ123" s="96"/>
      <c r="DA123" s="96"/>
    </row>
    <row r="124" spans="2:105" ht="16.5" thickBot="1" x14ac:dyDescent="0.3">
      <c r="B124" s="73"/>
      <c r="C124" s="73"/>
      <c r="D124" s="215">
        <f t="shared" si="7"/>
        <v>119</v>
      </c>
      <c r="E124" s="216">
        <f>[1]!PBGCLRF(65+D124/12)</f>
        <v>3.0169999999999999</v>
      </c>
      <c r="F124" s="73"/>
      <c r="G124" s="73"/>
      <c r="H124" s="73"/>
      <c r="I124" s="73"/>
      <c r="J124" s="50">
        <v>120</v>
      </c>
      <c r="K124" s="131">
        <v>0.4</v>
      </c>
      <c r="L124" s="73"/>
      <c r="M124" s="156">
        <v>120</v>
      </c>
      <c r="N124" s="131">
        <v>3.6941000000000002</v>
      </c>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c r="BL124" s="73"/>
      <c r="BM124" s="73"/>
      <c r="BN124" s="73"/>
      <c r="BO124" s="73"/>
      <c r="BP124" s="73"/>
      <c r="BQ124" s="73"/>
      <c r="BR124" s="73"/>
      <c r="BS124" s="73"/>
      <c r="BT124" s="73"/>
      <c r="BU124" s="73"/>
      <c r="BV124" s="73"/>
      <c r="BW124" s="73"/>
      <c r="BX124" s="73"/>
      <c r="BY124" s="73"/>
      <c r="BZ124" s="73"/>
      <c r="CA124" s="73"/>
      <c r="CB124" s="73"/>
      <c r="CC124" s="73"/>
      <c r="CD124" s="73"/>
      <c r="CE124" s="73"/>
      <c r="CF124" s="73"/>
      <c r="CG124" s="73"/>
      <c r="CH124" s="73"/>
      <c r="CI124" s="73"/>
      <c r="CJ124" s="73"/>
      <c r="CK124" s="73"/>
      <c r="CL124" s="73"/>
      <c r="CM124" s="73"/>
      <c r="CN124" s="73"/>
      <c r="CO124" s="73"/>
      <c r="CP124" s="96"/>
      <c r="CQ124" s="96"/>
      <c r="CR124" s="96"/>
      <c r="CS124" s="96"/>
      <c r="CT124" s="96"/>
      <c r="CU124" s="96"/>
      <c r="CV124" s="96"/>
      <c r="CW124" s="96"/>
      <c r="CX124" s="96"/>
      <c r="CY124" s="96"/>
      <c r="CZ124" s="96"/>
      <c r="DA124" s="96"/>
    </row>
    <row r="125" spans="2:105" ht="16.5" thickBot="1" x14ac:dyDescent="0.3">
      <c r="B125" s="73"/>
      <c r="C125" s="73"/>
      <c r="D125" s="217">
        <f t="shared" si="7"/>
        <v>120</v>
      </c>
      <c r="E125" s="218">
        <f>[1]!PBGCLRF(65+D125/12)</f>
        <v>3.04</v>
      </c>
      <c r="F125" s="73"/>
      <c r="G125" s="73"/>
      <c r="H125" s="73"/>
      <c r="I125" s="73"/>
      <c r="J125" s="73"/>
      <c r="K125" s="95"/>
      <c r="L125" s="95"/>
      <c r="M125" s="95"/>
      <c r="N125" s="95"/>
      <c r="O125" s="95"/>
      <c r="P125" s="95"/>
      <c r="Q125" s="95"/>
      <c r="R125" s="95"/>
      <c r="S125" s="95"/>
      <c r="T125" s="95"/>
      <c r="U125" s="95"/>
      <c r="V125" s="95"/>
      <c r="W125" s="95"/>
      <c r="X125" s="95"/>
      <c r="Y125" s="95"/>
      <c r="Z125" s="95"/>
      <c r="AA125" s="95"/>
      <c r="AB125" s="95"/>
      <c r="AC125" s="95"/>
      <c r="AD125" s="95"/>
      <c r="AE125" s="95"/>
      <c r="AF125" s="95"/>
      <c r="AG125" s="95"/>
      <c r="AH125" s="95"/>
      <c r="AI125" s="95"/>
      <c r="AJ125" s="95"/>
      <c r="AK125" s="95"/>
      <c r="AL125" s="95"/>
      <c r="AM125" s="95"/>
      <c r="AN125" s="95"/>
      <c r="AO125" s="95"/>
      <c r="AP125" s="95"/>
      <c r="AQ125" s="95"/>
      <c r="AR125" s="95"/>
      <c r="AS125" s="95"/>
      <c r="AT125" s="95"/>
      <c r="AU125" s="95"/>
      <c r="AV125" s="95"/>
      <c r="AW125" s="95"/>
      <c r="AX125" s="95"/>
      <c r="AY125" s="95"/>
      <c r="AZ125" s="95"/>
      <c r="BA125" s="95"/>
      <c r="BB125" s="95"/>
      <c r="BC125" s="95"/>
      <c r="BD125" s="95"/>
      <c r="BE125" s="95"/>
      <c r="BF125" s="95"/>
      <c r="BG125" s="95"/>
      <c r="BH125" s="95"/>
      <c r="BI125" s="95"/>
      <c r="BJ125" s="95"/>
      <c r="BK125" s="95"/>
      <c r="BL125" s="95"/>
      <c r="BM125" s="95"/>
      <c r="BN125" s="95"/>
      <c r="BO125" s="95"/>
      <c r="BP125" s="95"/>
      <c r="BQ125" s="95"/>
      <c r="BR125" s="95"/>
      <c r="BS125" s="95"/>
      <c r="BT125" s="95"/>
      <c r="BU125" s="95"/>
      <c r="BV125" s="95"/>
      <c r="BW125" s="95"/>
      <c r="BX125" s="95"/>
      <c r="BY125" s="95"/>
      <c r="BZ125" s="95"/>
      <c r="CA125" s="95"/>
      <c r="CB125" s="95"/>
      <c r="CC125" s="95"/>
      <c r="CD125" s="95"/>
      <c r="CE125" s="95"/>
      <c r="CF125" s="95"/>
      <c r="CG125" s="95"/>
      <c r="CH125" s="95"/>
      <c r="CI125" s="95"/>
      <c r="CJ125" s="95"/>
      <c r="CK125" s="95"/>
      <c r="CL125" s="95"/>
      <c r="CM125" s="95"/>
      <c r="CN125" s="95"/>
      <c r="CO125" s="95"/>
      <c r="CP125" s="96"/>
      <c r="CQ125" s="96"/>
      <c r="CR125" s="96"/>
      <c r="CS125" s="96"/>
      <c r="CT125" s="96"/>
      <c r="CU125" s="96"/>
      <c r="CV125" s="96"/>
      <c r="CW125" s="96"/>
      <c r="CX125" s="96"/>
      <c r="CY125" s="96"/>
      <c r="CZ125" s="96"/>
      <c r="DA125" s="96"/>
    </row>
    <row r="126" spans="2:105" ht="16.5" thickTop="1" x14ac:dyDescent="0.25">
      <c r="K126" s="95"/>
      <c r="L126" s="95"/>
      <c r="M126" s="95"/>
      <c r="N126" s="95"/>
      <c r="O126" s="95"/>
      <c r="P126" s="95"/>
      <c r="Q126" s="95"/>
      <c r="R126" s="95"/>
      <c r="S126" s="95"/>
      <c r="T126" s="95"/>
      <c r="U126" s="95"/>
      <c r="V126" s="95"/>
      <c r="W126" s="95"/>
      <c r="X126" s="95"/>
      <c r="Y126" s="95"/>
      <c r="Z126" s="95"/>
      <c r="AA126" s="95"/>
      <c r="AB126" s="95"/>
      <c r="AC126" s="95"/>
      <c r="AD126" s="95"/>
      <c r="AE126" s="95"/>
      <c r="AF126" s="95"/>
      <c r="AG126" s="95"/>
      <c r="AH126" s="95"/>
      <c r="AI126" s="95"/>
      <c r="AJ126" s="95"/>
      <c r="AK126" s="95"/>
      <c r="AL126" s="95"/>
      <c r="AM126" s="95"/>
      <c r="AN126" s="95"/>
      <c r="AO126" s="95"/>
      <c r="AP126" s="95"/>
      <c r="AQ126" s="95"/>
      <c r="AR126" s="95"/>
      <c r="AS126" s="95"/>
      <c r="AT126" s="95"/>
      <c r="AU126" s="95"/>
      <c r="AV126" s="95"/>
      <c r="AW126" s="95"/>
      <c r="AX126" s="95"/>
      <c r="AY126" s="95"/>
      <c r="AZ126" s="95"/>
      <c r="BA126" s="95"/>
      <c r="BB126" s="95"/>
      <c r="BC126" s="95"/>
      <c r="BD126" s="95"/>
      <c r="BE126" s="95"/>
      <c r="BF126" s="95"/>
      <c r="BG126" s="95"/>
      <c r="BH126" s="95"/>
      <c r="BI126" s="95"/>
      <c r="BJ126" s="95"/>
      <c r="BK126" s="95"/>
      <c r="BL126" s="95"/>
      <c r="BM126" s="95"/>
      <c r="BN126" s="95"/>
      <c r="BO126" s="95"/>
      <c r="BP126" s="95"/>
      <c r="BQ126" s="95"/>
      <c r="BR126" s="95"/>
      <c r="BS126" s="95"/>
      <c r="BT126" s="95"/>
      <c r="BU126" s="95"/>
      <c r="BV126" s="95"/>
      <c r="BW126" s="95"/>
      <c r="BX126" s="95"/>
      <c r="BY126" s="95"/>
      <c r="BZ126" s="95"/>
      <c r="CA126" s="95"/>
      <c r="CB126" s="95"/>
      <c r="CC126" s="95"/>
      <c r="CD126" s="95"/>
      <c r="CE126" s="95"/>
      <c r="CF126" s="95"/>
      <c r="CG126" s="95"/>
      <c r="CH126" s="95"/>
      <c r="CI126" s="95"/>
      <c r="CJ126" s="95"/>
      <c r="CK126" s="95"/>
      <c r="CL126" s="95"/>
      <c r="CM126" s="95"/>
      <c r="CN126" s="95"/>
      <c r="CO126" s="95"/>
      <c r="CP126" s="96"/>
      <c r="CQ126" s="96"/>
      <c r="CR126" s="96"/>
      <c r="CS126" s="96"/>
      <c r="CT126" s="96"/>
      <c r="CU126" s="96"/>
      <c r="CV126" s="96"/>
      <c r="CW126" s="96"/>
      <c r="CX126" s="96"/>
      <c r="CY126" s="96"/>
      <c r="CZ126" s="96"/>
      <c r="DA126" s="96"/>
    </row>
    <row r="127" spans="2:105" ht="15.75" x14ac:dyDescent="0.25">
      <c r="K127" s="95"/>
      <c r="L127" s="95"/>
      <c r="M127" s="95"/>
      <c r="N127" s="95"/>
      <c r="O127" s="95"/>
      <c r="P127" s="95"/>
      <c r="Q127" s="95"/>
      <c r="R127" s="95"/>
      <c r="S127" s="95"/>
      <c r="T127" s="95"/>
      <c r="U127" s="95"/>
      <c r="V127" s="95"/>
      <c r="W127" s="95"/>
      <c r="X127" s="95"/>
      <c r="Y127" s="95"/>
      <c r="Z127" s="95"/>
      <c r="AA127" s="95"/>
      <c r="AB127" s="95"/>
      <c r="AC127" s="95"/>
      <c r="AD127" s="95"/>
      <c r="AE127" s="95"/>
      <c r="AF127" s="95"/>
      <c r="AG127" s="95"/>
      <c r="AH127" s="95"/>
      <c r="AI127" s="95"/>
      <c r="AJ127" s="95"/>
      <c r="AK127" s="95"/>
      <c r="AL127" s="95"/>
      <c r="AM127" s="95"/>
      <c r="AN127" s="95"/>
      <c r="AO127" s="95"/>
      <c r="AP127" s="95"/>
      <c r="AQ127" s="95"/>
      <c r="AR127" s="95"/>
      <c r="AS127" s="95"/>
      <c r="AT127" s="95"/>
      <c r="AU127" s="95"/>
      <c r="AV127" s="95"/>
      <c r="AW127" s="95"/>
      <c r="AX127" s="95"/>
      <c r="AY127" s="95"/>
      <c r="AZ127" s="95"/>
      <c r="BA127" s="95"/>
      <c r="BB127" s="95"/>
      <c r="BC127" s="95"/>
      <c r="BD127" s="95"/>
      <c r="BE127" s="95"/>
      <c r="BF127" s="95"/>
      <c r="BG127" s="95"/>
      <c r="BH127" s="95"/>
      <c r="BI127" s="95"/>
      <c r="BJ127" s="95"/>
      <c r="BK127" s="95"/>
      <c r="BL127" s="95"/>
      <c r="BM127" s="95"/>
      <c r="BN127" s="95"/>
      <c r="BO127" s="95"/>
      <c r="BP127" s="95"/>
      <c r="BQ127" s="95"/>
      <c r="BR127" s="95"/>
      <c r="BS127" s="95"/>
      <c r="BT127" s="95"/>
      <c r="BU127" s="95"/>
      <c r="BV127" s="95"/>
      <c r="BW127" s="95"/>
      <c r="BX127" s="95"/>
      <c r="BY127" s="95"/>
      <c r="BZ127" s="95"/>
      <c r="CA127" s="95"/>
      <c r="CB127" s="95"/>
      <c r="CC127" s="95"/>
      <c r="CD127" s="95"/>
      <c r="CE127" s="95"/>
      <c r="CF127" s="95"/>
      <c r="CG127" s="95"/>
      <c r="CH127" s="95"/>
      <c r="CI127" s="95"/>
      <c r="CJ127" s="95"/>
      <c r="CK127" s="95"/>
      <c r="CL127" s="95"/>
      <c r="CM127" s="95"/>
      <c r="CN127" s="95"/>
      <c r="CO127" s="95"/>
      <c r="CP127" s="96"/>
      <c r="CQ127" s="96"/>
      <c r="CR127" s="96"/>
      <c r="CS127" s="96"/>
      <c r="CT127" s="96"/>
      <c r="CU127" s="96"/>
      <c r="CV127" s="96"/>
      <c r="CW127" s="96"/>
      <c r="CX127" s="96"/>
      <c r="CY127" s="96"/>
      <c r="CZ127" s="96"/>
      <c r="DA127" s="96"/>
    </row>
    <row r="128" spans="2:105" ht="15.75" x14ac:dyDescent="0.25">
      <c r="K128" s="95"/>
      <c r="L128" s="95"/>
      <c r="M128" s="95"/>
      <c r="N128" s="95"/>
      <c r="O128" s="95"/>
      <c r="P128" s="95"/>
      <c r="Q128" s="95"/>
      <c r="R128" s="95"/>
      <c r="S128" s="95"/>
      <c r="T128" s="95"/>
      <c r="U128" s="95"/>
      <c r="V128" s="95"/>
      <c r="W128" s="95"/>
      <c r="X128" s="95"/>
      <c r="Y128" s="95"/>
      <c r="Z128" s="95"/>
      <c r="AA128" s="95"/>
      <c r="AB128" s="95"/>
      <c r="AC128" s="95"/>
      <c r="AD128" s="95"/>
      <c r="AE128" s="95"/>
      <c r="AF128" s="95"/>
      <c r="AG128" s="95"/>
      <c r="AH128" s="95"/>
      <c r="AI128" s="95"/>
      <c r="AJ128" s="95"/>
      <c r="AK128" s="95"/>
      <c r="AL128" s="95"/>
      <c r="AM128" s="95"/>
      <c r="AN128" s="95"/>
      <c r="AO128" s="95"/>
      <c r="AP128" s="95"/>
      <c r="AQ128" s="95"/>
      <c r="AR128" s="95"/>
      <c r="AS128" s="95"/>
      <c r="AT128" s="95"/>
      <c r="AU128" s="95"/>
      <c r="AV128" s="95"/>
      <c r="AW128" s="95"/>
      <c r="AX128" s="95"/>
      <c r="AY128" s="95"/>
      <c r="AZ128" s="95"/>
      <c r="BA128" s="95"/>
      <c r="BB128" s="95"/>
      <c r="BC128" s="95"/>
      <c r="BD128" s="95"/>
      <c r="BE128" s="95"/>
      <c r="BF128" s="95"/>
      <c r="BG128" s="95"/>
      <c r="BH128" s="95"/>
      <c r="BI128" s="95"/>
      <c r="BJ128" s="95"/>
      <c r="BK128" s="95"/>
      <c r="BL128" s="95"/>
      <c r="BM128" s="95"/>
      <c r="BN128" s="95"/>
      <c r="BO128" s="95"/>
      <c r="BP128" s="95"/>
      <c r="BQ128" s="95"/>
      <c r="BR128" s="95"/>
      <c r="BS128" s="95"/>
      <c r="BT128" s="95"/>
      <c r="BU128" s="95"/>
      <c r="BV128" s="95"/>
      <c r="BW128" s="95"/>
      <c r="BX128" s="95"/>
      <c r="BY128" s="95"/>
      <c r="BZ128" s="95"/>
      <c r="CA128" s="95"/>
      <c r="CB128" s="95"/>
      <c r="CC128" s="95"/>
      <c r="CD128" s="95"/>
      <c r="CE128" s="95"/>
      <c r="CF128" s="95"/>
      <c r="CG128" s="95"/>
      <c r="CH128" s="95"/>
      <c r="CI128" s="95"/>
      <c r="CJ128" s="95"/>
      <c r="CK128" s="95"/>
      <c r="CL128" s="95"/>
      <c r="CM128" s="95"/>
      <c r="CN128" s="95"/>
      <c r="CO128" s="95"/>
      <c r="CP128" s="96"/>
      <c r="CQ128" s="96"/>
      <c r="CR128" s="96"/>
      <c r="CS128" s="96"/>
      <c r="CT128" s="96"/>
      <c r="CU128" s="96"/>
      <c r="CV128" s="96"/>
      <c r="CW128" s="96"/>
      <c r="CX128" s="96"/>
      <c r="CY128" s="96"/>
      <c r="CZ128" s="96"/>
      <c r="DA128" s="96"/>
    </row>
    <row r="129" spans="1:105" ht="15.75" x14ac:dyDescent="0.25">
      <c r="K129" s="95"/>
      <c r="L129" s="95"/>
      <c r="M129" s="95"/>
      <c r="N129" s="95"/>
      <c r="O129" s="95"/>
      <c r="P129" s="95"/>
      <c r="Q129" s="95"/>
      <c r="R129" s="95"/>
      <c r="S129" s="95"/>
      <c r="T129" s="95"/>
      <c r="U129" s="95"/>
      <c r="V129" s="95"/>
      <c r="W129" s="95"/>
      <c r="X129" s="95"/>
      <c r="Y129" s="95"/>
      <c r="Z129" s="95"/>
      <c r="AA129" s="95"/>
      <c r="AB129" s="95"/>
      <c r="AC129" s="95"/>
      <c r="AD129" s="95"/>
      <c r="AE129" s="95"/>
      <c r="AF129" s="95"/>
      <c r="AG129" s="95"/>
      <c r="AH129" s="95"/>
      <c r="AI129" s="95"/>
      <c r="AJ129" s="95"/>
      <c r="AK129" s="95"/>
      <c r="AL129" s="95"/>
      <c r="AM129" s="95"/>
      <c r="AN129" s="95"/>
      <c r="AO129" s="95"/>
      <c r="AP129" s="95"/>
      <c r="AQ129" s="95"/>
      <c r="AR129" s="95"/>
      <c r="AS129" s="95"/>
      <c r="AT129" s="95"/>
      <c r="AU129" s="95"/>
      <c r="AV129" s="95"/>
      <c r="AW129" s="95"/>
      <c r="AX129" s="95"/>
      <c r="AY129" s="95"/>
      <c r="AZ129" s="95"/>
      <c r="BA129" s="95"/>
      <c r="BB129" s="95"/>
      <c r="BC129" s="95"/>
      <c r="BD129" s="95"/>
      <c r="BE129" s="95"/>
      <c r="BF129" s="95"/>
      <c r="BG129" s="95"/>
      <c r="BH129" s="95"/>
      <c r="BI129" s="95"/>
      <c r="BJ129" s="95"/>
      <c r="BK129" s="95"/>
      <c r="BL129" s="95"/>
      <c r="BM129" s="95"/>
      <c r="BN129" s="95"/>
      <c r="BO129" s="95"/>
      <c r="BP129" s="95"/>
      <c r="BQ129" s="95"/>
      <c r="BR129" s="95"/>
      <c r="BS129" s="95"/>
      <c r="BT129" s="95"/>
      <c r="BU129" s="95"/>
      <c r="BV129" s="95"/>
      <c r="BW129" s="95"/>
      <c r="BX129" s="95"/>
      <c r="BY129" s="95"/>
      <c r="BZ129" s="95"/>
      <c r="CA129" s="95"/>
      <c r="CB129" s="95"/>
      <c r="CC129" s="95"/>
      <c r="CD129" s="95"/>
      <c r="CE129" s="95"/>
      <c r="CF129" s="95"/>
      <c r="CG129" s="95"/>
      <c r="CH129" s="95"/>
      <c r="CI129" s="95"/>
      <c r="CJ129" s="95"/>
      <c r="CK129" s="95"/>
      <c r="CL129" s="95"/>
      <c r="CM129" s="95"/>
      <c r="CN129" s="95"/>
      <c r="CO129" s="95"/>
      <c r="CP129" s="96"/>
      <c r="CQ129" s="96"/>
      <c r="CR129" s="96"/>
      <c r="CS129" s="96"/>
      <c r="CT129" s="96"/>
      <c r="CU129" s="96"/>
      <c r="CV129" s="96"/>
      <c r="CW129" s="96"/>
      <c r="CX129" s="96"/>
      <c r="CY129" s="96"/>
      <c r="CZ129" s="96"/>
      <c r="DA129" s="96"/>
    </row>
    <row r="130" spans="1:105" ht="15.75" x14ac:dyDescent="0.25">
      <c r="K130" s="95"/>
      <c r="L130" s="95"/>
      <c r="M130" s="95"/>
      <c r="N130" s="95"/>
      <c r="O130" s="95"/>
      <c r="P130" s="95"/>
      <c r="Q130" s="95"/>
      <c r="R130" s="95"/>
      <c r="S130" s="95"/>
      <c r="T130" s="95"/>
      <c r="U130" s="95"/>
      <c r="V130" s="95"/>
      <c r="W130" s="95"/>
      <c r="X130" s="95"/>
      <c r="Y130" s="95"/>
      <c r="Z130" s="95"/>
      <c r="AA130" s="95"/>
      <c r="AB130" s="95"/>
      <c r="AC130" s="95"/>
      <c r="AD130" s="95"/>
      <c r="AE130" s="95"/>
      <c r="AF130" s="95"/>
      <c r="AG130" s="95"/>
      <c r="AH130" s="95"/>
      <c r="AI130" s="95"/>
      <c r="AJ130" s="95"/>
      <c r="AK130" s="95"/>
      <c r="AL130" s="95"/>
      <c r="AM130" s="95"/>
      <c r="AN130" s="95"/>
      <c r="AO130" s="95"/>
      <c r="AP130" s="95"/>
      <c r="AQ130" s="95"/>
      <c r="AR130" s="95"/>
      <c r="AS130" s="95"/>
      <c r="AT130" s="95"/>
      <c r="AU130" s="95"/>
      <c r="AV130" s="95"/>
      <c r="AW130" s="95"/>
      <c r="AX130" s="95"/>
      <c r="AY130" s="95"/>
      <c r="AZ130" s="95"/>
      <c r="BA130" s="95"/>
      <c r="BB130" s="95"/>
      <c r="BC130" s="95"/>
      <c r="BD130" s="95"/>
      <c r="BE130" s="95"/>
      <c r="BF130" s="95"/>
      <c r="BG130" s="95"/>
      <c r="BH130" s="95"/>
      <c r="BI130" s="95"/>
      <c r="BJ130" s="95"/>
      <c r="BK130" s="95"/>
      <c r="BL130" s="95"/>
      <c r="BM130" s="95"/>
      <c r="BN130" s="95"/>
      <c r="BO130" s="95"/>
      <c r="BP130" s="95"/>
      <c r="BQ130" s="95"/>
      <c r="BR130" s="95"/>
      <c r="BS130" s="95"/>
      <c r="BT130" s="95"/>
      <c r="BU130" s="95"/>
      <c r="BV130" s="95"/>
      <c r="BW130" s="95"/>
      <c r="BX130" s="95"/>
      <c r="BY130" s="95"/>
      <c r="BZ130" s="95"/>
      <c r="CA130" s="95"/>
      <c r="CB130" s="95"/>
      <c r="CC130" s="95"/>
      <c r="CD130" s="95"/>
      <c r="CE130" s="95"/>
      <c r="CF130" s="95"/>
      <c r="CG130" s="95"/>
      <c r="CH130" s="95"/>
      <c r="CI130" s="95"/>
      <c r="CJ130" s="95"/>
      <c r="CK130" s="95"/>
      <c r="CL130" s="95"/>
      <c r="CM130" s="95"/>
      <c r="CN130" s="95"/>
      <c r="CO130" s="95"/>
      <c r="CP130" s="96"/>
      <c r="CQ130" s="96"/>
      <c r="CR130" s="96"/>
      <c r="CS130" s="96"/>
      <c r="CT130" s="96"/>
      <c r="CU130" s="96"/>
      <c r="CV130" s="96"/>
      <c r="CW130" s="96"/>
      <c r="CX130" s="96"/>
      <c r="CY130" s="96"/>
      <c r="CZ130" s="96"/>
      <c r="DA130" s="96"/>
    </row>
    <row r="131" spans="1:105" ht="15.75" x14ac:dyDescent="0.25">
      <c r="K131" s="95"/>
      <c r="L131" s="95"/>
      <c r="M131" s="95"/>
      <c r="N131" s="95"/>
      <c r="O131" s="95"/>
      <c r="P131" s="95"/>
      <c r="Q131" s="95"/>
      <c r="R131" s="95"/>
      <c r="S131" s="95"/>
      <c r="T131" s="95"/>
      <c r="U131" s="95"/>
      <c r="V131" s="95"/>
      <c r="W131" s="95"/>
      <c r="X131" s="95"/>
      <c r="Y131" s="95"/>
      <c r="Z131" s="95"/>
      <c r="AA131" s="95"/>
      <c r="AB131" s="95"/>
      <c r="AC131" s="95"/>
      <c r="AD131" s="95"/>
      <c r="AE131" s="95"/>
      <c r="AF131" s="95"/>
      <c r="AG131" s="95"/>
      <c r="AH131" s="95"/>
      <c r="AI131" s="95"/>
      <c r="AJ131" s="95"/>
      <c r="AK131" s="95"/>
      <c r="AL131" s="95"/>
      <c r="AM131" s="95"/>
      <c r="AN131" s="95"/>
      <c r="AO131" s="95"/>
      <c r="AP131" s="95"/>
      <c r="AQ131" s="95"/>
      <c r="AR131" s="95"/>
      <c r="AS131" s="95"/>
      <c r="AT131" s="95"/>
      <c r="AU131" s="95"/>
      <c r="AV131" s="95"/>
      <c r="AW131" s="95"/>
      <c r="AX131" s="95"/>
      <c r="AY131" s="95"/>
      <c r="AZ131" s="95"/>
      <c r="BA131" s="95"/>
      <c r="BB131" s="95"/>
      <c r="BC131" s="95"/>
      <c r="BD131" s="95"/>
      <c r="BE131" s="95"/>
      <c r="BF131" s="95"/>
      <c r="BG131" s="95"/>
      <c r="BH131" s="95"/>
      <c r="BI131" s="95"/>
      <c r="BJ131" s="95"/>
      <c r="BK131" s="95"/>
      <c r="BL131" s="95"/>
      <c r="BM131" s="95"/>
      <c r="BN131" s="95"/>
      <c r="BO131" s="95"/>
      <c r="BP131" s="95"/>
      <c r="BQ131" s="95"/>
      <c r="BR131" s="95"/>
      <c r="BS131" s="95"/>
      <c r="BT131" s="95"/>
      <c r="BU131" s="95"/>
      <c r="BV131" s="95"/>
      <c r="BW131" s="95"/>
      <c r="BX131" s="95"/>
      <c r="BY131" s="95"/>
      <c r="BZ131" s="95"/>
      <c r="CA131" s="95"/>
      <c r="CB131" s="95"/>
      <c r="CC131" s="95"/>
      <c r="CD131" s="95"/>
      <c r="CE131" s="95"/>
      <c r="CF131" s="95"/>
      <c r="CG131" s="95"/>
      <c r="CH131" s="95"/>
      <c r="CI131" s="95"/>
      <c r="CJ131" s="95"/>
      <c r="CK131" s="95"/>
      <c r="CL131" s="95"/>
      <c r="CM131" s="95"/>
      <c r="CN131" s="95"/>
      <c r="CO131" s="95"/>
      <c r="CP131" s="96"/>
      <c r="CQ131" s="96"/>
      <c r="CR131" s="96"/>
      <c r="CS131" s="96"/>
      <c r="CT131" s="96"/>
      <c r="CU131" s="96"/>
      <c r="CV131" s="96"/>
      <c r="CW131" s="96"/>
      <c r="CX131" s="96"/>
      <c r="CY131" s="96"/>
      <c r="CZ131" s="96"/>
      <c r="DA131" s="96"/>
    </row>
    <row r="132" spans="1:105" ht="15.75" x14ac:dyDescent="0.25">
      <c r="K132" s="95"/>
      <c r="L132" s="95"/>
      <c r="M132" s="95"/>
      <c r="N132" s="95"/>
      <c r="O132" s="95"/>
      <c r="P132" s="95"/>
      <c r="Q132" s="95"/>
      <c r="R132" s="95"/>
      <c r="S132" s="95"/>
      <c r="T132" s="95"/>
      <c r="U132" s="95"/>
      <c r="V132" s="95"/>
      <c r="W132" s="95"/>
      <c r="X132" s="95"/>
      <c r="Y132" s="95"/>
      <c r="Z132" s="95"/>
      <c r="AA132" s="95"/>
      <c r="AB132" s="95"/>
      <c r="AC132" s="95"/>
      <c r="AD132" s="95"/>
      <c r="AE132" s="95"/>
      <c r="AF132" s="95"/>
      <c r="AG132" s="95"/>
      <c r="AH132" s="95"/>
      <c r="AI132" s="95"/>
      <c r="AJ132" s="95"/>
      <c r="AK132" s="95"/>
      <c r="AL132" s="95"/>
      <c r="AM132" s="95"/>
      <c r="AN132" s="95"/>
      <c r="AO132" s="95"/>
      <c r="AP132" s="95"/>
      <c r="AQ132" s="95"/>
      <c r="AR132" s="95"/>
      <c r="AS132" s="95"/>
      <c r="AT132" s="95"/>
      <c r="AU132" s="95"/>
      <c r="AV132" s="95"/>
      <c r="AW132" s="95"/>
      <c r="AX132" s="95"/>
      <c r="AY132" s="95"/>
      <c r="AZ132" s="95"/>
      <c r="BA132" s="95"/>
      <c r="BB132" s="95"/>
      <c r="BC132" s="95"/>
      <c r="BD132" s="95"/>
      <c r="BE132" s="95"/>
      <c r="BF132" s="95"/>
      <c r="BG132" s="95"/>
      <c r="BH132" s="95"/>
      <c r="BI132" s="95"/>
      <c r="BJ132" s="95"/>
      <c r="BK132" s="95"/>
      <c r="BL132" s="95"/>
      <c r="BM132" s="95"/>
      <c r="BN132" s="95"/>
      <c r="BO132" s="95"/>
      <c r="BP132" s="95"/>
      <c r="BQ132" s="95"/>
      <c r="BR132" s="95"/>
      <c r="BS132" s="95"/>
      <c r="BT132" s="95"/>
      <c r="BU132" s="95"/>
      <c r="BV132" s="95"/>
      <c r="BW132" s="95"/>
      <c r="BX132" s="95"/>
      <c r="BY132" s="95"/>
      <c r="BZ132" s="95"/>
      <c r="CA132" s="95"/>
      <c r="CB132" s="95"/>
      <c r="CC132" s="95"/>
      <c r="CD132" s="95"/>
      <c r="CE132" s="95"/>
      <c r="CF132" s="95"/>
      <c r="CG132" s="95"/>
      <c r="CH132" s="95"/>
      <c r="CI132" s="95"/>
      <c r="CJ132" s="95"/>
      <c r="CK132" s="95"/>
      <c r="CL132" s="95"/>
      <c r="CM132" s="95"/>
      <c r="CN132" s="95"/>
      <c r="CO132" s="95"/>
      <c r="CP132" s="96"/>
      <c r="CQ132" s="96"/>
      <c r="CR132" s="96"/>
      <c r="CS132" s="96"/>
      <c r="CT132" s="96"/>
      <c r="CU132" s="96"/>
      <c r="CV132" s="96"/>
      <c r="CW132" s="96"/>
      <c r="CX132" s="96"/>
      <c r="CY132" s="96"/>
      <c r="CZ132" s="96"/>
      <c r="DA132" s="96"/>
    </row>
    <row r="133" spans="1:105" ht="15.75" x14ac:dyDescent="0.25">
      <c r="K133" s="95"/>
      <c r="L133" s="95"/>
      <c r="M133" s="95"/>
      <c r="N133" s="95"/>
      <c r="O133" s="95"/>
      <c r="P133" s="95"/>
      <c r="Q133" s="95"/>
      <c r="R133" s="95"/>
      <c r="S133" s="95"/>
      <c r="T133" s="95"/>
      <c r="U133" s="95"/>
      <c r="V133" s="95"/>
      <c r="W133" s="95"/>
      <c r="X133" s="95"/>
      <c r="Y133" s="95"/>
      <c r="Z133" s="95"/>
      <c r="AA133" s="95"/>
      <c r="AB133" s="95"/>
      <c r="AC133" s="95"/>
      <c r="AD133" s="95"/>
      <c r="AE133" s="95"/>
      <c r="AF133" s="95"/>
      <c r="AG133" s="95"/>
      <c r="AH133" s="95"/>
      <c r="AI133" s="95"/>
      <c r="AJ133" s="95"/>
      <c r="AK133" s="95"/>
      <c r="AL133" s="95"/>
      <c r="AM133" s="95"/>
      <c r="AN133" s="95"/>
      <c r="AO133" s="95"/>
      <c r="AP133" s="95"/>
      <c r="AQ133" s="95"/>
      <c r="AR133" s="95"/>
      <c r="AS133" s="95"/>
      <c r="AT133" s="95"/>
      <c r="AU133" s="95"/>
      <c r="AV133" s="95"/>
      <c r="AW133" s="95"/>
      <c r="AX133" s="95"/>
      <c r="AY133" s="95"/>
      <c r="AZ133" s="95"/>
      <c r="BA133" s="95"/>
      <c r="BB133" s="95"/>
      <c r="BC133" s="95"/>
      <c r="BD133" s="95"/>
      <c r="BE133" s="95"/>
      <c r="BF133" s="95"/>
      <c r="BG133" s="95"/>
      <c r="BH133" s="95"/>
      <c r="BI133" s="95"/>
      <c r="BJ133" s="95"/>
      <c r="BK133" s="95"/>
      <c r="BL133" s="95"/>
      <c r="BM133" s="95"/>
      <c r="BN133" s="95"/>
      <c r="BO133" s="95"/>
      <c r="BP133" s="95"/>
      <c r="BQ133" s="95"/>
      <c r="BR133" s="95"/>
      <c r="BS133" s="95"/>
      <c r="BT133" s="95"/>
      <c r="BU133" s="95"/>
      <c r="BV133" s="95"/>
      <c r="BW133" s="95"/>
      <c r="BX133" s="95"/>
      <c r="BY133" s="95"/>
      <c r="BZ133" s="95"/>
      <c r="CA133" s="95"/>
      <c r="CB133" s="95"/>
      <c r="CC133" s="95"/>
      <c r="CD133" s="95"/>
      <c r="CE133" s="95"/>
      <c r="CF133" s="95"/>
      <c r="CG133" s="95"/>
      <c r="CH133" s="95"/>
      <c r="CI133" s="95"/>
      <c r="CJ133" s="95"/>
      <c r="CK133" s="95"/>
      <c r="CL133" s="95"/>
      <c r="CM133" s="95"/>
      <c r="CN133" s="95"/>
      <c r="CO133" s="95"/>
      <c r="CP133" s="96"/>
      <c r="CQ133" s="96"/>
      <c r="CR133" s="96"/>
      <c r="CS133" s="96"/>
      <c r="CT133" s="96"/>
      <c r="CU133" s="96"/>
      <c r="CV133" s="96"/>
      <c r="CW133" s="96"/>
      <c r="CX133" s="96"/>
      <c r="CY133" s="96"/>
      <c r="CZ133" s="96"/>
      <c r="DA133" s="96"/>
    </row>
    <row r="136" spans="1:105" x14ac:dyDescent="0.2">
      <c r="A136">
        <v>1</v>
      </c>
      <c r="B136" t="s">
        <v>240</v>
      </c>
      <c r="I136">
        <v>2</v>
      </c>
    </row>
    <row r="137" spans="1:105" x14ac:dyDescent="0.2">
      <c r="R137">
        <v>3</v>
      </c>
    </row>
    <row r="138" spans="1:105" x14ac:dyDescent="0.2">
      <c r="Z138">
        <v>4</v>
      </c>
      <c r="AH138">
        <v>5</v>
      </c>
    </row>
    <row r="139" spans="1:105" x14ac:dyDescent="0.2">
      <c r="R139" t="s">
        <v>734</v>
      </c>
      <c r="Z139" t="s">
        <v>734</v>
      </c>
    </row>
    <row r="140" spans="1:105" x14ac:dyDescent="0.2">
      <c r="A140" t="s">
        <v>733</v>
      </c>
      <c r="B140">
        <v>7.0000000000000007E-2</v>
      </c>
      <c r="C140">
        <v>999</v>
      </c>
      <c r="E140" s="73">
        <v>57</v>
      </c>
      <c r="F140" s="73">
        <f>[1]!NPVF("Mp","SLA","N",B140:C140,"M",E140,E140,0,0,0,0,A140,A140,"P","","")</f>
        <v>11.621189877352604</v>
      </c>
      <c r="I140" t="s">
        <v>735</v>
      </c>
      <c r="J140">
        <v>7.4999999999999997E-2</v>
      </c>
      <c r="K140">
        <v>999</v>
      </c>
      <c r="M140" s="73">
        <v>57</v>
      </c>
      <c r="N140" s="73">
        <f>[1]!NPVF("Mp","SLA","N",J140:K140,"M",M140,M140,0,0,0,0,I140,I140,"P","","")</f>
        <v>10.040378865312594</v>
      </c>
      <c r="R140" t="s">
        <v>749</v>
      </c>
      <c r="S140">
        <v>7.0000000000000007E-2</v>
      </c>
      <c r="T140">
        <v>999</v>
      </c>
      <c r="V140" s="73">
        <v>57</v>
      </c>
      <c r="W140" s="73">
        <f>[1]!NPVF("Mp","SLA","N",S140:T140,"M",V140,V140,0,0,0,0,R140,R140,"P","","")</f>
        <v>11.480151809972915</v>
      </c>
      <c r="Z140" t="s">
        <v>749</v>
      </c>
      <c r="AA140">
        <v>7.0000000000000007E-2</v>
      </c>
      <c r="AB140">
        <v>999</v>
      </c>
      <c r="AD140" s="73">
        <v>57</v>
      </c>
      <c r="AE140" s="73">
        <f>[1]!NPVF("Mp","SLA","N",AA140:AB140,"M",AD140,AD140,0,0,0,0,Z140,Z140,"P","","")</f>
        <v>11.480151809972915</v>
      </c>
      <c r="AH140" t="s">
        <v>735</v>
      </c>
      <c r="AI140">
        <v>7.4999999999999997E-2</v>
      </c>
      <c r="AJ140">
        <v>999</v>
      </c>
      <c r="AL140" s="73">
        <v>57</v>
      </c>
      <c r="AM140" s="73">
        <f>[1]!NPVF("Mp","SLA","N",AI140:AJ140,"M",AL140,AL140,0,0,0,0,AH140,AH140,"P","","")</f>
        <v>10.040378865312594</v>
      </c>
      <c r="AP140" s="323"/>
    </row>
    <row r="141" spans="1:105" x14ac:dyDescent="0.2">
      <c r="D141">
        <v>1</v>
      </c>
      <c r="E141" s="73">
        <f>ROUND((E140+D141/12),4)</f>
        <v>57.083300000000001</v>
      </c>
      <c r="F141" s="73">
        <f>ROUND(F140-D141*(F140-F152)/12,4)</f>
        <v>11.6066</v>
      </c>
      <c r="L141">
        <v>1</v>
      </c>
      <c r="M141" s="73">
        <f>ROUND((M140+L141/12),4)</f>
        <v>57.083300000000001</v>
      </c>
      <c r="N141" s="73">
        <f>ROUND(N140-L141*(N140-N152)/12,4)</f>
        <v>10.025</v>
      </c>
      <c r="U141">
        <v>1</v>
      </c>
      <c r="V141" s="73">
        <f>ROUND((V140+U141/12),4)</f>
        <v>57.083300000000001</v>
      </c>
      <c r="W141" s="73">
        <f>ROUND(W140-U141*(W140-W152)/12,4)</f>
        <v>11.4656</v>
      </c>
      <c r="AC141">
        <v>1</v>
      </c>
      <c r="AD141" s="73">
        <f>ROUND((AD140+AC141/12),4)</f>
        <v>57.083300000000001</v>
      </c>
      <c r="AE141" s="73">
        <f>ROUND(AE140-AC141*(AE140-AE152)/12,4)</f>
        <v>11.4656</v>
      </c>
      <c r="AK141">
        <v>1</v>
      </c>
      <c r="AL141" s="73">
        <f>ROUND((AL140+AK141/12),4)</f>
        <v>57.083300000000001</v>
      </c>
      <c r="AM141" s="73">
        <f>ROUND(AM140-AK141*(AM140-AM152)/12,4)</f>
        <v>10.025</v>
      </c>
    </row>
    <row r="142" spans="1:105" x14ac:dyDescent="0.2">
      <c r="A142" t="s">
        <v>40</v>
      </c>
      <c r="B142">
        <v>57</v>
      </c>
      <c r="D142">
        <v>2</v>
      </c>
      <c r="E142" s="73">
        <f>ROUND(E140+D142/12,4)</f>
        <v>57.166699999999999</v>
      </c>
      <c r="F142" s="73">
        <f>ROUND(F140-D142*(F140-F152)/12,4)</f>
        <v>11.592000000000001</v>
      </c>
      <c r="I142" t="s">
        <v>40</v>
      </c>
      <c r="J142">
        <v>57</v>
      </c>
      <c r="L142">
        <v>2</v>
      </c>
      <c r="M142" s="73">
        <f>ROUND(M140+L142/12,4)</f>
        <v>57.166699999999999</v>
      </c>
      <c r="N142" s="73">
        <f>ROUND(N140-L142*(N140-N152)/12,4)</f>
        <v>10.0097</v>
      </c>
      <c r="R142" t="s">
        <v>40</v>
      </c>
      <c r="S142">
        <v>57</v>
      </c>
      <c r="U142">
        <v>2</v>
      </c>
      <c r="V142" s="73">
        <f>ROUND(V140+U142/12,4)</f>
        <v>57.166699999999999</v>
      </c>
      <c r="W142" s="73">
        <f>ROUND(W140-U142*(W140-W152)/12,4)</f>
        <v>11.4511</v>
      </c>
      <c r="Z142" t="s">
        <v>40</v>
      </c>
      <c r="AA142">
        <v>62.75</v>
      </c>
      <c r="AC142">
        <v>2</v>
      </c>
      <c r="AD142" s="73">
        <f>ROUND(AD140+AC142/12,4)</f>
        <v>57.166699999999999</v>
      </c>
      <c r="AE142" s="73">
        <f>ROUND(AE140-AC142*(AE140-AE152)/12,4)</f>
        <v>11.4511</v>
      </c>
      <c r="AH142" t="s">
        <v>40</v>
      </c>
      <c r="AI142">
        <v>57.333300000000001</v>
      </c>
      <c r="AK142">
        <v>2</v>
      </c>
      <c r="AL142" s="73">
        <f>ROUND(AL140+AK142/12,4)</f>
        <v>57.166699999999999</v>
      </c>
      <c r="AM142" s="73">
        <f>ROUND(AM140-AK142*(AM140-AM152)/12,4)</f>
        <v>10.0097</v>
      </c>
    </row>
    <row r="143" spans="1:105" x14ac:dyDescent="0.2">
      <c r="A143" t="s">
        <v>311</v>
      </c>
      <c r="B143" s="319">
        <v>30</v>
      </c>
      <c r="D143">
        <v>3</v>
      </c>
      <c r="E143" s="73">
        <f>ROUND((E140+D143/12),4)</f>
        <v>57.25</v>
      </c>
      <c r="F143" s="73">
        <f>ROUND(F140-D143*(F140-F152)/12,4)</f>
        <v>11.577400000000001</v>
      </c>
      <c r="I143" t="s">
        <v>311</v>
      </c>
      <c r="J143" s="319">
        <v>30</v>
      </c>
      <c r="L143">
        <v>3</v>
      </c>
      <c r="M143" s="73">
        <f>ROUND((M140+L143/12),4)</f>
        <v>57.25</v>
      </c>
      <c r="N143" s="73">
        <f>ROUND(N140-L143*(N140-N152)/12,4)</f>
        <v>9.9944000000000006</v>
      </c>
      <c r="R143" t="s">
        <v>311</v>
      </c>
      <c r="S143" s="319">
        <v>30</v>
      </c>
      <c r="U143">
        <v>3</v>
      </c>
      <c r="V143" s="73">
        <f>ROUND((V140+U143/12),4)</f>
        <v>57.25</v>
      </c>
      <c r="W143" s="73">
        <f>ROUND(W140-U143*(W140-W152)/12,4)</f>
        <v>11.4366</v>
      </c>
      <c r="Z143" t="s">
        <v>311</v>
      </c>
      <c r="AA143" s="319">
        <v>30</v>
      </c>
      <c r="AC143">
        <v>3</v>
      </c>
      <c r="AD143" s="73">
        <f>ROUND((AD140+AC143/12),4)</f>
        <v>57.25</v>
      </c>
      <c r="AE143" s="73">
        <f>ROUND(AE140-AC143*(AE140-AE152)/12,4)</f>
        <v>11.4366</v>
      </c>
      <c r="AH143" t="s">
        <v>311</v>
      </c>
      <c r="AI143" s="319">
        <v>30</v>
      </c>
      <c r="AK143">
        <v>3</v>
      </c>
      <c r="AL143" s="73">
        <f>ROUND((AL140+AK143/12),4)</f>
        <v>57.25</v>
      </c>
      <c r="AM143" s="73">
        <f>ROUND(AM140-AK143*(AM140-AM152)/12,4)</f>
        <v>9.9944000000000006</v>
      </c>
      <c r="AR143" s="323"/>
    </row>
    <row r="144" spans="1:105" x14ac:dyDescent="0.2">
      <c r="A144" t="s">
        <v>312</v>
      </c>
      <c r="B144" s="73">
        <f>IF(B143="","",VLOOKUP(B143,A147:B327,2,FALSE))</f>
        <v>1.2333000000000001</v>
      </c>
      <c r="D144">
        <v>4</v>
      </c>
      <c r="E144" s="73">
        <f>ROUND((E140+D144/12),4)</f>
        <v>57.333300000000001</v>
      </c>
      <c r="F144" s="73">
        <f>ROUND(F140-D144*(F140-F152)/12,4)</f>
        <v>11.5627</v>
      </c>
      <c r="I144" t="s">
        <v>312</v>
      </c>
      <c r="J144" s="73">
        <f>IF(J143="","",VLOOKUP(J143,I147:J327,2,FALSE))</f>
        <v>1.2939000000000001</v>
      </c>
      <c r="L144">
        <v>4</v>
      </c>
      <c r="M144" s="73">
        <f>ROUND((M140+L144/12),4)</f>
        <v>57.333300000000001</v>
      </c>
      <c r="N144" s="73">
        <f>ROUND(N140-L144*(N140-N152)/12,4)</f>
        <v>9.9789999999999992</v>
      </c>
      <c r="R144" t="s">
        <v>312</v>
      </c>
      <c r="S144" s="73">
        <f>IF(S143="","",VLOOKUP(S143,R147:S327,2,FALSE))</f>
        <v>1.2339</v>
      </c>
      <c r="U144">
        <v>4</v>
      </c>
      <c r="V144" s="73">
        <f>ROUND((V140+U144/12),4)</f>
        <v>57.333300000000001</v>
      </c>
      <c r="W144" s="73">
        <f>ROUND(W140-U144*(W140-W152)/12,4)</f>
        <v>11.4221</v>
      </c>
      <c r="Z144" t="s">
        <v>312</v>
      </c>
      <c r="AA144" s="73">
        <f>IF(AA143="","",VLOOKUP(AA143,Z147:AA327,2,FALSE))</f>
        <v>1.2529999999999999</v>
      </c>
      <c r="AC144">
        <v>4</v>
      </c>
      <c r="AD144" s="73">
        <f>ROUND((AD140+AC144/12),4)</f>
        <v>57.333300000000001</v>
      </c>
      <c r="AE144" s="73">
        <f>ROUND(AE140-AC144*(AE140-AE152)/12,4)</f>
        <v>11.4221</v>
      </c>
      <c r="AH144" t="s">
        <v>312</v>
      </c>
      <c r="AI144" s="73">
        <f>IF(AI143="","",VLOOKUP(AI143,AH147:AI327,2,FALSE))</f>
        <v>1.2961</v>
      </c>
      <c r="AK144">
        <v>4</v>
      </c>
      <c r="AL144" s="73">
        <f>ROUND((AL140+AK144/12),4)</f>
        <v>57.333300000000001</v>
      </c>
      <c r="AM144" s="73">
        <f>ROUND(AM140-AK144*(AM140-AM152)/12,4)</f>
        <v>9.9789999999999992</v>
      </c>
      <c r="AR144" s="73"/>
    </row>
    <row r="145" spans="1:95" x14ac:dyDescent="0.2">
      <c r="D145">
        <v>5</v>
      </c>
      <c r="E145" s="73">
        <f>ROUND((E140+D145/12),4)</f>
        <v>57.416699999999999</v>
      </c>
      <c r="F145" s="73">
        <f>ROUND(F140-D145*(F140-F152)/12,4)</f>
        <v>11.5481</v>
      </c>
      <c r="L145">
        <v>5</v>
      </c>
      <c r="M145" s="73">
        <f>ROUND((M140+L145/12),4)</f>
        <v>57.416699999999999</v>
      </c>
      <c r="N145" s="73">
        <f>ROUND(N140-L145*(N140-N152)/12,4)</f>
        <v>9.9636999999999993</v>
      </c>
      <c r="U145">
        <v>5</v>
      </c>
      <c r="V145" s="73">
        <f>ROUND((V140+U145/12),4)</f>
        <v>57.416699999999999</v>
      </c>
      <c r="W145" s="73">
        <f>ROUND(W140-U145*(W140-W152)/12,4)</f>
        <v>11.4076</v>
      </c>
      <c r="AC145">
        <v>5</v>
      </c>
      <c r="AD145" s="73">
        <f>ROUND((AD140+AC145/12),4)</f>
        <v>57.416699999999999</v>
      </c>
      <c r="AE145" s="73">
        <f>ROUND(AE140-AC145*(AE140-AE152)/12,4)</f>
        <v>11.4076</v>
      </c>
      <c r="AK145">
        <v>5</v>
      </c>
      <c r="AL145" s="73">
        <f>ROUND((AL140+AK145/12),4)</f>
        <v>57.416699999999999</v>
      </c>
      <c r="AM145" s="73">
        <f>ROUND(AM140-AK145*(AM140-AM152)/12,4)</f>
        <v>9.9636999999999993</v>
      </c>
    </row>
    <row r="146" spans="1:95" x14ac:dyDescent="0.2">
      <c r="A146" t="s">
        <v>731</v>
      </c>
      <c r="B146" t="s">
        <v>312</v>
      </c>
      <c r="D146">
        <v>6</v>
      </c>
      <c r="E146" s="73">
        <f>ROUND((E140+D146/12),4)</f>
        <v>57.5</v>
      </c>
      <c r="F146" s="73">
        <f>ROUND(F140-D146*(F140-F152)/12,4)</f>
        <v>11.5335</v>
      </c>
      <c r="I146" t="s">
        <v>731</v>
      </c>
      <c r="J146" t="s">
        <v>312</v>
      </c>
      <c r="L146">
        <v>6</v>
      </c>
      <c r="M146" s="73">
        <f>ROUND((M140+L146/12),4)</f>
        <v>57.5</v>
      </c>
      <c r="N146" s="73">
        <f>ROUND(N140-L146*(N140-N152)/12,4)</f>
        <v>9.9483999999999995</v>
      </c>
      <c r="R146" t="s">
        <v>731</v>
      </c>
      <c r="S146" t="s">
        <v>312</v>
      </c>
      <c r="U146">
        <v>6</v>
      </c>
      <c r="V146" s="73">
        <f>ROUND((V140+U146/12),4)</f>
        <v>57.5</v>
      </c>
      <c r="W146" s="73">
        <f>ROUND(W140-U146*(W140-W152)/12,4)</f>
        <v>11.3931</v>
      </c>
      <c r="Z146" t="s">
        <v>731</v>
      </c>
      <c r="AA146" t="s">
        <v>312</v>
      </c>
      <c r="AC146">
        <v>6</v>
      </c>
      <c r="AD146" s="73">
        <f>ROUND((AD140+AC146/12),4)</f>
        <v>57.5</v>
      </c>
      <c r="AE146" s="73">
        <f>ROUND(AE140-AC146*(AE140-AE152)/12,4)</f>
        <v>11.3931</v>
      </c>
      <c r="AH146" t="s">
        <v>731</v>
      </c>
      <c r="AI146" t="s">
        <v>312</v>
      </c>
      <c r="AK146">
        <v>6</v>
      </c>
      <c r="AL146" s="73">
        <f>ROUND((AL140+AK146/12),4)</f>
        <v>57.5</v>
      </c>
      <c r="AM146" s="73">
        <f>ROUND(AM140-AK146*(AM140-AM152)/12,4)</f>
        <v>9.9483999999999995</v>
      </c>
    </row>
    <row r="147" spans="1:95" x14ac:dyDescent="0.2">
      <c r="A147">
        <v>0</v>
      </c>
      <c r="B147" s="73">
        <v>1</v>
      </c>
      <c r="D147">
        <v>7</v>
      </c>
      <c r="E147" s="73">
        <f>ROUND((E140+D147/12),4)</f>
        <v>57.583300000000001</v>
      </c>
      <c r="F147" s="73">
        <f>ROUND(F140-D147*(F140-F152)/12,4)</f>
        <v>11.5189</v>
      </c>
      <c r="I147">
        <v>0</v>
      </c>
      <c r="J147" s="73">
        <v>1</v>
      </c>
      <c r="L147">
        <v>7</v>
      </c>
      <c r="M147" s="73">
        <f>ROUND((M140+L147/12),4)</f>
        <v>57.583300000000001</v>
      </c>
      <c r="N147" s="73">
        <f>ROUND(N140-L147*(N140-N152)/12,4)</f>
        <v>9.9329999999999998</v>
      </c>
      <c r="R147">
        <v>0</v>
      </c>
      <c r="S147" s="73">
        <v>1</v>
      </c>
      <c r="U147">
        <v>7</v>
      </c>
      <c r="V147" s="73">
        <f>ROUND((V140+U147/12),4)</f>
        <v>57.583300000000001</v>
      </c>
      <c r="W147" s="73">
        <f>ROUND(W140-U147*(W140-W152)/12,4)</f>
        <v>11.3786</v>
      </c>
      <c r="Z147">
        <v>0</v>
      </c>
      <c r="AA147" s="73">
        <v>1</v>
      </c>
      <c r="AC147">
        <v>7</v>
      </c>
      <c r="AD147" s="73">
        <f>ROUND((AD140+AC147/12),4)</f>
        <v>57.583300000000001</v>
      </c>
      <c r="AE147" s="73">
        <f>ROUND(AE140-AC147*(AE140-AE152)/12,4)</f>
        <v>11.3786</v>
      </c>
      <c r="AH147">
        <v>0</v>
      </c>
      <c r="AI147" s="73">
        <v>1</v>
      </c>
      <c r="AK147">
        <v>7</v>
      </c>
      <c r="AL147" s="73">
        <f>ROUND((AL140+AK147/12),4)</f>
        <v>57.583300000000001</v>
      </c>
      <c r="AM147" s="73">
        <f>ROUND(AM140-AK147*(AM140-AM152)/12,4)</f>
        <v>9.9329999999999998</v>
      </c>
      <c r="AR147" s="73"/>
    </row>
    <row r="148" spans="1:95" x14ac:dyDescent="0.2">
      <c r="A148">
        <v>1</v>
      </c>
      <c r="B148" s="73">
        <v>1.0072000000000001</v>
      </c>
      <c r="D148">
        <v>8</v>
      </c>
      <c r="E148" s="73">
        <f>ROUND((E140+D148/12),4)</f>
        <v>57.666699999999999</v>
      </c>
      <c r="F148" s="73">
        <f>ROUND(F140-D148*(F140-F152)/12,4)</f>
        <v>11.504300000000001</v>
      </c>
      <c r="I148">
        <v>1</v>
      </c>
      <c r="J148" s="73">
        <v>1.0088999999999999</v>
      </c>
      <c r="L148">
        <v>8</v>
      </c>
      <c r="M148" s="73">
        <f>ROUND((M140+L148/12),4)</f>
        <v>57.666699999999999</v>
      </c>
      <c r="N148" s="73">
        <f>ROUND(N140-L148*(N140-N152)/12,4)</f>
        <v>9.9177</v>
      </c>
      <c r="R148">
        <v>1</v>
      </c>
      <c r="S148" s="73">
        <v>1.0072000000000001</v>
      </c>
      <c r="U148">
        <v>8</v>
      </c>
      <c r="V148" s="73">
        <f>ROUND((V140+U148/12),4)</f>
        <v>57.666699999999999</v>
      </c>
      <c r="W148" s="73">
        <f>ROUND(W140-U148*(W140-W152)/12,4)</f>
        <v>11.364100000000001</v>
      </c>
      <c r="Z148">
        <v>1</v>
      </c>
      <c r="AA148" s="73">
        <v>1.0078</v>
      </c>
      <c r="AC148">
        <v>8</v>
      </c>
      <c r="AD148" s="73">
        <f>ROUND((AD140+AC148/12),4)</f>
        <v>57.666699999999999</v>
      </c>
      <c r="AE148" s="73">
        <f>ROUND(AE140-AC148*(AE140-AE152)/12,4)</f>
        <v>11.364100000000001</v>
      </c>
      <c r="AH148">
        <v>1</v>
      </c>
      <c r="AI148" s="73">
        <v>1.0088999999999999</v>
      </c>
      <c r="AK148">
        <v>8</v>
      </c>
      <c r="AL148" s="73">
        <f>ROUND((AL140+AK148/12),4)</f>
        <v>57.666699999999999</v>
      </c>
      <c r="AM148" s="73">
        <f>ROUND(AM140-AK148*(AM140-AM152)/12,4)</f>
        <v>9.9177</v>
      </c>
      <c r="AR148" s="73"/>
    </row>
    <row r="149" spans="1:95" x14ac:dyDescent="0.2">
      <c r="A149">
        <v>2</v>
      </c>
      <c r="B149" s="73">
        <v>1.0144</v>
      </c>
      <c r="D149">
        <v>9</v>
      </c>
      <c r="E149" s="73">
        <f>ROUND((E140+D149/12),4)</f>
        <v>57.75</v>
      </c>
      <c r="F149" s="73">
        <f>ROUND(F140-D149*(F140-F152)/12,4)</f>
        <v>11.489699999999999</v>
      </c>
      <c r="I149">
        <v>2</v>
      </c>
      <c r="J149" s="73">
        <v>1.0177</v>
      </c>
      <c r="L149">
        <v>9</v>
      </c>
      <c r="M149" s="73">
        <f>ROUND((M140+L149/12),4)</f>
        <v>57.75</v>
      </c>
      <c r="N149" s="73">
        <f>ROUND(N140-L149*(N140-N152)/12,4)</f>
        <v>9.9023000000000003</v>
      </c>
      <c r="O149" s="68"/>
      <c r="P149" s="68"/>
      <c r="Q149" s="68"/>
      <c r="R149">
        <v>2</v>
      </c>
      <c r="S149" s="73">
        <v>1.0144</v>
      </c>
      <c r="U149">
        <v>9</v>
      </c>
      <c r="V149" s="73">
        <f>ROUND((V140+U149/12),4)</f>
        <v>57.75</v>
      </c>
      <c r="W149" s="73">
        <f>ROUND(W140-U149*(W140-W152)/12,4)</f>
        <v>11.349600000000001</v>
      </c>
      <c r="X149" s="68"/>
      <c r="Y149" s="68"/>
      <c r="Z149">
        <v>2</v>
      </c>
      <c r="AA149" s="73">
        <v>1.0155000000000001</v>
      </c>
      <c r="AC149">
        <v>9</v>
      </c>
      <c r="AD149" s="73">
        <f>ROUND((AD140+AC149/12),4)</f>
        <v>57.75</v>
      </c>
      <c r="AE149" s="73">
        <f>ROUND(AE140-AC149*(AE140-AE152)/12,4)</f>
        <v>11.349600000000001</v>
      </c>
      <c r="AF149" s="68"/>
      <c r="AG149" s="68"/>
      <c r="AH149">
        <v>2</v>
      </c>
      <c r="AI149" s="73">
        <v>1.0178</v>
      </c>
      <c r="AK149">
        <v>9</v>
      </c>
      <c r="AL149" s="73">
        <f>ROUND((AL140+AK149/12),4)</f>
        <v>57.75</v>
      </c>
      <c r="AM149" s="73">
        <f>ROUND(AM140-AK149*(AM140-AM152)/12,4)</f>
        <v>9.9023000000000003</v>
      </c>
      <c r="AN149" s="68"/>
      <c r="AO149" s="68"/>
      <c r="AP149" s="68"/>
      <c r="AR149" s="73"/>
      <c r="AT149" s="68"/>
      <c r="AU149" s="68"/>
      <c r="AV149" s="68"/>
      <c r="AW149" s="68"/>
      <c r="AX149" s="68"/>
      <c r="AY149" s="68"/>
      <c r="AZ149" s="68"/>
      <c r="BA149" s="68"/>
      <c r="BB149" s="68"/>
      <c r="BC149" s="68"/>
      <c r="BD149" s="68"/>
      <c r="BE149" s="68"/>
      <c r="BF149" s="68"/>
      <c r="BG149" s="68"/>
      <c r="BH149" s="68"/>
      <c r="BI149" s="68"/>
      <c r="BJ149" s="68"/>
      <c r="BK149" s="68"/>
      <c r="BL149" s="68"/>
      <c r="BM149" s="68"/>
      <c r="BN149" s="68"/>
      <c r="BO149" s="68"/>
      <c r="BP149" s="68"/>
      <c r="BQ149" s="68"/>
      <c r="BR149" s="68"/>
      <c r="BS149" s="68"/>
      <c r="BT149" s="68"/>
      <c r="BU149" s="68"/>
      <c r="BV149" s="68"/>
      <c r="BW149" s="68"/>
      <c r="BX149" s="68"/>
      <c r="BY149" s="68"/>
      <c r="BZ149" s="68"/>
      <c r="CA149" s="68"/>
      <c r="CB149" s="68"/>
      <c r="CC149" s="68"/>
      <c r="CD149" s="68"/>
      <c r="CE149" s="68"/>
      <c r="CF149" s="68"/>
      <c r="CG149" s="68"/>
      <c r="CH149" s="68"/>
      <c r="CI149" s="68"/>
      <c r="CJ149" s="68"/>
      <c r="CK149" s="68"/>
      <c r="CL149" s="68"/>
      <c r="CM149" s="68"/>
      <c r="CN149" s="68"/>
      <c r="CO149" s="68"/>
    </row>
    <row r="150" spans="1:95" x14ac:dyDescent="0.2">
      <c r="A150">
        <v>3</v>
      </c>
      <c r="B150" s="73">
        <v>1.0216000000000001</v>
      </c>
      <c r="D150">
        <v>10</v>
      </c>
      <c r="E150" s="73">
        <f>ROUND((E140+D150/12),4)</f>
        <v>57.833300000000001</v>
      </c>
      <c r="F150" s="73">
        <f>ROUND(F140-D150*(F140-F152)/12,4)</f>
        <v>11.475099999999999</v>
      </c>
      <c r="I150">
        <v>3</v>
      </c>
      <c r="J150" s="73">
        <v>1.0266</v>
      </c>
      <c r="L150">
        <v>10</v>
      </c>
      <c r="M150" s="73">
        <f>ROUND((M140+L150/12),4)</f>
        <v>57.833300000000001</v>
      </c>
      <c r="N150" s="73">
        <f>ROUND(N140-L150*(N140-N152)/12,4)</f>
        <v>9.8870000000000005</v>
      </c>
      <c r="O150" s="68"/>
      <c r="P150" s="68"/>
      <c r="Q150" s="68"/>
      <c r="R150">
        <v>3</v>
      </c>
      <c r="S150" s="73">
        <v>1.0216000000000001</v>
      </c>
      <c r="U150">
        <v>10</v>
      </c>
      <c r="V150" s="73">
        <f>ROUND((V140+U150/12),4)</f>
        <v>57.833300000000001</v>
      </c>
      <c r="W150" s="73">
        <f>ROUND(W140-U150*(W140-W152)/12,4)</f>
        <v>11.335100000000001</v>
      </c>
      <c r="X150" s="68"/>
      <c r="Y150" s="68"/>
      <c r="Z150">
        <v>3</v>
      </c>
      <c r="AA150" s="73">
        <v>1.0233000000000001</v>
      </c>
      <c r="AC150">
        <v>10</v>
      </c>
      <c r="AD150" s="73">
        <f>ROUND((AD140+AC150/12),4)</f>
        <v>57.833300000000001</v>
      </c>
      <c r="AE150" s="73">
        <f>ROUND(AE140-AC150*(AE140-AE152)/12,4)</f>
        <v>11.335100000000001</v>
      </c>
      <c r="AF150" s="68"/>
      <c r="AG150" s="68"/>
      <c r="AH150">
        <v>3</v>
      </c>
      <c r="AI150" s="73">
        <v>1.0266999999999999</v>
      </c>
      <c r="AK150">
        <v>10</v>
      </c>
      <c r="AL150" s="73">
        <f>ROUND((AL140+AK150/12),4)</f>
        <v>57.833300000000001</v>
      </c>
      <c r="AM150" s="73">
        <f>ROUND(AM140-AK150*(AM140-AM152)/12,4)</f>
        <v>9.8870000000000005</v>
      </c>
      <c r="AN150" s="68"/>
      <c r="AO150" s="68"/>
      <c r="AP150" s="68"/>
      <c r="AR150" s="73"/>
      <c r="AT150" s="68"/>
      <c r="AU150" s="68"/>
      <c r="AV150" s="68"/>
      <c r="AW150" s="68"/>
      <c r="AX150" s="68"/>
      <c r="AY150" s="68"/>
      <c r="AZ150" s="68"/>
      <c r="BA150" s="68"/>
      <c r="BB150" s="68"/>
      <c r="BC150" s="68"/>
      <c r="BD150" s="68"/>
      <c r="BE150" s="68"/>
      <c r="BF150" s="68"/>
      <c r="BG150" s="68"/>
      <c r="BH150" s="68"/>
      <c r="BI150" s="68"/>
      <c r="BJ150" s="68"/>
      <c r="BK150" s="68"/>
      <c r="BL150" s="68"/>
      <c r="BM150" s="68"/>
      <c r="BN150" s="68"/>
      <c r="BO150" s="68"/>
      <c r="BP150" s="68"/>
      <c r="BQ150" s="68"/>
      <c r="BR150" s="68"/>
      <c r="BS150" s="68"/>
      <c r="BT150" s="68"/>
      <c r="BU150" s="68"/>
      <c r="BV150" s="68"/>
      <c r="BW150" s="68"/>
      <c r="BX150" s="68"/>
      <c r="BY150" s="68"/>
      <c r="BZ150" s="68"/>
      <c r="CA150" s="68"/>
      <c r="CB150" s="68"/>
      <c r="CC150" s="68"/>
      <c r="CD150" s="68"/>
      <c r="CE150" s="68"/>
      <c r="CF150" s="68"/>
      <c r="CG150" s="68"/>
      <c r="CH150" s="68"/>
      <c r="CI150" s="68"/>
      <c r="CJ150" s="68"/>
      <c r="CK150" s="68"/>
      <c r="CL150" s="68"/>
      <c r="CM150" s="68"/>
      <c r="CN150" s="68"/>
      <c r="CO150" s="68"/>
    </row>
    <row r="151" spans="1:95" x14ac:dyDescent="0.2">
      <c r="A151">
        <v>4</v>
      </c>
      <c r="B151" s="73">
        <v>1.0287999999999999</v>
      </c>
      <c r="D151">
        <v>11</v>
      </c>
      <c r="E151" s="73">
        <f>ROUND((E140+D151/12),4)</f>
        <v>57.916699999999999</v>
      </c>
      <c r="F151" s="73">
        <f>ROUND(F140-D151*(F140-F152)/12,4)</f>
        <v>11.4605</v>
      </c>
      <c r="I151">
        <v>4</v>
      </c>
      <c r="J151" s="73">
        <v>1.0354000000000001</v>
      </c>
      <c r="L151">
        <v>11</v>
      </c>
      <c r="M151" s="73">
        <f>ROUND((M140+L151/12),4)</f>
        <v>57.916699999999999</v>
      </c>
      <c r="N151" s="73">
        <f>ROUND(N140-L151*(N140-N152)/12,4)</f>
        <v>9.8717000000000006</v>
      </c>
      <c r="O151" s="68"/>
      <c r="P151" s="68"/>
      <c r="Q151" s="68"/>
      <c r="R151">
        <v>4</v>
      </c>
      <c r="S151" s="73">
        <v>1.0287999999999999</v>
      </c>
      <c r="U151">
        <v>11</v>
      </c>
      <c r="V151" s="73">
        <f>ROUND((V140+U151/12),4)</f>
        <v>57.916699999999999</v>
      </c>
      <c r="W151" s="73">
        <f>ROUND(W140-U151*(W140-W152)/12,4)</f>
        <v>11.320600000000001</v>
      </c>
      <c r="X151" s="68"/>
      <c r="Y151" s="68"/>
      <c r="Z151">
        <v>4</v>
      </c>
      <c r="AA151" s="73">
        <v>1.0309999999999999</v>
      </c>
      <c r="AC151">
        <v>11</v>
      </c>
      <c r="AD151" s="73">
        <f>ROUND((AD140+AC151/12),4)</f>
        <v>57.916699999999999</v>
      </c>
      <c r="AE151" s="73">
        <f>ROUND(AE140-AC151*(AE140-AE152)/12,4)</f>
        <v>11.320600000000001</v>
      </c>
      <c r="AF151" s="68"/>
      <c r="AG151" s="68"/>
      <c r="AH151">
        <v>4</v>
      </c>
      <c r="AI151" s="73">
        <v>1.0356000000000001</v>
      </c>
      <c r="AK151">
        <v>11</v>
      </c>
      <c r="AL151" s="73">
        <f>ROUND((AL140+AK151/12),4)</f>
        <v>57.916699999999999</v>
      </c>
      <c r="AM151" s="73">
        <f>ROUND(AM140-AK151*(AM140-AM152)/12,4)</f>
        <v>9.8717000000000006</v>
      </c>
      <c r="AN151" s="68"/>
      <c r="AO151" s="68"/>
      <c r="AP151" s="68"/>
      <c r="AR151" s="73"/>
      <c r="AT151" s="68"/>
      <c r="AU151" s="68"/>
      <c r="AV151" s="68"/>
      <c r="AW151" s="68"/>
      <c r="AX151" s="68"/>
      <c r="AY151" s="68"/>
      <c r="AZ151" s="68"/>
      <c r="BA151" s="68"/>
      <c r="BB151" s="68"/>
      <c r="BC151" s="68"/>
      <c r="BD151" s="68"/>
      <c r="BE151" s="68"/>
      <c r="BF151" s="68"/>
      <c r="BG151" s="68"/>
      <c r="BH151" s="68"/>
      <c r="BI151" s="68"/>
      <c r="BJ151" s="68"/>
      <c r="BK151" s="68"/>
      <c r="BL151" s="68"/>
      <c r="BM151" s="68"/>
      <c r="BN151" s="68"/>
      <c r="BO151" s="68"/>
      <c r="BP151" s="68"/>
      <c r="BQ151" s="68"/>
      <c r="BR151" s="68"/>
      <c r="BS151" s="68"/>
      <c r="BT151" s="68"/>
      <c r="BU151" s="68"/>
      <c r="BV151" s="68"/>
      <c r="BW151" s="68"/>
      <c r="BX151" s="68"/>
      <c r="BY151" s="68"/>
      <c r="BZ151" s="68"/>
      <c r="CA151" s="68"/>
      <c r="CB151" s="68"/>
      <c r="CC151" s="68"/>
      <c r="CD151" s="68"/>
      <c r="CE151" s="68"/>
      <c r="CF151" s="68"/>
      <c r="CG151" s="68"/>
      <c r="CH151" s="68"/>
      <c r="CI151" s="68"/>
      <c r="CJ151" s="68"/>
      <c r="CK151" s="68"/>
      <c r="CL151" s="68"/>
      <c r="CM151" s="68"/>
      <c r="CN151" s="68"/>
      <c r="CO151" s="68"/>
      <c r="CP151" s="69"/>
      <c r="CQ151" s="68"/>
    </row>
    <row r="152" spans="1:95" x14ac:dyDescent="0.2">
      <c r="A152">
        <v>5</v>
      </c>
      <c r="B152" s="73">
        <v>1.036</v>
      </c>
      <c r="D152">
        <v>12</v>
      </c>
      <c r="E152" s="73">
        <f>ROUND((E140+D152/12),4)</f>
        <v>58</v>
      </c>
      <c r="F152" s="73">
        <f>[1]!NPVF("Mp","SLA","N",B140:C140,"M",E152,E152,0,0,0,0,A140,A140,"P","","")</f>
        <v>11.445849351492834</v>
      </c>
      <c r="I152">
        <v>5</v>
      </c>
      <c r="J152" s="73">
        <v>1.0443</v>
      </c>
      <c r="L152">
        <v>12</v>
      </c>
      <c r="M152" s="73">
        <f>ROUND((M140+L152/12),4)</f>
        <v>58</v>
      </c>
      <c r="N152" s="73">
        <f>[1]!NPVF("Mp","SLA","N",J140:K140,"M",M152,M152,0,0,0,0,I140,I140,"P","","")</f>
        <v>9.8563311974354217</v>
      </c>
      <c r="O152" s="69"/>
      <c r="P152" s="69"/>
      <c r="Q152" s="69"/>
      <c r="R152">
        <v>5</v>
      </c>
      <c r="S152" s="73">
        <v>1.036</v>
      </c>
      <c r="U152">
        <v>12</v>
      </c>
      <c r="V152" s="73">
        <f>ROUND((V140+U152/12),4)</f>
        <v>58</v>
      </c>
      <c r="W152" s="73">
        <f>[1]!NPVF("Mp","SLA","N",S140:T140,"M",V152,V152,0,0,0,0,R140,R140,"P","","")</f>
        <v>11.306091389007456</v>
      </c>
      <c r="X152" s="69"/>
      <c r="Y152" s="69"/>
      <c r="Z152">
        <v>5</v>
      </c>
      <c r="AA152" s="73">
        <v>1.0387999999999999</v>
      </c>
      <c r="AC152">
        <v>12</v>
      </c>
      <c r="AD152" s="73">
        <f>ROUND((AD140+AC152/12),4)</f>
        <v>58</v>
      </c>
      <c r="AE152" s="73">
        <f>[1]!NPVF("Mp","SLA","N",AA140:AB140,"M",AD152,AD152,0,0,0,0,Z140,Z140,"P","","")</f>
        <v>11.306091389007456</v>
      </c>
      <c r="AF152" s="69"/>
      <c r="AG152" s="69"/>
      <c r="AH152">
        <v>5</v>
      </c>
      <c r="AI152" s="73">
        <v>1.0445</v>
      </c>
      <c r="AK152">
        <v>12</v>
      </c>
      <c r="AL152" s="73">
        <f>ROUND((AL140+AK152/12),4)</f>
        <v>58</v>
      </c>
      <c r="AM152" s="73">
        <f>[1]!NPVF("Mp","SLA","N",AI140:AJ140,"M",AL152,AL152,0,0,0,0,AH140,AH140,"P","","")</f>
        <v>9.8563311974354217</v>
      </c>
      <c r="AN152" s="69"/>
      <c r="AO152" s="69"/>
      <c r="AP152" s="69"/>
      <c r="AR152" s="73"/>
      <c r="AT152" s="69"/>
      <c r="AU152" s="69"/>
      <c r="AV152" s="69"/>
      <c r="AW152" s="69"/>
      <c r="AX152" s="69"/>
      <c r="AY152" s="69"/>
      <c r="AZ152" s="69"/>
      <c r="BA152" s="69"/>
      <c r="BB152" s="69"/>
      <c r="BC152" s="69"/>
      <c r="BD152" s="69"/>
      <c r="BE152" s="69"/>
      <c r="BF152" s="69"/>
      <c r="BG152" s="69"/>
      <c r="BH152" s="69"/>
      <c r="BI152" s="69"/>
      <c r="BJ152" s="69"/>
      <c r="BK152" s="69"/>
      <c r="BL152" s="69"/>
      <c r="BM152" s="69"/>
      <c r="BN152" s="69"/>
      <c r="BO152" s="69"/>
      <c r="BP152" s="69"/>
      <c r="BQ152" s="69"/>
      <c r="BR152" s="69"/>
      <c r="BS152" s="69"/>
      <c r="BT152" s="69"/>
      <c r="BU152" s="69"/>
      <c r="BV152" s="69"/>
      <c r="BW152" s="69"/>
      <c r="BX152" s="69"/>
      <c r="BY152" s="69"/>
      <c r="BZ152" s="69"/>
      <c r="CA152" s="69"/>
      <c r="CB152" s="69"/>
      <c r="CC152" s="69"/>
      <c r="CD152" s="69"/>
      <c r="CE152" s="69"/>
      <c r="CF152" s="69"/>
      <c r="CG152" s="69"/>
      <c r="CH152" s="69"/>
      <c r="CI152" s="69"/>
      <c r="CJ152" s="69"/>
      <c r="CK152" s="69"/>
      <c r="CL152" s="69"/>
      <c r="CM152" s="69"/>
      <c r="CN152" s="69"/>
      <c r="CO152" s="69"/>
      <c r="CP152" s="69"/>
      <c r="CQ152" s="68"/>
    </row>
    <row r="153" spans="1:95" x14ac:dyDescent="0.2">
      <c r="A153">
        <v>6</v>
      </c>
      <c r="B153" s="73">
        <v>1.0431999999999999</v>
      </c>
      <c r="D153">
        <v>13</v>
      </c>
      <c r="E153" s="73">
        <f>ROUND((E140+D153/12),4)</f>
        <v>58.083300000000001</v>
      </c>
      <c r="F153" s="73">
        <f>ROUND(VLOOKUP(TRUNC(D153/12,0)+57,E140:F331,2,FALSE)-MOD(D153,12)*(VLOOKUP(TRUNC(D153/12,0)+57,E140:F331,2,FALSE)-VLOOKUP(TRUNC(D153/12,0)+1+57,E140:F331,2,FALSE))/12,4)</f>
        <v>11.4307</v>
      </c>
      <c r="I153">
        <v>6</v>
      </c>
      <c r="J153" s="73">
        <v>1.0530999999999999</v>
      </c>
      <c r="L153">
        <v>13</v>
      </c>
      <c r="M153" s="73">
        <f>ROUND((M140+L153/12),4)</f>
        <v>58.083300000000001</v>
      </c>
      <c r="N153" s="73">
        <f>ROUND(VLOOKUP(TRUNC(L153/12,0)+57,M140:N331,2,FALSE)-MOD(L153,12)*(VLOOKUP(TRUNC(L153/12,0)+57,M140:N331,2,FALSE)-VLOOKUP(TRUNC(L153/12,0)+1+57,M140:N331,2,FALSE))/12,4)</f>
        <v>9.8404000000000007</v>
      </c>
      <c r="O153" s="66"/>
      <c r="P153" s="66"/>
      <c r="Q153" s="66"/>
      <c r="R153">
        <v>6</v>
      </c>
      <c r="S153" s="73">
        <v>1.0432999999999999</v>
      </c>
      <c r="U153">
        <v>13</v>
      </c>
      <c r="V153" s="73">
        <f>ROUND((V140+U153/12),4)</f>
        <v>58.083300000000001</v>
      </c>
      <c r="W153" s="73">
        <f>ROUND(VLOOKUP(TRUNC(U153/12,0)+57,V140:W331,2,FALSE)-MOD(U153,12)*(VLOOKUP(TRUNC(U153/12,0)+57,V140:W331,2,FALSE)-VLOOKUP(TRUNC(U153/12,0)+1+57,V140:W331,2,FALSE))/12,4)</f>
        <v>11.290900000000001</v>
      </c>
      <c r="X153" s="66"/>
      <c r="Y153" s="66"/>
      <c r="Z153">
        <v>6</v>
      </c>
      <c r="AA153" s="73">
        <v>1.0465</v>
      </c>
      <c r="AC153">
        <v>13</v>
      </c>
      <c r="AD153" s="73">
        <f>ROUND((AD140+AC153/12),4)</f>
        <v>58.083300000000001</v>
      </c>
      <c r="AE153" s="73">
        <f>ROUND(VLOOKUP(TRUNC(AC153/12,0)+57,AD140:AE331,2,FALSE)-MOD(AC153,12)*(VLOOKUP(TRUNC(AC153/12,0)+57,AD140:AE331,2,FALSE)-VLOOKUP(TRUNC(AC153/12,0)+1+57,AD140:AE331,2,FALSE))/12,4)</f>
        <v>11.290900000000001</v>
      </c>
      <c r="AF153" s="66"/>
      <c r="AG153" s="66"/>
      <c r="AH153">
        <v>6</v>
      </c>
      <c r="AI153" s="73">
        <v>1.0535000000000001</v>
      </c>
      <c r="AK153">
        <v>13</v>
      </c>
      <c r="AL153" s="73">
        <f>ROUND((AL140+AK153/12),4)</f>
        <v>58.083300000000001</v>
      </c>
      <c r="AM153" s="73">
        <f>ROUND(VLOOKUP(TRUNC(AK153/12,0)+57,AL140:AM331,2,FALSE)-MOD(AK153,12)*(VLOOKUP(TRUNC(AK153/12,0)+57,AL140:AM331,2,FALSE)-VLOOKUP(TRUNC(AK153/12,0)+1+57,AL140:AM331,2,FALSE))/12,4)</f>
        <v>9.8404000000000007</v>
      </c>
      <c r="AN153" s="66"/>
      <c r="AO153" s="66"/>
      <c r="AP153" s="66"/>
      <c r="AR153" s="73"/>
      <c r="AT153" s="66"/>
      <c r="AU153" s="66"/>
      <c r="AV153" s="66"/>
      <c r="AW153" s="66"/>
      <c r="AX153" s="66"/>
      <c r="AY153" s="66"/>
      <c r="AZ153" s="66"/>
      <c r="BA153" s="66"/>
      <c r="BB153" s="66"/>
      <c r="BC153" s="66"/>
      <c r="BD153" s="66"/>
      <c r="BE153" s="66"/>
      <c r="BF153" s="66"/>
      <c r="BG153" s="66"/>
      <c r="BH153" s="66"/>
      <c r="BI153" s="66"/>
      <c r="BJ153" s="66"/>
      <c r="BK153" s="66"/>
      <c r="BL153" s="66"/>
      <c r="BM153" s="66"/>
      <c r="BN153" s="66"/>
      <c r="BO153" s="66"/>
      <c r="BP153" s="66"/>
      <c r="BQ153" s="66"/>
      <c r="BR153" s="66"/>
      <c r="BS153" s="66"/>
      <c r="BT153" s="66"/>
      <c r="BU153" s="66"/>
      <c r="BV153" s="66"/>
      <c r="BW153" s="66"/>
      <c r="BX153" s="66"/>
      <c r="BY153" s="66"/>
      <c r="BZ153" s="66"/>
      <c r="CA153" s="66"/>
      <c r="CB153" s="66"/>
      <c r="CC153" s="66"/>
      <c r="CD153" s="66"/>
      <c r="CE153" s="66"/>
      <c r="CF153" s="66"/>
      <c r="CG153" s="66"/>
      <c r="CH153" s="66"/>
      <c r="CI153" s="66"/>
      <c r="CJ153" s="66"/>
      <c r="CK153" s="66"/>
      <c r="CL153" s="66"/>
      <c r="CM153" s="66"/>
      <c r="CN153" s="66"/>
      <c r="CO153" s="66"/>
      <c r="CP153" s="69"/>
      <c r="CQ153" s="68"/>
    </row>
    <row r="154" spans="1:95" x14ac:dyDescent="0.2">
      <c r="A154">
        <v>7</v>
      </c>
      <c r="B154" s="73">
        <v>1.0504</v>
      </c>
      <c r="D154">
        <v>14</v>
      </c>
      <c r="E154" s="73">
        <f>ROUND((E140+D154/12),4)</f>
        <v>58.166699999999999</v>
      </c>
      <c r="F154" s="73">
        <f>ROUND(VLOOKUP(TRUNC(D154/12,0)+57,E140:F331,2,FALSE)-MOD(D154,12)*(VLOOKUP(TRUNC(D154/12,0)+57,E140:F331,2,FALSE)-VLOOKUP(TRUNC(D154/12,0)+1+57,E140:F331,2,FALSE))/12,4)</f>
        <v>11.4156</v>
      </c>
      <c r="I154">
        <v>7</v>
      </c>
      <c r="J154" s="73">
        <v>1.0620000000000001</v>
      </c>
      <c r="L154">
        <v>14</v>
      </c>
      <c r="M154" s="73">
        <f>ROUND((M140+L154/12),4)</f>
        <v>58.166699999999999</v>
      </c>
      <c r="N154" s="73">
        <f>ROUND(VLOOKUP(TRUNC(L154/12,0)+57,M140:N331,2,FALSE)-MOD(L154,12)*(VLOOKUP(TRUNC(L154/12,0)+57,M140:N331,2,FALSE)-VLOOKUP(TRUNC(L154/12,0)+1+57,M140:N331,2,FALSE))/12,4)</f>
        <v>9.8245000000000005</v>
      </c>
      <c r="O154" s="154"/>
      <c r="P154" s="154"/>
      <c r="Q154" s="154"/>
      <c r="R154">
        <v>7</v>
      </c>
      <c r="S154" s="73">
        <v>1.0505</v>
      </c>
      <c r="U154">
        <v>14</v>
      </c>
      <c r="V154" s="73">
        <f>ROUND((V140+U154/12),4)</f>
        <v>58.166699999999999</v>
      </c>
      <c r="W154" s="73">
        <f>ROUND(VLOOKUP(TRUNC(U154/12,0)+57,V140:W331,2,FALSE)-MOD(U154,12)*(VLOOKUP(TRUNC(U154/12,0)+57,V140:W331,2,FALSE)-VLOOKUP(TRUNC(U154/12,0)+1+57,V140:W331,2,FALSE))/12,4)</f>
        <v>11.2758</v>
      </c>
      <c r="X154" s="154"/>
      <c r="Y154" s="154"/>
      <c r="Z154">
        <v>7</v>
      </c>
      <c r="AA154" s="73">
        <v>1.0543</v>
      </c>
      <c r="AC154">
        <v>14</v>
      </c>
      <c r="AD154" s="73">
        <f>ROUND((AD140+AC154/12),4)</f>
        <v>58.166699999999999</v>
      </c>
      <c r="AE154" s="73">
        <f>ROUND(VLOOKUP(TRUNC(AC154/12,0)+57,AD140:AE331,2,FALSE)-MOD(AC154,12)*(VLOOKUP(TRUNC(AC154/12,0)+57,AD140:AE331,2,FALSE)-VLOOKUP(TRUNC(AC154/12,0)+1+57,AD140:AE331,2,FALSE))/12,4)</f>
        <v>11.2758</v>
      </c>
      <c r="AF154" s="154"/>
      <c r="AG154" s="154"/>
      <c r="AH154">
        <v>7</v>
      </c>
      <c r="AI154" s="73">
        <v>1.0624</v>
      </c>
      <c r="AK154">
        <v>14</v>
      </c>
      <c r="AL154" s="73">
        <f>ROUND((AL140+AK154/12),4)</f>
        <v>58.166699999999999</v>
      </c>
      <c r="AM154" s="73">
        <f>ROUND(VLOOKUP(TRUNC(AK154/12,0)+57,AL140:AM331,2,FALSE)-MOD(AK154,12)*(VLOOKUP(TRUNC(AK154/12,0)+57,AL140:AM331,2,FALSE)-VLOOKUP(TRUNC(AK154/12,0)+1+57,AL140:AM331,2,FALSE))/12,4)</f>
        <v>9.8245000000000005</v>
      </c>
      <c r="AN154" s="154"/>
      <c r="AO154" s="154"/>
      <c r="AP154" s="154"/>
      <c r="AR154" s="73"/>
      <c r="AT154" s="154"/>
      <c r="AU154" s="154"/>
      <c r="AV154" s="154"/>
      <c r="AW154" s="154"/>
      <c r="AX154" s="154"/>
      <c r="AY154" s="154"/>
      <c r="AZ154" s="154"/>
      <c r="BA154" s="154"/>
      <c r="BB154" s="154"/>
      <c r="BC154" s="154"/>
      <c r="BD154" s="154"/>
      <c r="BE154" s="154"/>
      <c r="BF154" s="154"/>
      <c r="BG154" s="154"/>
      <c r="BH154" s="154"/>
      <c r="BI154" s="154"/>
      <c r="BJ154" s="154"/>
      <c r="BK154" s="154"/>
      <c r="BL154" s="154"/>
      <c r="BM154" s="154"/>
      <c r="BN154" s="154"/>
      <c r="BO154" s="154"/>
      <c r="BP154" s="154"/>
      <c r="BQ154" s="154"/>
      <c r="BR154" s="154"/>
      <c r="BS154" s="154"/>
      <c r="BT154" s="154"/>
      <c r="BU154" s="154"/>
      <c r="BV154" s="154"/>
      <c r="BW154" s="154"/>
      <c r="BX154" s="154"/>
      <c r="BY154" s="154"/>
      <c r="BZ154" s="154"/>
      <c r="CA154" s="154"/>
      <c r="CB154" s="154"/>
      <c r="CC154" s="154"/>
      <c r="CD154" s="154"/>
      <c r="CE154" s="154"/>
      <c r="CF154" s="154"/>
      <c r="CG154" s="154"/>
      <c r="CH154" s="154"/>
      <c r="CI154" s="154"/>
      <c r="CJ154" s="154"/>
      <c r="CK154" s="154"/>
      <c r="CL154" s="154"/>
      <c r="CM154" s="154"/>
      <c r="CN154" s="154"/>
      <c r="CO154" s="154"/>
      <c r="CP154" s="69"/>
      <c r="CQ154" s="68"/>
    </row>
    <row r="155" spans="1:95" x14ac:dyDescent="0.2">
      <c r="A155">
        <v>8</v>
      </c>
      <c r="B155" s="73">
        <v>1.0576000000000001</v>
      </c>
      <c r="D155">
        <v>15</v>
      </c>
      <c r="E155" s="73">
        <f>ROUND((E140+D155/12),4)</f>
        <v>58.25</v>
      </c>
      <c r="F155" s="73">
        <f>ROUND(VLOOKUP(TRUNC(D155/12,0)+57,E140:F331,2,FALSE)-MOD(D155,12)*(VLOOKUP(TRUNC(D155/12,0)+57,E140:F331,2,FALSE)-VLOOKUP(TRUNC(D155/12,0)+1+57,E140:F331,2,FALSE))/12,4)</f>
        <v>11.400499999999999</v>
      </c>
      <c r="I155">
        <v>8</v>
      </c>
      <c r="J155" s="73">
        <v>1.0708</v>
      </c>
      <c r="L155">
        <v>15</v>
      </c>
      <c r="M155" s="73">
        <f>ROUND((M140+L155/12),4)</f>
        <v>58.25</v>
      </c>
      <c r="N155" s="73">
        <f>ROUND(VLOOKUP(TRUNC(L155/12,0)+57,M140:N331,2,FALSE)-MOD(L155,12)*(VLOOKUP(TRUNC(L155/12,0)+57,M140:N331,2,FALSE)-VLOOKUP(TRUNC(L155/12,0)+1+57,M140:N331,2,FALSE))/12,4)</f>
        <v>9.8085000000000004</v>
      </c>
      <c r="O155" s="154"/>
      <c r="P155" s="154"/>
      <c r="Q155" s="154"/>
      <c r="R155">
        <v>8</v>
      </c>
      <c r="S155" s="73">
        <v>1.0577000000000001</v>
      </c>
      <c r="U155">
        <v>15</v>
      </c>
      <c r="V155" s="73">
        <f>ROUND((V140+U155/12),4)</f>
        <v>58.25</v>
      </c>
      <c r="W155" s="73">
        <f>ROUND(VLOOKUP(TRUNC(U155/12,0)+57,V140:W331,2,FALSE)-MOD(U155,12)*(VLOOKUP(TRUNC(U155/12,0)+57,V140:W331,2,FALSE)-VLOOKUP(TRUNC(U155/12,0)+1+57,V140:W331,2,FALSE))/12,4)</f>
        <v>11.2606</v>
      </c>
      <c r="X155" s="154"/>
      <c r="Y155" s="154"/>
      <c r="Z155">
        <v>8</v>
      </c>
      <c r="AA155" s="73">
        <v>1.0620000000000001</v>
      </c>
      <c r="AC155">
        <v>15</v>
      </c>
      <c r="AD155" s="73">
        <f>ROUND((AD140+AC155/12),4)</f>
        <v>58.25</v>
      </c>
      <c r="AE155" s="73">
        <f>ROUND(VLOOKUP(TRUNC(AC155/12,0)+57,AD140:AE331,2,FALSE)-MOD(AC155,12)*(VLOOKUP(TRUNC(AC155/12,0)+57,AD140:AE331,2,FALSE)-VLOOKUP(TRUNC(AC155/12,0)+1+57,AD140:AE331,2,FALSE))/12,4)</f>
        <v>11.2606</v>
      </c>
      <c r="AF155" s="154"/>
      <c r="AG155" s="154"/>
      <c r="AH155">
        <v>8</v>
      </c>
      <c r="AI155" s="73">
        <v>1.0712999999999999</v>
      </c>
      <c r="AK155">
        <v>15</v>
      </c>
      <c r="AL155" s="73">
        <f>ROUND((AL140+AK155/12),4)</f>
        <v>58.25</v>
      </c>
      <c r="AM155" s="73">
        <f>ROUND(VLOOKUP(TRUNC(AK155/12,0)+57,AL140:AM331,2,FALSE)-MOD(AK155,12)*(VLOOKUP(TRUNC(AK155/12,0)+57,AL140:AM331,2,FALSE)-VLOOKUP(TRUNC(AK155/12,0)+1+57,AL140:AM331,2,FALSE))/12,4)</f>
        <v>9.8085000000000004</v>
      </c>
      <c r="AN155" s="154"/>
      <c r="AO155" s="154"/>
      <c r="AP155" s="154"/>
      <c r="AR155" s="73"/>
      <c r="AT155" s="154"/>
      <c r="AU155" s="154"/>
      <c r="AV155" s="154"/>
      <c r="AW155" s="154"/>
      <c r="AX155" s="154"/>
      <c r="AY155" s="154"/>
      <c r="AZ155" s="154"/>
      <c r="BA155" s="154"/>
      <c r="BB155" s="154"/>
      <c r="BC155" s="154"/>
      <c r="BD155" s="154"/>
      <c r="BE155" s="154"/>
      <c r="BF155" s="154"/>
      <c r="BG155" s="154"/>
      <c r="BH155" s="154"/>
      <c r="BI155" s="154"/>
      <c r="BJ155" s="154"/>
      <c r="BK155" s="154"/>
      <c r="BL155" s="154"/>
      <c r="BM155" s="154"/>
      <c r="BN155" s="154"/>
      <c r="BO155" s="154"/>
      <c r="BP155" s="154"/>
      <c r="BQ155" s="154"/>
      <c r="BR155" s="154"/>
      <c r="BS155" s="154"/>
      <c r="BT155" s="154"/>
      <c r="BU155" s="154"/>
      <c r="BV155" s="154"/>
      <c r="BW155" s="154"/>
      <c r="BX155" s="154"/>
      <c r="BY155" s="154"/>
      <c r="BZ155" s="154"/>
      <c r="CA155" s="154"/>
      <c r="CB155" s="154"/>
      <c r="CC155" s="154"/>
      <c r="CD155" s="154"/>
      <c r="CE155" s="154"/>
      <c r="CF155" s="154"/>
      <c r="CG155" s="154"/>
      <c r="CH155" s="154"/>
      <c r="CI155" s="154"/>
      <c r="CJ155" s="154"/>
      <c r="CK155" s="154"/>
      <c r="CL155" s="154"/>
      <c r="CM155" s="154"/>
      <c r="CN155" s="154"/>
      <c r="CO155" s="154"/>
      <c r="CP155" s="67"/>
      <c r="CQ155" s="66"/>
    </row>
    <row r="156" spans="1:95" x14ac:dyDescent="0.2">
      <c r="A156">
        <v>9</v>
      </c>
      <c r="B156" s="73">
        <v>1.0648</v>
      </c>
      <c r="D156">
        <v>16</v>
      </c>
      <c r="E156" s="73">
        <f>ROUND((E140+D156/12),4)</f>
        <v>58.333300000000001</v>
      </c>
      <c r="F156" s="73">
        <f>ROUND(VLOOKUP(TRUNC(D156/12,0)+57,E140:F331,2,FALSE)-MOD(D156,12)*(VLOOKUP(TRUNC(D156/12,0)+57,E140:F331,2,FALSE)-VLOOKUP(TRUNC(D156/12,0)+1+57,E140:F331,2,FALSE))/12,4)</f>
        <v>11.385400000000001</v>
      </c>
      <c r="I156">
        <v>9</v>
      </c>
      <c r="J156" s="73">
        <v>1.0797000000000001</v>
      </c>
      <c r="L156">
        <v>16</v>
      </c>
      <c r="M156" s="73">
        <f>ROUND((M140+L156/12),4)</f>
        <v>58.333300000000001</v>
      </c>
      <c r="N156" s="73">
        <f>ROUND(VLOOKUP(TRUNC(L156/12,0)+57,M140:N331,2,FALSE)-MOD(L156,12)*(VLOOKUP(TRUNC(L156/12,0)+57,M140:N331,2,FALSE)-VLOOKUP(TRUNC(L156/12,0)+1+57,M140:N331,2,FALSE))/12,4)</f>
        <v>9.7926000000000002</v>
      </c>
      <c r="O156" s="154"/>
      <c r="P156" s="154"/>
      <c r="Q156" s="154"/>
      <c r="R156">
        <v>9</v>
      </c>
      <c r="S156" s="73">
        <v>1.0649</v>
      </c>
      <c r="U156">
        <v>16</v>
      </c>
      <c r="V156" s="73">
        <f>ROUND((V140+U156/12),4)</f>
        <v>58.333300000000001</v>
      </c>
      <c r="W156" s="73">
        <f>ROUND(VLOOKUP(TRUNC(U156/12,0)+57,V140:W331,2,FALSE)-MOD(U156,12)*(VLOOKUP(TRUNC(U156/12,0)+57,V140:W331,2,FALSE)-VLOOKUP(TRUNC(U156/12,0)+1+57,V140:W331,2,FALSE))/12,4)</f>
        <v>11.2455</v>
      </c>
      <c r="X156" s="154"/>
      <c r="Y156" s="154"/>
      <c r="Z156">
        <v>9</v>
      </c>
      <c r="AA156" s="73">
        <v>1.0698000000000001</v>
      </c>
      <c r="AC156">
        <v>16</v>
      </c>
      <c r="AD156" s="73">
        <f>ROUND((AD140+AC156/12),4)</f>
        <v>58.333300000000001</v>
      </c>
      <c r="AE156" s="73">
        <f>ROUND(VLOOKUP(TRUNC(AC156/12,0)+57,AD140:AE331,2,FALSE)-MOD(AC156,12)*(VLOOKUP(TRUNC(AC156/12,0)+57,AD140:AE331,2,FALSE)-VLOOKUP(TRUNC(AC156/12,0)+1+57,AD140:AE331,2,FALSE))/12,4)</f>
        <v>11.2455</v>
      </c>
      <c r="AF156" s="154"/>
      <c r="AG156" s="154"/>
      <c r="AH156">
        <v>9</v>
      </c>
      <c r="AI156" s="73">
        <v>1.0802</v>
      </c>
      <c r="AK156">
        <v>16</v>
      </c>
      <c r="AL156" s="73">
        <f>ROUND((AL140+AK156/12),4)</f>
        <v>58.333300000000001</v>
      </c>
      <c r="AM156" s="73">
        <f>ROUND(VLOOKUP(TRUNC(AK156/12,0)+57,AL140:AM331,2,FALSE)-MOD(AK156,12)*(VLOOKUP(TRUNC(AK156/12,0)+57,AL140:AM331,2,FALSE)-VLOOKUP(TRUNC(AK156/12,0)+1+57,AL140:AM331,2,FALSE))/12,4)</f>
        <v>9.7926000000000002</v>
      </c>
      <c r="AN156" s="154"/>
      <c r="AO156" s="154"/>
      <c r="AP156" s="154"/>
      <c r="AR156" s="73"/>
      <c r="AT156" s="154"/>
      <c r="AU156" s="154"/>
      <c r="AV156" s="154"/>
      <c r="AW156" s="154"/>
      <c r="AX156" s="154"/>
      <c r="AY156" s="154"/>
      <c r="AZ156" s="154"/>
      <c r="BA156" s="154"/>
      <c r="BB156" s="154"/>
      <c r="BC156" s="154"/>
      <c r="BD156" s="154"/>
      <c r="BE156" s="154"/>
      <c r="BF156" s="154"/>
      <c r="BG156" s="154"/>
      <c r="BH156" s="154"/>
      <c r="BI156" s="154"/>
      <c r="BJ156" s="154"/>
      <c r="BK156" s="154"/>
      <c r="BL156" s="154"/>
      <c r="BM156" s="154"/>
      <c r="BN156" s="154"/>
      <c r="BO156" s="154"/>
      <c r="BP156" s="154"/>
      <c r="BQ156" s="154"/>
      <c r="BR156" s="154"/>
      <c r="BS156" s="154"/>
      <c r="BT156" s="154"/>
      <c r="BU156" s="154"/>
      <c r="BV156" s="154"/>
      <c r="BW156" s="154"/>
      <c r="BX156" s="154"/>
      <c r="BY156" s="154"/>
      <c r="BZ156" s="154"/>
      <c r="CA156" s="154"/>
      <c r="CB156" s="154"/>
      <c r="CC156" s="154"/>
      <c r="CD156" s="154"/>
      <c r="CE156" s="154"/>
      <c r="CF156" s="154"/>
      <c r="CG156" s="154"/>
      <c r="CH156" s="154"/>
      <c r="CI156" s="154"/>
      <c r="CJ156" s="154"/>
      <c r="CK156" s="154"/>
      <c r="CL156" s="154"/>
      <c r="CM156" s="154"/>
      <c r="CN156" s="154"/>
      <c r="CO156" s="154"/>
      <c r="CP156" s="70"/>
      <c r="CQ156" s="66"/>
    </row>
    <row r="157" spans="1:95" x14ac:dyDescent="0.2">
      <c r="A157">
        <v>10</v>
      </c>
      <c r="B157" s="73">
        <v>1.0720000000000001</v>
      </c>
      <c r="D157">
        <v>17</v>
      </c>
      <c r="E157" s="73">
        <f>ROUND((E140+D157/12),4)</f>
        <v>58.416699999999999</v>
      </c>
      <c r="F157" s="73">
        <f>ROUND(VLOOKUP(TRUNC(D157/12,0)+57,E140:F331,2,FALSE)-MOD(D157,12)*(VLOOKUP(TRUNC(D157/12,0)+57,E140:F331,2,FALSE)-VLOOKUP(TRUNC(D157/12,0)+1+57,E140:F331,2,FALSE))/12,4)</f>
        <v>11.370200000000001</v>
      </c>
      <c r="I157">
        <v>10</v>
      </c>
      <c r="J157" s="73">
        <v>1.0885</v>
      </c>
      <c r="L157">
        <v>17</v>
      </c>
      <c r="M157" s="73">
        <f>ROUND((M140+L157/12),4)</f>
        <v>58.416699999999999</v>
      </c>
      <c r="N157" s="73">
        <f>ROUND(VLOOKUP(TRUNC(L157/12,0)+57,M140:N331,2,FALSE)-MOD(L157,12)*(VLOOKUP(TRUNC(L157/12,0)+57,M140:N331,2,FALSE)-VLOOKUP(TRUNC(L157/12,0)+1+57,M140:N331,2,FALSE))/12,4)</f>
        <v>9.7766999999999999</v>
      </c>
      <c r="O157" s="154"/>
      <c r="P157" s="154"/>
      <c r="Q157" s="154"/>
      <c r="R157">
        <v>10</v>
      </c>
      <c r="S157" s="73">
        <v>1.0721000000000001</v>
      </c>
      <c r="U157">
        <v>17</v>
      </c>
      <c r="V157" s="73">
        <f>ROUND((V140+U157/12),4)</f>
        <v>58.416699999999999</v>
      </c>
      <c r="W157" s="73">
        <f>ROUND(VLOOKUP(TRUNC(U157/12,0)+57,V140:W331,2,FALSE)-MOD(U157,12)*(VLOOKUP(TRUNC(U157/12,0)+57,V140:W331,2,FALSE)-VLOOKUP(TRUNC(U157/12,0)+1+57,V140:W331,2,FALSE))/12,4)</f>
        <v>11.2303</v>
      </c>
      <c r="X157" s="154"/>
      <c r="Y157" s="154"/>
      <c r="Z157">
        <v>10</v>
      </c>
      <c r="AA157" s="73">
        <v>1.0774999999999999</v>
      </c>
      <c r="AC157">
        <v>17</v>
      </c>
      <c r="AD157" s="73">
        <f>ROUND((AD140+AC157/12),4)</f>
        <v>58.416699999999999</v>
      </c>
      <c r="AE157" s="73">
        <f>ROUND(VLOOKUP(TRUNC(AC157/12,0)+57,AD140:AE331,2,FALSE)-MOD(AC157,12)*(VLOOKUP(TRUNC(AC157/12,0)+57,AD140:AE331,2,FALSE)-VLOOKUP(TRUNC(AC157/12,0)+1+57,AD140:AE331,2,FALSE))/12,4)</f>
        <v>11.2303</v>
      </c>
      <c r="AF157" s="154"/>
      <c r="AG157" s="154"/>
      <c r="AH157">
        <v>10</v>
      </c>
      <c r="AI157" s="73">
        <v>1.0891</v>
      </c>
      <c r="AK157">
        <v>17</v>
      </c>
      <c r="AL157" s="73">
        <f>ROUND((AL140+AK157/12),4)</f>
        <v>58.416699999999999</v>
      </c>
      <c r="AM157" s="73">
        <f>ROUND(VLOOKUP(TRUNC(AK157/12,0)+57,AL140:AM331,2,FALSE)-MOD(AK157,12)*(VLOOKUP(TRUNC(AK157/12,0)+57,AL140:AM331,2,FALSE)-VLOOKUP(TRUNC(AK157/12,0)+1+57,AL140:AM331,2,FALSE))/12,4)</f>
        <v>9.7766999999999999</v>
      </c>
      <c r="AN157" s="154"/>
      <c r="AO157" s="154"/>
      <c r="AP157" s="154"/>
      <c r="AR157" s="73"/>
      <c r="AT157" s="154"/>
      <c r="AU157" s="154"/>
      <c r="AV157" s="154"/>
      <c r="AW157" s="154"/>
      <c r="AX157" s="154"/>
      <c r="AY157" s="154"/>
      <c r="AZ157" s="154"/>
      <c r="BA157" s="154"/>
      <c r="BB157" s="154"/>
      <c r="BC157" s="154"/>
      <c r="BD157" s="154"/>
      <c r="BE157" s="154"/>
      <c r="BF157" s="154"/>
      <c r="BG157" s="154"/>
      <c r="BH157" s="154"/>
      <c r="BI157" s="154"/>
      <c r="BJ157" s="154"/>
      <c r="BK157" s="154"/>
      <c r="BL157" s="154"/>
      <c r="BM157" s="154"/>
      <c r="BN157" s="154"/>
      <c r="BO157" s="154"/>
      <c r="BP157" s="154"/>
      <c r="BQ157" s="154"/>
      <c r="BR157" s="154"/>
      <c r="BS157" s="154"/>
      <c r="BT157" s="154"/>
      <c r="BU157" s="154"/>
      <c r="BV157" s="154"/>
      <c r="BW157" s="154"/>
      <c r="BX157" s="154"/>
      <c r="BY157" s="154"/>
      <c r="BZ157" s="154"/>
      <c r="CA157" s="154"/>
      <c r="CB157" s="154"/>
      <c r="CC157" s="154"/>
      <c r="CD157" s="154"/>
      <c r="CE157" s="154"/>
      <c r="CF157" s="154"/>
      <c r="CG157" s="154"/>
      <c r="CH157" s="154"/>
      <c r="CI157" s="154"/>
      <c r="CJ157" s="154"/>
      <c r="CK157" s="154"/>
      <c r="CL157" s="154"/>
      <c r="CM157" s="154"/>
      <c r="CN157" s="154"/>
      <c r="CO157" s="154"/>
      <c r="CP157" s="70"/>
      <c r="CQ157" s="66"/>
    </row>
    <row r="158" spans="1:95" x14ac:dyDescent="0.2">
      <c r="A158">
        <v>11</v>
      </c>
      <c r="B158" s="73">
        <v>1.0791999999999999</v>
      </c>
      <c r="D158">
        <v>18</v>
      </c>
      <c r="E158" s="73">
        <f>ROUND((E140+D158/12),4)</f>
        <v>58.5</v>
      </c>
      <c r="F158" s="73">
        <f>ROUND(VLOOKUP(TRUNC(D158/12,0)+57,E140:F331,2,FALSE)-MOD(D158,12)*(VLOOKUP(TRUNC(D158/12,0)+57,E140:F331,2,FALSE)-VLOOKUP(TRUNC(D158/12,0)+1+57,E140:F331,2,FALSE))/12,4)</f>
        <v>11.3551</v>
      </c>
      <c r="I158">
        <v>11</v>
      </c>
      <c r="J158" s="73">
        <v>1.0973999999999999</v>
      </c>
      <c r="L158">
        <v>18</v>
      </c>
      <c r="M158" s="73">
        <f>ROUND((M140+L158/12),4)</f>
        <v>58.5</v>
      </c>
      <c r="N158" s="73">
        <f>ROUND(VLOOKUP(TRUNC(L158/12,0)+57,M140:N331,2,FALSE)-MOD(L158,12)*(VLOOKUP(TRUNC(L158/12,0)+57,M140:N331,2,FALSE)-VLOOKUP(TRUNC(L158/12,0)+1+57,M140:N331,2,FALSE))/12,4)</f>
        <v>9.7606999999999999</v>
      </c>
      <c r="O158" s="154"/>
      <c r="P158" s="154"/>
      <c r="Q158" s="154"/>
      <c r="R158">
        <v>11</v>
      </c>
      <c r="S158" s="73">
        <v>1.0792999999999999</v>
      </c>
      <c r="U158">
        <v>18</v>
      </c>
      <c r="V158" s="73">
        <f>ROUND((V140+U158/12),4)</f>
        <v>58.5</v>
      </c>
      <c r="W158" s="73">
        <f>ROUND(VLOOKUP(TRUNC(U158/12,0)+57,V140:W331,2,FALSE)-MOD(U158,12)*(VLOOKUP(TRUNC(U158/12,0)+57,V140:W331,2,FALSE)-VLOOKUP(TRUNC(U158/12,0)+1+57,V140:W331,2,FALSE))/12,4)</f>
        <v>11.215199999999999</v>
      </c>
      <c r="X158" s="154"/>
      <c r="Y158" s="154"/>
      <c r="Z158">
        <v>11</v>
      </c>
      <c r="AA158" s="73">
        <v>1.0852999999999999</v>
      </c>
      <c r="AC158">
        <v>18</v>
      </c>
      <c r="AD158" s="73">
        <f>ROUND((AD140+AC158/12),4)</f>
        <v>58.5</v>
      </c>
      <c r="AE158" s="73">
        <f>ROUND(VLOOKUP(TRUNC(AC158/12,0)+57,AD140:AE331,2,FALSE)-MOD(AC158,12)*(VLOOKUP(TRUNC(AC158/12,0)+57,AD140:AE331,2,FALSE)-VLOOKUP(TRUNC(AC158/12,0)+1+57,AD140:AE331,2,FALSE))/12,4)</f>
        <v>11.215199999999999</v>
      </c>
      <c r="AF158" s="154"/>
      <c r="AG158" s="154"/>
      <c r="AH158">
        <v>11</v>
      </c>
      <c r="AI158" s="73">
        <v>1.0980000000000001</v>
      </c>
      <c r="AK158">
        <v>18</v>
      </c>
      <c r="AL158" s="73">
        <f>ROUND((AL140+AK158/12),4)</f>
        <v>58.5</v>
      </c>
      <c r="AM158" s="73">
        <f>ROUND(VLOOKUP(TRUNC(AK158/12,0)+57,AL140:AM331,2,FALSE)-MOD(AK158,12)*(VLOOKUP(TRUNC(AK158/12,0)+57,AL140:AM331,2,FALSE)-VLOOKUP(TRUNC(AK158/12,0)+1+57,AL140:AM331,2,FALSE))/12,4)</f>
        <v>9.7606999999999999</v>
      </c>
      <c r="AN158" s="154"/>
      <c r="AO158" s="154"/>
      <c r="AP158" s="154"/>
      <c r="AR158" s="73"/>
      <c r="AT158" s="154"/>
      <c r="AU158" s="154"/>
      <c r="AV158" s="154"/>
      <c r="AW158" s="154"/>
      <c r="AX158" s="154"/>
      <c r="AY158" s="154"/>
      <c r="AZ158" s="154"/>
      <c r="BA158" s="154"/>
      <c r="BB158" s="154"/>
      <c r="BC158" s="154"/>
      <c r="BD158" s="154"/>
      <c r="BE158" s="154"/>
      <c r="BF158" s="154"/>
      <c r="BG158" s="154"/>
      <c r="BH158" s="154"/>
      <c r="BI158" s="154"/>
      <c r="BJ158" s="154"/>
      <c r="BK158" s="154"/>
      <c r="BL158" s="154"/>
      <c r="BM158" s="154"/>
      <c r="BN158" s="154"/>
      <c r="BO158" s="154"/>
      <c r="BP158" s="154"/>
      <c r="BQ158" s="154"/>
      <c r="BR158" s="154"/>
      <c r="BS158" s="154"/>
      <c r="BT158" s="154"/>
      <c r="BU158" s="154"/>
      <c r="BV158" s="154"/>
      <c r="BW158" s="154"/>
      <c r="BX158" s="154"/>
      <c r="BY158" s="154"/>
      <c r="BZ158" s="154"/>
      <c r="CA158" s="154"/>
      <c r="CB158" s="154"/>
      <c r="CC158" s="154"/>
      <c r="CD158" s="154"/>
      <c r="CE158" s="154"/>
      <c r="CF158" s="154"/>
      <c r="CG158" s="154"/>
      <c r="CH158" s="154"/>
      <c r="CI158" s="154"/>
      <c r="CJ158" s="154"/>
      <c r="CK158" s="154"/>
      <c r="CL158" s="154"/>
      <c r="CM158" s="154"/>
      <c r="CN158" s="154"/>
      <c r="CO158" s="154"/>
      <c r="CP158" s="70"/>
      <c r="CQ158" s="66"/>
    </row>
    <row r="159" spans="1:95" x14ac:dyDescent="0.2">
      <c r="A159">
        <v>12</v>
      </c>
      <c r="B159" s="73">
        <v>1.0864</v>
      </c>
      <c r="D159">
        <v>19</v>
      </c>
      <c r="E159" s="73">
        <f>ROUND((E140+D159/12),4)</f>
        <v>58.583300000000001</v>
      </c>
      <c r="F159" s="73">
        <f>ROUND(VLOOKUP(TRUNC(D159/12,0)+57,E140:F331,2,FALSE)-MOD(D159,12)*(VLOOKUP(TRUNC(D159/12,0)+57,E140:F331,2,FALSE)-VLOOKUP(TRUNC(D159/12,0)+1+57,E140:F331,2,FALSE))/12,4)</f>
        <v>11.34</v>
      </c>
      <c r="I159">
        <v>12</v>
      </c>
      <c r="J159" s="73">
        <v>1.1062000000000001</v>
      </c>
      <c r="L159">
        <v>19</v>
      </c>
      <c r="M159" s="73">
        <f>ROUND((M140+L159/12),4)</f>
        <v>58.583300000000001</v>
      </c>
      <c r="N159" s="73">
        <f>ROUND(VLOOKUP(TRUNC(L159/12,0)+57,M140:N331,2,FALSE)-MOD(L159,12)*(VLOOKUP(TRUNC(L159/12,0)+57,M140:N331,2,FALSE)-VLOOKUP(TRUNC(L159/12,0)+1+57,M140:N331,2,FALSE))/12,4)</f>
        <v>9.7447999999999997</v>
      </c>
      <c r="O159" s="154"/>
      <c r="P159" s="154"/>
      <c r="Q159" s="154"/>
      <c r="R159">
        <v>12</v>
      </c>
      <c r="S159" s="73">
        <v>1.0865</v>
      </c>
      <c r="U159">
        <v>19</v>
      </c>
      <c r="V159" s="73">
        <f>ROUND((V140+U159/12),4)</f>
        <v>58.583300000000001</v>
      </c>
      <c r="W159" s="73">
        <f>ROUND(VLOOKUP(TRUNC(U159/12,0)+57,V140:W331,2,FALSE)-MOD(U159,12)*(VLOOKUP(TRUNC(U159/12,0)+57,V140:W331,2,FALSE)-VLOOKUP(TRUNC(U159/12,0)+1+57,V140:W331,2,FALSE))/12,4)</f>
        <v>11.2</v>
      </c>
      <c r="X159" s="154"/>
      <c r="Y159" s="154"/>
      <c r="Z159">
        <v>12</v>
      </c>
      <c r="AA159" s="73">
        <v>1.093</v>
      </c>
      <c r="AC159">
        <v>19</v>
      </c>
      <c r="AD159" s="73">
        <f>ROUND((AD140+AC159/12),4)</f>
        <v>58.583300000000001</v>
      </c>
      <c r="AE159" s="73">
        <f>ROUND(VLOOKUP(TRUNC(AC159/12,0)+57,AD140:AE331,2,FALSE)-MOD(AC159,12)*(VLOOKUP(TRUNC(AC159/12,0)+57,AD140:AE331,2,FALSE)-VLOOKUP(TRUNC(AC159/12,0)+1+57,AD140:AE331,2,FALSE))/12,4)</f>
        <v>11.2</v>
      </c>
      <c r="AF159" s="154"/>
      <c r="AG159" s="154"/>
      <c r="AH159">
        <v>12</v>
      </c>
      <c r="AI159" s="73">
        <v>1.1069</v>
      </c>
      <c r="AK159">
        <v>19</v>
      </c>
      <c r="AL159" s="73">
        <f>ROUND((AL140+AK159/12),4)</f>
        <v>58.583300000000001</v>
      </c>
      <c r="AM159" s="73">
        <f>ROUND(VLOOKUP(TRUNC(AK159/12,0)+57,AL140:AM331,2,FALSE)-MOD(AK159,12)*(VLOOKUP(TRUNC(AK159/12,0)+57,AL140:AM331,2,FALSE)-VLOOKUP(TRUNC(AK159/12,0)+1+57,AL140:AM331,2,FALSE))/12,4)</f>
        <v>9.7447999999999997</v>
      </c>
      <c r="AN159" s="154"/>
      <c r="AO159" s="154"/>
      <c r="AP159" s="154"/>
      <c r="AR159" s="73"/>
      <c r="AT159" s="154"/>
      <c r="AU159" s="154"/>
      <c r="AV159" s="154"/>
      <c r="AW159" s="154"/>
      <c r="AX159" s="154"/>
      <c r="AY159" s="154"/>
      <c r="AZ159" s="154"/>
      <c r="BA159" s="154"/>
      <c r="BB159" s="154"/>
      <c r="BC159" s="154"/>
      <c r="BD159" s="154"/>
      <c r="BE159" s="154"/>
      <c r="BF159" s="154"/>
      <c r="BG159" s="154"/>
      <c r="BH159" s="154"/>
      <c r="BI159" s="154"/>
      <c r="BJ159" s="154"/>
      <c r="BK159" s="154"/>
      <c r="BL159" s="154"/>
      <c r="BM159" s="154"/>
      <c r="BN159" s="154"/>
      <c r="BO159" s="154"/>
      <c r="BP159" s="154"/>
      <c r="BQ159" s="154"/>
      <c r="BR159" s="154"/>
      <c r="BS159" s="154"/>
      <c r="BT159" s="154"/>
      <c r="BU159" s="154"/>
      <c r="BV159" s="154"/>
      <c r="BW159" s="154"/>
      <c r="BX159" s="154"/>
      <c r="BY159" s="154"/>
      <c r="BZ159" s="154"/>
      <c r="CA159" s="154"/>
      <c r="CB159" s="154"/>
      <c r="CC159" s="154"/>
      <c r="CD159" s="154"/>
      <c r="CE159" s="154"/>
      <c r="CF159" s="154"/>
      <c r="CG159" s="154"/>
      <c r="CH159" s="154"/>
      <c r="CI159" s="154"/>
      <c r="CJ159" s="154"/>
      <c r="CK159" s="154"/>
      <c r="CL159" s="154"/>
      <c r="CM159" s="154"/>
      <c r="CN159" s="154"/>
      <c r="CO159" s="154"/>
      <c r="CP159" s="70"/>
      <c r="CQ159" s="66"/>
    </row>
    <row r="160" spans="1:95" x14ac:dyDescent="0.2">
      <c r="A160">
        <v>13</v>
      </c>
      <c r="B160" s="73">
        <v>1.0943000000000001</v>
      </c>
      <c r="D160">
        <v>20</v>
      </c>
      <c r="E160" s="73">
        <f>ROUND((E140+D160/12),4)</f>
        <v>58.666699999999999</v>
      </c>
      <c r="F160" s="73">
        <f>ROUND(VLOOKUP(TRUNC(D160/12,0)+57,E140:F331,2,FALSE)-MOD(D160,12)*(VLOOKUP(TRUNC(D160/12,0)+57,E140:F331,2,FALSE)-VLOOKUP(TRUNC(D160/12,0)+1+57,E140:F331,2,FALSE))/12,4)</f>
        <v>11.3249</v>
      </c>
      <c r="I160">
        <v>13</v>
      </c>
      <c r="J160" s="73">
        <v>1.1162000000000001</v>
      </c>
      <c r="L160">
        <v>20</v>
      </c>
      <c r="M160" s="73">
        <f>ROUND((M140+L160/12),4)</f>
        <v>58.666699999999999</v>
      </c>
      <c r="N160" s="73">
        <f>ROUND(VLOOKUP(TRUNC(L160/12,0)+57,M140:N331,2,FALSE)-MOD(L160,12)*(VLOOKUP(TRUNC(L160/12,0)+57,M140:N331,2,FALSE)-VLOOKUP(TRUNC(L160/12,0)+1+57,M140:N331,2,FALSE))/12,4)</f>
        <v>9.7288999999999994</v>
      </c>
      <c r="O160" s="154"/>
      <c r="P160" s="154"/>
      <c r="Q160" s="154"/>
      <c r="R160">
        <v>13</v>
      </c>
      <c r="S160" s="73">
        <v>1.0944</v>
      </c>
      <c r="U160">
        <v>20</v>
      </c>
      <c r="V160" s="73">
        <f>ROUND((V140+U160/12),4)</f>
        <v>58.666699999999999</v>
      </c>
      <c r="W160" s="73">
        <f>ROUND(VLOOKUP(TRUNC(U160/12,0)+57,V140:W331,2,FALSE)-MOD(U160,12)*(VLOOKUP(TRUNC(U160/12,0)+57,V140:W331,2,FALSE)-VLOOKUP(TRUNC(U160/12,0)+1+57,V140:W331,2,FALSE))/12,4)</f>
        <v>11.184900000000001</v>
      </c>
      <c r="X160" s="154"/>
      <c r="Y160" s="154"/>
      <c r="Z160">
        <v>13</v>
      </c>
      <c r="AA160" s="73">
        <v>1.1015999999999999</v>
      </c>
      <c r="AC160">
        <v>20</v>
      </c>
      <c r="AD160" s="73">
        <f>ROUND((AD140+AC160/12),4)</f>
        <v>58.666699999999999</v>
      </c>
      <c r="AE160" s="73">
        <f>ROUND(VLOOKUP(TRUNC(AC160/12,0)+57,AD140:AE331,2,FALSE)-MOD(AC160,12)*(VLOOKUP(TRUNC(AC160/12,0)+57,AD140:AE331,2,FALSE)-VLOOKUP(TRUNC(AC160/12,0)+1+57,AD140:AE331,2,FALSE))/12,4)</f>
        <v>11.184900000000001</v>
      </c>
      <c r="AF160" s="154"/>
      <c r="AG160" s="154"/>
      <c r="AH160">
        <v>13</v>
      </c>
      <c r="AI160" s="73">
        <v>1.117</v>
      </c>
      <c r="AK160">
        <v>20</v>
      </c>
      <c r="AL160" s="73">
        <f>ROUND((AL140+AK160/12),4)</f>
        <v>58.666699999999999</v>
      </c>
      <c r="AM160" s="73">
        <f>ROUND(VLOOKUP(TRUNC(AK160/12,0)+57,AL140:AM331,2,FALSE)-MOD(AK160,12)*(VLOOKUP(TRUNC(AK160/12,0)+57,AL140:AM331,2,FALSE)-VLOOKUP(TRUNC(AK160/12,0)+1+57,AL140:AM331,2,FALSE))/12,4)</f>
        <v>9.7288999999999994</v>
      </c>
      <c r="AN160" s="154"/>
      <c r="AO160" s="154"/>
      <c r="AP160" s="154"/>
      <c r="AR160" s="73"/>
      <c r="AT160" s="154"/>
      <c r="AU160" s="154"/>
      <c r="AV160" s="154"/>
      <c r="AW160" s="154"/>
      <c r="AX160" s="154"/>
      <c r="AY160" s="154"/>
      <c r="AZ160" s="154"/>
      <c r="BA160" s="154"/>
      <c r="BB160" s="154"/>
      <c r="BC160" s="154"/>
      <c r="BD160" s="154"/>
      <c r="BE160" s="154"/>
      <c r="BF160" s="154"/>
      <c r="BG160" s="154"/>
      <c r="BH160" s="154"/>
      <c r="BI160" s="154"/>
      <c r="BJ160" s="154"/>
      <c r="BK160" s="154"/>
      <c r="BL160" s="154"/>
      <c r="BM160" s="154"/>
      <c r="BN160" s="154"/>
      <c r="BO160" s="154"/>
      <c r="BP160" s="154"/>
      <c r="BQ160" s="154"/>
      <c r="BR160" s="154"/>
      <c r="BS160" s="154"/>
      <c r="BT160" s="154"/>
      <c r="BU160" s="154"/>
      <c r="BV160" s="154"/>
      <c r="BW160" s="154"/>
      <c r="BX160" s="154"/>
      <c r="BY160" s="154"/>
      <c r="BZ160" s="154"/>
      <c r="CA160" s="154"/>
      <c r="CB160" s="154"/>
      <c r="CC160" s="154"/>
      <c r="CD160" s="154"/>
      <c r="CE160" s="154"/>
      <c r="CF160" s="154"/>
      <c r="CG160" s="154"/>
      <c r="CH160" s="154"/>
      <c r="CI160" s="154"/>
      <c r="CJ160" s="154"/>
      <c r="CK160" s="154"/>
      <c r="CL160" s="154"/>
      <c r="CM160" s="154"/>
      <c r="CN160" s="154"/>
      <c r="CO160" s="154"/>
      <c r="CP160" s="70"/>
      <c r="CQ160" s="66"/>
    </row>
    <row r="161" spans="1:95" x14ac:dyDescent="0.2">
      <c r="A161">
        <v>14</v>
      </c>
      <c r="B161" s="73">
        <v>1.1022000000000001</v>
      </c>
      <c r="D161">
        <v>21</v>
      </c>
      <c r="E161" s="73">
        <f>ROUND((E140+D161/12),4)</f>
        <v>58.75</v>
      </c>
      <c r="F161" s="73">
        <f>ROUND(VLOOKUP(TRUNC(D161/12,0)+57,E140:F331,2,FALSE)-MOD(D161,12)*(VLOOKUP(TRUNC(D161/12,0)+57,E140:F331,2,FALSE)-VLOOKUP(TRUNC(D161/12,0)+1+57,E140:F331,2,FALSE))/12,4)</f>
        <v>11.309699999999999</v>
      </c>
      <c r="I161">
        <v>14</v>
      </c>
      <c r="J161" s="73">
        <v>1.1262000000000001</v>
      </c>
      <c r="L161">
        <v>21</v>
      </c>
      <c r="M161" s="73">
        <f>ROUND((M140+L161/12),4)</f>
        <v>58.75</v>
      </c>
      <c r="N161" s="73">
        <f>ROUND(VLOOKUP(TRUNC(L161/12,0)+57,M140:N331,2,FALSE)-MOD(L161,12)*(VLOOKUP(TRUNC(L161/12,0)+57,M140:N331,2,FALSE)-VLOOKUP(TRUNC(L161/12,0)+1+57,M140:N331,2,FALSE))/12,4)</f>
        <v>9.7129999999999992</v>
      </c>
      <c r="O161" s="154"/>
      <c r="P161" s="154"/>
      <c r="Q161" s="154"/>
      <c r="R161">
        <v>14</v>
      </c>
      <c r="S161" s="73">
        <v>1.1023000000000001</v>
      </c>
      <c r="U161">
        <v>21</v>
      </c>
      <c r="V161" s="73">
        <f>ROUND((V140+U161/12),4)</f>
        <v>58.75</v>
      </c>
      <c r="W161" s="73">
        <f>ROUND(VLOOKUP(TRUNC(U161/12,0)+57,V140:W331,2,FALSE)-MOD(U161,12)*(VLOOKUP(TRUNC(U161/12,0)+57,V140:W331,2,FALSE)-VLOOKUP(TRUNC(U161/12,0)+1+57,V140:W331,2,FALSE))/12,4)</f>
        <v>11.169700000000001</v>
      </c>
      <c r="X161" s="154"/>
      <c r="Y161" s="154"/>
      <c r="Z161">
        <v>14</v>
      </c>
      <c r="AA161" s="73">
        <v>1.1102000000000001</v>
      </c>
      <c r="AC161">
        <v>21</v>
      </c>
      <c r="AD161" s="73">
        <f>ROUND((AD140+AC161/12),4)</f>
        <v>58.75</v>
      </c>
      <c r="AE161" s="73">
        <f>ROUND(VLOOKUP(TRUNC(AC161/12,0)+57,AD140:AE331,2,FALSE)-MOD(AC161,12)*(VLOOKUP(TRUNC(AC161/12,0)+57,AD140:AE331,2,FALSE)-VLOOKUP(TRUNC(AC161/12,0)+1+57,AD140:AE331,2,FALSE))/12,4)</f>
        <v>11.169700000000001</v>
      </c>
      <c r="AF161" s="154"/>
      <c r="AG161" s="154"/>
      <c r="AH161">
        <v>14</v>
      </c>
      <c r="AI161" s="73">
        <v>1.127</v>
      </c>
      <c r="AK161">
        <v>21</v>
      </c>
      <c r="AL161" s="73">
        <f>ROUND((AL140+AK161/12),4)</f>
        <v>58.75</v>
      </c>
      <c r="AM161" s="73">
        <f>ROUND(VLOOKUP(TRUNC(AK161/12,0)+57,AL140:AM331,2,FALSE)-MOD(AK161,12)*(VLOOKUP(TRUNC(AK161/12,0)+57,AL140:AM331,2,FALSE)-VLOOKUP(TRUNC(AK161/12,0)+1+57,AL140:AM331,2,FALSE))/12,4)</f>
        <v>9.7129999999999992</v>
      </c>
      <c r="AN161" s="154"/>
      <c r="AO161" s="154"/>
      <c r="AP161" s="154"/>
      <c r="AR161" s="73"/>
      <c r="AT161" s="154"/>
      <c r="AU161" s="154"/>
      <c r="AV161" s="154"/>
      <c r="AW161" s="154"/>
      <c r="AX161" s="154"/>
      <c r="AY161" s="154"/>
      <c r="AZ161" s="154"/>
      <c r="BA161" s="154"/>
      <c r="BB161" s="154"/>
      <c r="BC161" s="154"/>
      <c r="BD161" s="154"/>
      <c r="BE161" s="154"/>
      <c r="BF161" s="154"/>
      <c r="BG161" s="154"/>
      <c r="BH161" s="154"/>
      <c r="BI161" s="154"/>
      <c r="BJ161" s="154"/>
      <c r="BK161" s="154"/>
      <c r="BL161" s="154"/>
      <c r="BM161" s="154"/>
      <c r="BN161" s="154"/>
      <c r="BO161" s="154"/>
      <c r="BP161" s="154"/>
      <c r="BQ161" s="154"/>
      <c r="BR161" s="154"/>
      <c r="BS161" s="154"/>
      <c r="BT161" s="154"/>
      <c r="BU161" s="154"/>
      <c r="BV161" s="154"/>
      <c r="BW161" s="154"/>
      <c r="BX161" s="154"/>
      <c r="BY161" s="154"/>
      <c r="BZ161" s="154"/>
      <c r="CA161" s="154"/>
      <c r="CB161" s="154"/>
      <c r="CC161" s="154"/>
      <c r="CD161" s="154"/>
      <c r="CE161" s="154"/>
      <c r="CF161" s="154"/>
      <c r="CG161" s="154"/>
      <c r="CH161" s="154"/>
      <c r="CI161" s="154"/>
      <c r="CJ161" s="154"/>
      <c r="CK161" s="154"/>
      <c r="CL161" s="154"/>
      <c r="CM161" s="154"/>
      <c r="CN161" s="154"/>
      <c r="CO161" s="154"/>
      <c r="CP161" s="70"/>
      <c r="CQ161" s="66"/>
    </row>
    <row r="162" spans="1:95" x14ac:dyDescent="0.2">
      <c r="A162">
        <v>15</v>
      </c>
      <c r="B162" s="73">
        <v>1.1101000000000001</v>
      </c>
      <c r="D162">
        <v>22</v>
      </c>
      <c r="E162" s="73">
        <f>ROUND((E140+D162/12),4)</f>
        <v>58.833300000000001</v>
      </c>
      <c r="F162" s="73">
        <f>ROUND(VLOOKUP(TRUNC(D162/12,0)+57,E140:F331,2,FALSE)-MOD(D162,12)*(VLOOKUP(TRUNC(D162/12,0)+57,E140:F331,2,FALSE)-VLOOKUP(TRUNC(D162/12,0)+1+57,E140:F331,2,FALSE))/12,4)</f>
        <v>11.294600000000001</v>
      </c>
      <c r="I162">
        <v>15</v>
      </c>
      <c r="J162" s="73">
        <v>1.1362000000000001</v>
      </c>
      <c r="L162">
        <v>22</v>
      </c>
      <c r="M162" s="73">
        <f>ROUND((M140+L162/12),4)</f>
        <v>58.833300000000001</v>
      </c>
      <c r="N162" s="73">
        <f>ROUND(VLOOKUP(TRUNC(L162/12,0)+57,M140:N331,2,FALSE)-MOD(L162,12)*(VLOOKUP(TRUNC(L162/12,0)+57,M140:N331,2,FALSE)-VLOOKUP(TRUNC(L162/12,0)+1+57,M140:N331,2,FALSE))/12,4)</f>
        <v>9.6969999999999992</v>
      </c>
      <c r="O162" s="154"/>
      <c r="P162" s="154"/>
      <c r="Q162" s="154"/>
      <c r="R162">
        <v>15</v>
      </c>
      <c r="S162" s="73">
        <v>1.1103000000000001</v>
      </c>
      <c r="U162">
        <v>22</v>
      </c>
      <c r="V162" s="73">
        <f>ROUND((V140+U162/12),4)</f>
        <v>58.833300000000001</v>
      </c>
      <c r="W162" s="73">
        <f>ROUND(VLOOKUP(TRUNC(U162/12,0)+57,V140:W331,2,FALSE)-MOD(U162,12)*(VLOOKUP(TRUNC(U162/12,0)+57,V140:W331,2,FALSE)-VLOOKUP(TRUNC(U162/12,0)+1+57,V140:W331,2,FALSE))/12,4)</f>
        <v>11.1546</v>
      </c>
      <c r="X162" s="154"/>
      <c r="Y162" s="154"/>
      <c r="Z162">
        <v>15</v>
      </c>
      <c r="AA162" s="73">
        <v>1.1187</v>
      </c>
      <c r="AC162">
        <v>22</v>
      </c>
      <c r="AD162" s="73">
        <f>ROUND((AD140+AC162/12),4)</f>
        <v>58.833300000000001</v>
      </c>
      <c r="AE162" s="73">
        <f>ROUND(VLOOKUP(TRUNC(AC162/12,0)+57,AD140:AE331,2,FALSE)-MOD(AC162,12)*(VLOOKUP(TRUNC(AC162/12,0)+57,AD140:AE331,2,FALSE)-VLOOKUP(TRUNC(AC162/12,0)+1+57,AD140:AE331,2,FALSE))/12,4)</f>
        <v>11.1546</v>
      </c>
      <c r="AF162" s="154"/>
      <c r="AG162" s="154"/>
      <c r="AH162">
        <v>15</v>
      </c>
      <c r="AI162" s="73">
        <v>1.1371</v>
      </c>
      <c r="AK162">
        <v>22</v>
      </c>
      <c r="AL162" s="73">
        <f>ROUND((AL140+AK162/12),4)</f>
        <v>58.833300000000001</v>
      </c>
      <c r="AM162" s="73">
        <f>ROUND(VLOOKUP(TRUNC(AK162/12,0)+57,AL140:AM331,2,FALSE)-MOD(AK162,12)*(VLOOKUP(TRUNC(AK162/12,0)+57,AL140:AM331,2,FALSE)-VLOOKUP(TRUNC(AK162/12,0)+1+57,AL140:AM331,2,FALSE))/12,4)</f>
        <v>9.6969999999999992</v>
      </c>
      <c r="AN162" s="154"/>
      <c r="AO162" s="154"/>
      <c r="AP162" s="154"/>
      <c r="AR162" s="73"/>
      <c r="AT162" s="154"/>
      <c r="AU162" s="154"/>
      <c r="AV162" s="154"/>
      <c r="AW162" s="154"/>
      <c r="AX162" s="154"/>
      <c r="AY162" s="154"/>
      <c r="AZ162" s="154"/>
      <c r="BA162" s="154"/>
      <c r="BB162" s="154"/>
      <c r="BC162" s="154"/>
      <c r="BD162" s="154"/>
      <c r="BE162" s="154"/>
      <c r="BF162" s="154"/>
      <c r="BG162" s="154"/>
      <c r="BH162" s="154"/>
      <c r="BI162" s="154"/>
      <c r="BJ162" s="154"/>
      <c r="BK162" s="154"/>
      <c r="BL162" s="154"/>
      <c r="BM162" s="154"/>
      <c r="BN162" s="154"/>
      <c r="BO162" s="154"/>
      <c r="BP162" s="154"/>
      <c r="BQ162" s="154"/>
      <c r="BR162" s="154"/>
      <c r="BS162" s="154"/>
      <c r="BT162" s="154"/>
      <c r="BU162" s="154"/>
      <c r="BV162" s="154"/>
      <c r="BW162" s="154"/>
      <c r="BX162" s="154"/>
      <c r="BY162" s="154"/>
      <c r="BZ162" s="154"/>
      <c r="CA162" s="154"/>
      <c r="CB162" s="154"/>
      <c r="CC162" s="154"/>
      <c r="CD162" s="154"/>
      <c r="CE162" s="154"/>
      <c r="CF162" s="154"/>
      <c r="CG162" s="154"/>
      <c r="CH162" s="154"/>
      <c r="CI162" s="154"/>
      <c r="CJ162" s="154"/>
      <c r="CK162" s="154"/>
      <c r="CL162" s="154"/>
      <c r="CM162" s="154"/>
      <c r="CN162" s="154"/>
      <c r="CO162" s="154"/>
      <c r="CP162" s="70"/>
      <c r="CQ162" s="66"/>
    </row>
    <row r="163" spans="1:95" x14ac:dyDescent="0.2">
      <c r="A163">
        <v>16</v>
      </c>
      <c r="B163" s="73">
        <v>1.1180000000000001</v>
      </c>
      <c r="D163">
        <v>23</v>
      </c>
      <c r="E163" s="73">
        <f>ROUND((E140+D163/12),4)</f>
        <v>58.916699999999999</v>
      </c>
      <c r="F163" s="73">
        <f>ROUND(VLOOKUP(TRUNC(D163/12,0)+57,E140:F331,2,FALSE)-MOD(D163,12)*(VLOOKUP(TRUNC(D163/12,0)+57,E140:F331,2,FALSE)-VLOOKUP(TRUNC(D163/12,0)+1+57,E140:F331,2,FALSE))/12,4)</f>
        <v>11.279500000000001</v>
      </c>
      <c r="I163">
        <v>16</v>
      </c>
      <c r="J163" s="73">
        <v>1.1460999999999999</v>
      </c>
      <c r="L163">
        <v>23</v>
      </c>
      <c r="M163" s="73">
        <f>ROUND((M140+L163/12),4)</f>
        <v>58.916699999999999</v>
      </c>
      <c r="N163" s="73">
        <f>ROUND(VLOOKUP(TRUNC(L163/12,0)+57,M140:N331,2,FALSE)-MOD(L163,12)*(VLOOKUP(TRUNC(L163/12,0)+57,M140:N331,2,FALSE)-VLOOKUP(TRUNC(L163/12,0)+1+57,M140:N331,2,FALSE))/12,4)</f>
        <v>9.6811000000000007</v>
      </c>
      <c r="O163" s="154"/>
      <c r="P163" s="154"/>
      <c r="Q163" s="154"/>
      <c r="R163">
        <v>16</v>
      </c>
      <c r="S163" s="73">
        <v>1.1182000000000001</v>
      </c>
      <c r="U163">
        <v>23</v>
      </c>
      <c r="V163" s="73">
        <f>ROUND((V140+U163/12),4)</f>
        <v>58.916699999999999</v>
      </c>
      <c r="W163" s="73">
        <f>ROUND(VLOOKUP(TRUNC(U163/12,0)+57,V140:W331,2,FALSE)-MOD(U163,12)*(VLOOKUP(TRUNC(U163/12,0)+57,V140:W331,2,FALSE)-VLOOKUP(TRUNC(U163/12,0)+1+57,V140:W331,2,FALSE))/12,4)</f>
        <v>11.1394</v>
      </c>
      <c r="X163" s="154"/>
      <c r="Y163" s="154"/>
      <c r="Z163">
        <v>16</v>
      </c>
      <c r="AA163" s="73">
        <v>1.1273</v>
      </c>
      <c r="AC163">
        <v>23</v>
      </c>
      <c r="AD163" s="73">
        <f>ROUND((AD140+AC163/12),4)</f>
        <v>58.916699999999999</v>
      </c>
      <c r="AE163" s="73">
        <f>ROUND(VLOOKUP(TRUNC(AC163/12,0)+57,AD140:AE331,2,FALSE)-MOD(AC163,12)*(VLOOKUP(TRUNC(AC163/12,0)+57,AD140:AE331,2,FALSE)-VLOOKUP(TRUNC(AC163/12,0)+1+57,AD140:AE331,2,FALSE))/12,4)</f>
        <v>11.1394</v>
      </c>
      <c r="AF163" s="154"/>
      <c r="AG163" s="154"/>
      <c r="AH163">
        <v>16</v>
      </c>
      <c r="AI163" s="73">
        <v>1.1471</v>
      </c>
      <c r="AK163">
        <v>23</v>
      </c>
      <c r="AL163" s="73">
        <f>ROUND((AL140+AK163/12),4)</f>
        <v>58.916699999999999</v>
      </c>
      <c r="AM163" s="73">
        <f>ROUND(VLOOKUP(TRUNC(AK163/12,0)+57,AL140:AM331,2,FALSE)-MOD(AK163,12)*(VLOOKUP(TRUNC(AK163/12,0)+57,AL140:AM331,2,FALSE)-VLOOKUP(TRUNC(AK163/12,0)+1+57,AL140:AM331,2,FALSE))/12,4)</f>
        <v>9.6811000000000007</v>
      </c>
      <c r="AN163" s="154"/>
      <c r="AO163" s="154"/>
      <c r="AP163" s="154"/>
      <c r="AR163" s="73"/>
      <c r="AT163" s="154"/>
      <c r="AU163" s="154"/>
      <c r="AV163" s="154"/>
      <c r="AW163" s="154"/>
      <c r="AX163" s="154"/>
      <c r="AY163" s="154"/>
      <c r="AZ163" s="154"/>
      <c r="BA163" s="154"/>
      <c r="BB163" s="154"/>
      <c r="BC163" s="154"/>
      <c r="BD163" s="154"/>
      <c r="BE163" s="154"/>
      <c r="BF163" s="154"/>
      <c r="BG163" s="154"/>
      <c r="BH163" s="154"/>
      <c r="BI163" s="154"/>
      <c r="BJ163" s="154"/>
      <c r="BK163" s="154"/>
      <c r="BL163" s="154"/>
      <c r="BM163" s="154"/>
      <c r="BN163" s="154"/>
      <c r="BO163" s="154"/>
      <c r="BP163" s="154"/>
      <c r="BQ163" s="154"/>
      <c r="BR163" s="154"/>
      <c r="BS163" s="154"/>
      <c r="BT163" s="154"/>
      <c r="BU163" s="154"/>
      <c r="BV163" s="154"/>
      <c r="BW163" s="154"/>
      <c r="BX163" s="154"/>
      <c r="BY163" s="154"/>
      <c r="BZ163" s="154"/>
      <c r="CA163" s="154"/>
      <c r="CB163" s="154"/>
      <c r="CC163" s="154"/>
      <c r="CD163" s="154"/>
      <c r="CE163" s="154"/>
      <c r="CF163" s="154"/>
      <c r="CG163" s="154"/>
      <c r="CH163" s="154"/>
      <c r="CI163" s="154"/>
      <c r="CJ163" s="154"/>
      <c r="CK163" s="154"/>
      <c r="CL163" s="154"/>
      <c r="CM163" s="154"/>
      <c r="CN163" s="154"/>
      <c r="CO163" s="154"/>
      <c r="CP163" s="70"/>
      <c r="CQ163" s="66"/>
    </row>
    <row r="164" spans="1:95" x14ac:dyDescent="0.2">
      <c r="A164">
        <v>17</v>
      </c>
      <c r="B164" s="73">
        <v>1.1258999999999999</v>
      </c>
      <c r="D164">
        <v>24</v>
      </c>
      <c r="E164" s="73">
        <f>ROUND((E140+D164/12),4)</f>
        <v>59</v>
      </c>
      <c r="F164" s="73">
        <f>[1]!NPVF("Mp","SLA","N",B140:C140,"M",E164,E164,0,0,0,0,A140,A140,"P","","")</f>
        <v>11.264379562596277</v>
      </c>
      <c r="I164">
        <v>17</v>
      </c>
      <c r="J164" s="73">
        <v>1.1560999999999999</v>
      </c>
      <c r="L164">
        <v>24</v>
      </c>
      <c r="M164" s="73">
        <f>ROUND((M140+L164/12),4)</f>
        <v>59</v>
      </c>
      <c r="N164" s="73">
        <f>[1]!NPVF("Mp","SLA","N",J140:K140,"M",M164,M164,0,0,0,0,I140,I140,"P","","")</f>
        <v>9.6651658195184886</v>
      </c>
      <c r="O164" s="154"/>
      <c r="P164" s="154"/>
      <c r="Q164" s="154"/>
      <c r="R164">
        <v>17</v>
      </c>
      <c r="S164" s="73">
        <v>1.1261000000000001</v>
      </c>
      <c r="U164">
        <v>24</v>
      </c>
      <c r="V164" s="73">
        <f>ROUND((V140+U164/12),4)</f>
        <v>59</v>
      </c>
      <c r="W164" s="73">
        <f>[1]!NPVF("Mp","SLA","N",S140:T140,"M",V164,V164,0,0,0,0,R140,R140,"P","","")</f>
        <v>11.124243480770811</v>
      </c>
      <c r="X164" s="154"/>
      <c r="Y164" s="73"/>
      <c r="Z164">
        <v>17</v>
      </c>
      <c r="AA164" s="73">
        <v>1.1358999999999999</v>
      </c>
      <c r="AC164">
        <v>24</v>
      </c>
      <c r="AD164" s="73">
        <f>ROUND((AD140+AC164/12),4)</f>
        <v>59</v>
      </c>
      <c r="AE164" s="73">
        <f>[1]!NPVF("Mp","SLA","N",AA140:AB140,"M",AD164,AD164,0,0,0,0,Z140,Z140,"P","","")</f>
        <v>11.124243480770811</v>
      </c>
      <c r="AF164" s="154"/>
      <c r="AG164" s="154"/>
      <c r="AH164">
        <v>17</v>
      </c>
      <c r="AI164" s="73">
        <v>1.1572</v>
      </c>
      <c r="AK164">
        <v>24</v>
      </c>
      <c r="AL164" s="73">
        <f>ROUND((AL140+AK164/12),4)</f>
        <v>59</v>
      </c>
      <c r="AM164" s="73">
        <f>[1]!NPVF("Mp","SLA","N",AI140:AJ140,"M",AL164,AL164,0,0,0,0,AH140,AH140,"P","","")</f>
        <v>9.6651658195184886</v>
      </c>
      <c r="AN164" s="154"/>
      <c r="AO164" s="154"/>
      <c r="AP164" s="154"/>
      <c r="AR164" s="73"/>
      <c r="AT164" s="154"/>
      <c r="AU164" s="154"/>
      <c r="AV164" s="154"/>
      <c r="AW164" s="154"/>
      <c r="AX164" s="154"/>
      <c r="AY164" s="154"/>
      <c r="AZ164" s="154"/>
      <c r="BA164" s="154"/>
      <c r="BB164" s="154"/>
      <c r="BC164" s="154"/>
      <c r="BD164" s="154"/>
      <c r="BE164" s="154"/>
      <c r="BF164" s="154"/>
      <c r="BG164" s="154"/>
      <c r="BH164" s="154"/>
      <c r="BI164" s="154"/>
      <c r="BJ164" s="154"/>
      <c r="BK164" s="154"/>
      <c r="BL164" s="154"/>
      <c r="BM164" s="154"/>
      <c r="BN164" s="154"/>
      <c r="BO164" s="154"/>
      <c r="BP164" s="154"/>
      <c r="BQ164" s="154"/>
      <c r="BR164" s="154"/>
      <c r="BS164" s="154"/>
      <c r="BT164" s="154"/>
      <c r="BU164" s="154"/>
      <c r="BV164" s="154"/>
      <c r="BW164" s="154"/>
      <c r="BX164" s="154"/>
      <c r="BY164" s="154"/>
      <c r="BZ164" s="154"/>
      <c r="CA164" s="154"/>
      <c r="CB164" s="154"/>
      <c r="CC164" s="154"/>
      <c r="CD164" s="154"/>
      <c r="CE164" s="154"/>
      <c r="CF164" s="154"/>
      <c r="CG164" s="154"/>
      <c r="CH164" s="154"/>
      <c r="CI164" s="154"/>
      <c r="CJ164" s="154"/>
      <c r="CK164" s="154"/>
      <c r="CL164" s="154"/>
      <c r="CM164" s="154"/>
      <c r="CN164" s="154"/>
      <c r="CO164" s="154"/>
      <c r="CP164" s="70"/>
      <c r="CQ164" s="66"/>
    </row>
    <row r="165" spans="1:95" x14ac:dyDescent="0.2">
      <c r="A165">
        <v>18</v>
      </c>
      <c r="B165" s="73">
        <v>1.1337999999999999</v>
      </c>
      <c r="D165">
        <v>25</v>
      </c>
      <c r="E165" s="73">
        <f>ROUND((E140+D165/12),4)</f>
        <v>59.083300000000001</v>
      </c>
      <c r="F165" s="320">
        <f>ROUND(VLOOKUP(TRUNC(D165/12,0)+57,E140:F331,2,FALSE)-MOD(D165,12)*(VLOOKUP(TRUNC(D165/12,0)+57,E140:F331,2,FALSE)-VLOOKUP(TRUNC(D165/12,0)+1+57,E140:F331,2,FALSE))/12,4)</f>
        <v>11.248699999999999</v>
      </c>
      <c r="I165">
        <v>18</v>
      </c>
      <c r="J165" s="73">
        <v>1.1660999999999999</v>
      </c>
      <c r="L165">
        <v>25</v>
      </c>
      <c r="M165" s="73">
        <f>ROUND((M140+L165/12),4)</f>
        <v>59.083300000000001</v>
      </c>
      <c r="N165" s="320">
        <f>ROUND(VLOOKUP(TRUNC(L165/12,0)+57,M140:N331,2,FALSE)-MOD(L165,12)*(VLOOKUP(TRUNC(L165/12,0)+57,M140:N331,2,FALSE)-VLOOKUP(TRUNC(L165/12,0)+1+57,M140:N331,2,FALSE))/12,4)</f>
        <v>9.6486999999999998</v>
      </c>
      <c r="O165" s="154"/>
      <c r="P165" s="154"/>
      <c r="Q165" s="154"/>
      <c r="R165">
        <v>18</v>
      </c>
      <c r="S165" s="73">
        <v>1.1339999999999999</v>
      </c>
      <c r="U165">
        <v>25</v>
      </c>
      <c r="V165" s="73">
        <f>ROUND((V140+U165/12),4)</f>
        <v>59.083300000000001</v>
      </c>
      <c r="W165" s="320">
        <f>ROUND(VLOOKUP(TRUNC(U165/12,0)+57,V140:W331,2,FALSE)-MOD(U165,12)*(VLOOKUP(TRUNC(U165/12,0)+57,V140:W331,2,FALSE)-VLOOKUP(TRUNC(U165/12,0)+1+57,V140:W331,2,FALSE))/12,4)</f>
        <v>11.1084</v>
      </c>
      <c r="X165" s="154"/>
      <c r="Y165" s="73"/>
      <c r="Z165">
        <v>18</v>
      </c>
      <c r="AA165" s="73">
        <v>1.1445000000000001</v>
      </c>
      <c r="AC165">
        <v>25</v>
      </c>
      <c r="AD165" s="73">
        <f>ROUND((AD140+AC165/12),4)</f>
        <v>59.083300000000001</v>
      </c>
      <c r="AE165" s="320">
        <f>ROUND(VLOOKUP(TRUNC(AC165/12,0)+57,AD140:AE331,2,FALSE)-MOD(AC165,12)*(VLOOKUP(TRUNC(AC165/12,0)+57,AD140:AE331,2,FALSE)-VLOOKUP(TRUNC(AC165/12,0)+1+57,AD140:AE331,2,FALSE))/12,4)</f>
        <v>11.1084</v>
      </c>
      <c r="AF165" s="154"/>
      <c r="AG165" s="154"/>
      <c r="AH165">
        <v>18</v>
      </c>
      <c r="AI165" s="73">
        <v>1.1673</v>
      </c>
      <c r="AK165">
        <v>25</v>
      </c>
      <c r="AL165" s="73">
        <f>ROUND((AL140+AK165/12),4)</f>
        <v>59.083300000000001</v>
      </c>
      <c r="AM165" s="320">
        <f>ROUND(VLOOKUP(TRUNC(AK165/12,0)+57,AL140:AM331,2,FALSE)-MOD(AK165,12)*(VLOOKUP(TRUNC(AK165/12,0)+57,AL140:AM331,2,FALSE)-VLOOKUP(TRUNC(AK165/12,0)+1+57,AL140:AM331,2,FALSE))/12,4)</f>
        <v>9.6486999999999998</v>
      </c>
      <c r="AN165" s="154"/>
      <c r="AO165" s="154"/>
      <c r="AP165" s="154"/>
      <c r="AR165" s="73"/>
      <c r="AT165" s="154"/>
      <c r="AU165" s="154"/>
      <c r="AV165" s="154"/>
      <c r="AW165" s="154"/>
      <c r="AX165" s="154"/>
      <c r="AY165" s="154"/>
      <c r="AZ165" s="154"/>
      <c r="BA165" s="154"/>
      <c r="BB165" s="154"/>
      <c r="BC165" s="154"/>
      <c r="BD165" s="154"/>
      <c r="BE165" s="154"/>
      <c r="BF165" s="154"/>
      <c r="BG165" s="154"/>
      <c r="BH165" s="154"/>
      <c r="BI165" s="154"/>
      <c r="BJ165" s="154"/>
      <c r="BK165" s="154"/>
      <c r="BL165" s="154"/>
      <c r="BM165" s="154"/>
      <c r="BN165" s="154"/>
      <c r="BO165" s="154"/>
      <c r="BP165" s="154"/>
      <c r="BQ165" s="154"/>
      <c r="BR165" s="154"/>
      <c r="BS165" s="154"/>
      <c r="BT165" s="154"/>
      <c r="BU165" s="154"/>
      <c r="BV165" s="154"/>
      <c r="BW165" s="154"/>
      <c r="BX165" s="154"/>
      <c r="BY165" s="154"/>
      <c r="BZ165" s="154"/>
      <c r="CA165" s="154"/>
      <c r="CB165" s="154"/>
      <c r="CC165" s="154"/>
      <c r="CD165" s="154"/>
      <c r="CE165" s="154"/>
      <c r="CF165" s="154"/>
      <c r="CG165" s="154"/>
      <c r="CH165" s="154"/>
      <c r="CI165" s="154"/>
      <c r="CJ165" s="154"/>
      <c r="CK165" s="154"/>
      <c r="CL165" s="154"/>
      <c r="CM165" s="154"/>
      <c r="CN165" s="154"/>
      <c r="CO165" s="154"/>
      <c r="CP165" s="70"/>
      <c r="CQ165" s="66"/>
    </row>
    <row r="166" spans="1:95" x14ac:dyDescent="0.2">
      <c r="A166">
        <v>19</v>
      </c>
      <c r="B166" s="73">
        <v>1.1416999999999999</v>
      </c>
      <c r="D166">
        <v>26</v>
      </c>
      <c r="E166" s="73">
        <f>ROUND((E140+D166/12),4)</f>
        <v>59.166699999999999</v>
      </c>
      <c r="F166" s="73">
        <f>ROUND(VLOOKUP(TRUNC(D166/12,0)+57,E140:F331,2,FALSE)-MOD(D166,12)*(VLOOKUP(TRUNC(D166/12,0)+57,E140:F331,2,FALSE)-VLOOKUP(TRUNC(D166/12,0)+1+57,E140:F331,2,FALSE))/12,4)</f>
        <v>11.2331</v>
      </c>
      <c r="I166">
        <v>19</v>
      </c>
      <c r="J166" s="73">
        <v>1.1760999999999999</v>
      </c>
      <c r="L166">
        <v>26</v>
      </c>
      <c r="M166" s="73">
        <f>ROUND((M140+L166/12),4)</f>
        <v>59.166699999999999</v>
      </c>
      <c r="N166" s="73">
        <f>ROUND(VLOOKUP(TRUNC(L166/12,0)+57,M140:N331,2,FALSE)-MOD(L166,12)*(VLOOKUP(TRUNC(L166/12,0)+57,M140:N331,2,FALSE)-VLOOKUP(TRUNC(L166/12,0)+1+57,M140:N331,2,FALSE))/12,4)</f>
        <v>9.6323000000000008</v>
      </c>
      <c r="O166" s="154"/>
      <c r="P166" s="154"/>
      <c r="Q166" s="154"/>
      <c r="R166">
        <v>19</v>
      </c>
      <c r="S166" s="73">
        <v>1.1418999999999999</v>
      </c>
      <c r="U166">
        <v>26</v>
      </c>
      <c r="V166" s="73">
        <f>ROUND((V140+U166/12),4)</f>
        <v>59.166699999999999</v>
      </c>
      <c r="W166" s="73">
        <f>ROUND(VLOOKUP(TRUNC(U166/12,0)+57,V140:W331,2,FALSE)-MOD(U166,12)*(VLOOKUP(TRUNC(U166/12,0)+57,V140:W331,2,FALSE)-VLOOKUP(TRUNC(U166/12,0)+1+57,V140:W331,2,FALSE))/12,4)</f>
        <v>11.092599999999999</v>
      </c>
      <c r="X166" s="154"/>
      <c r="Y166" s="73"/>
      <c r="Z166">
        <v>19</v>
      </c>
      <c r="AA166" s="73">
        <v>1.153</v>
      </c>
      <c r="AC166">
        <v>26</v>
      </c>
      <c r="AD166" s="73">
        <f>ROUND((AD140+AC166/12),4)</f>
        <v>59.166699999999999</v>
      </c>
      <c r="AE166" s="73">
        <f>ROUND(VLOOKUP(TRUNC(AC166/12,0)+57,AD140:AE331,2,FALSE)-MOD(AC166,12)*(VLOOKUP(TRUNC(AC166/12,0)+57,AD140:AE331,2,FALSE)-VLOOKUP(TRUNC(AC166/12,0)+1+57,AD140:AE331,2,FALSE))/12,4)</f>
        <v>11.092599999999999</v>
      </c>
      <c r="AF166" s="154"/>
      <c r="AG166" s="154"/>
      <c r="AH166">
        <v>19</v>
      </c>
      <c r="AI166" s="73">
        <v>1.1773</v>
      </c>
      <c r="AK166">
        <v>26</v>
      </c>
      <c r="AL166" s="73">
        <f>ROUND((AL140+AK166/12),4)</f>
        <v>59.166699999999999</v>
      </c>
      <c r="AM166" s="73">
        <f>ROUND(VLOOKUP(TRUNC(AK166/12,0)+57,AL140:AM331,2,FALSE)-MOD(AK166,12)*(VLOOKUP(TRUNC(AK166/12,0)+57,AL140:AM331,2,FALSE)-VLOOKUP(TRUNC(AK166/12,0)+1+57,AL140:AM331,2,FALSE))/12,4)</f>
        <v>9.6323000000000008</v>
      </c>
      <c r="AN166" s="154"/>
      <c r="AO166" s="154"/>
      <c r="AP166" s="154"/>
      <c r="AR166" s="73"/>
      <c r="AT166" s="154"/>
      <c r="AU166" s="154"/>
      <c r="AV166" s="154"/>
      <c r="AW166" s="154"/>
      <c r="AX166" s="154"/>
      <c r="AY166" s="154"/>
      <c r="AZ166" s="154"/>
      <c r="BA166" s="154"/>
      <c r="BB166" s="154"/>
      <c r="BC166" s="154"/>
      <c r="BD166" s="154"/>
      <c r="BE166" s="154"/>
      <c r="BF166" s="154"/>
      <c r="BG166" s="154"/>
      <c r="BH166" s="154"/>
      <c r="BI166" s="154"/>
      <c r="BJ166" s="154"/>
      <c r="BK166" s="154"/>
      <c r="BL166" s="154"/>
      <c r="BM166" s="154"/>
      <c r="BN166" s="154"/>
      <c r="BO166" s="154"/>
      <c r="BP166" s="154"/>
      <c r="BQ166" s="154"/>
      <c r="BR166" s="154"/>
      <c r="BS166" s="154"/>
      <c r="BT166" s="154"/>
      <c r="BU166" s="154"/>
      <c r="BV166" s="154"/>
      <c r="BW166" s="154"/>
      <c r="BX166" s="154"/>
      <c r="BY166" s="154"/>
      <c r="BZ166" s="154"/>
      <c r="CA166" s="154"/>
      <c r="CB166" s="154"/>
      <c r="CC166" s="154"/>
      <c r="CD166" s="154"/>
      <c r="CE166" s="154"/>
      <c r="CF166" s="154"/>
      <c r="CG166" s="154"/>
      <c r="CH166" s="154"/>
      <c r="CI166" s="154"/>
      <c r="CJ166" s="154"/>
      <c r="CK166" s="154"/>
      <c r="CL166" s="154"/>
      <c r="CM166" s="154"/>
      <c r="CN166" s="154"/>
      <c r="CO166" s="154"/>
      <c r="CP166" s="70"/>
      <c r="CQ166" s="66"/>
    </row>
    <row r="167" spans="1:95" x14ac:dyDescent="0.2">
      <c r="A167">
        <v>20</v>
      </c>
      <c r="B167" s="73">
        <v>1.1496</v>
      </c>
      <c r="D167">
        <v>27</v>
      </c>
      <c r="E167" s="73">
        <f>ROUND((E140+D167/12),4)</f>
        <v>59.25</v>
      </c>
      <c r="F167" s="73">
        <f>ROUND(VLOOKUP(TRUNC(D167/12,0)+57,E140:F331,2,FALSE)-MOD(D167,12)*(VLOOKUP(TRUNC(D167/12,0)+57,E140:F331,2,FALSE)-VLOOKUP(TRUNC(D167/12,0)+1+57,E140:F331,2,FALSE))/12,4)</f>
        <v>11.2174</v>
      </c>
      <c r="I167">
        <v>20</v>
      </c>
      <c r="J167" s="73">
        <v>1.1860999999999999</v>
      </c>
      <c r="L167">
        <v>27</v>
      </c>
      <c r="M167" s="73">
        <f>ROUND((M140+L167/12),4)</f>
        <v>59.25</v>
      </c>
      <c r="N167" s="73">
        <f>ROUND(VLOOKUP(TRUNC(L167/12,0)+57,M140:N331,2,FALSE)-MOD(L167,12)*(VLOOKUP(TRUNC(L167/12,0)+57,M140:N331,2,FALSE)-VLOOKUP(TRUNC(L167/12,0)+1+57,M140:N331,2,FALSE))/12,4)</f>
        <v>9.6158000000000001</v>
      </c>
      <c r="O167" s="154"/>
      <c r="P167" s="154"/>
      <c r="Q167" s="154"/>
      <c r="R167">
        <v>20</v>
      </c>
      <c r="S167" s="73">
        <v>1.1497999999999999</v>
      </c>
      <c r="U167">
        <v>27</v>
      </c>
      <c r="V167" s="73">
        <f>ROUND((V140+U167/12),4)</f>
        <v>59.25</v>
      </c>
      <c r="W167" s="73">
        <f>ROUND(VLOOKUP(TRUNC(U167/12,0)+57,V140:W331,2,FALSE)-MOD(U167,12)*(VLOOKUP(TRUNC(U167/12,0)+57,V140:W331,2,FALSE)-VLOOKUP(TRUNC(U167/12,0)+1+57,V140:W331,2,FALSE))/12,4)</f>
        <v>11.0768</v>
      </c>
      <c r="X167" s="154"/>
      <c r="Y167" s="73"/>
      <c r="Z167">
        <v>20</v>
      </c>
      <c r="AA167" s="73">
        <v>1.1616</v>
      </c>
      <c r="AC167">
        <v>27</v>
      </c>
      <c r="AD167" s="73">
        <f>ROUND((AD140+AC167/12),4)</f>
        <v>59.25</v>
      </c>
      <c r="AE167" s="73">
        <f>ROUND(VLOOKUP(TRUNC(AC167/12,0)+57,AD140:AE331,2,FALSE)-MOD(AC167,12)*(VLOOKUP(TRUNC(AC167/12,0)+57,AD140:AE331,2,FALSE)-VLOOKUP(TRUNC(AC167/12,0)+1+57,AD140:AE331,2,FALSE))/12,4)</f>
        <v>11.0768</v>
      </c>
      <c r="AF167" s="154"/>
      <c r="AG167" s="154"/>
      <c r="AH167">
        <v>20</v>
      </c>
      <c r="AI167" s="73">
        <v>1.1874</v>
      </c>
      <c r="AK167">
        <v>27</v>
      </c>
      <c r="AL167" s="73">
        <f>ROUND((AL140+AK167/12),4)</f>
        <v>59.25</v>
      </c>
      <c r="AM167" s="73">
        <f>ROUND(VLOOKUP(TRUNC(AK167/12,0)+57,AL140:AM331,2,FALSE)-MOD(AK167,12)*(VLOOKUP(TRUNC(AK167/12,0)+57,AL140:AM331,2,FALSE)-VLOOKUP(TRUNC(AK167/12,0)+1+57,AL140:AM331,2,FALSE))/12,4)</f>
        <v>9.6158000000000001</v>
      </c>
      <c r="AN167" s="154"/>
      <c r="AO167" s="154"/>
      <c r="AP167" s="154"/>
      <c r="AR167" s="73"/>
      <c r="AT167" s="154"/>
      <c r="AU167" s="154"/>
      <c r="AV167" s="154"/>
      <c r="AW167" s="154"/>
      <c r="AX167" s="154"/>
      <c r="AY167" s="154"/>
      <c r="AZ167" s="154"/>
      <c r="BA167" s="154"/>
      <c r="BB167" s="154"/>
      <c r="BC167" s="154"/>
      <c r="BD167" s="154"/>
      <c r="BE167" s="154"/>
      <c r="BF167" s="154"/>
      <c r="BG167" s="154"/>
      <c r="BH167" s="154"/>
      <c r="BI167" s="154"/>
      <c r="BJ167" s="154"/>
      <c r="BK167" s="154"/>
      <c r="BL167" s="154"/>
      <c r="BM167" s="154"/>
      <c r="BN167" s="154"/>
      <c r="BO167" s="154"/>
      <c r="BP167" s="154"/>
      <c r="BQ167" s="154"/>
      <c r="BR167" s="154"/>
      <c r="BS167" s="154"/>
      <c r="BT167" s="154"/>
      <c r="BU167" s="154"/>
      <c r="BV167" s="154"/>
      <c r="BW167" s="154"/>
      <c r="BX167" s="154"/>
      <c r="BY167" s="154"/>
      <c r="BZ167" s="154"/>
      <c r="CA167" s="154"/>
      <c r="CB167" s="154"/>
      <c r="CC167" s="154"/>
      <c r="CD167" s="154"/>
      <c r="CE167" s="154"/>
      <c r="CF167" s="154"/>
      <c r="CG167" s="154"/>
      <c r="CH167" s="154"/>
      <c r="CI167" s="154"/>
      <c r="CJ167" s="154"/>
      <c r="CK167" s="154"/>
      <c r="CL167" s="154"/>
      <c r="CM167" s="154"/>
      <c r="CN167" s="154"/>
      <c r="CO167" s="154"/>
      <c r="CP167" s="70"/>
      <c r="CQ167" s="66"/>
    </row>
    <row r="168" spans="1:95" x14ac:dyDescent="0.2">
      <c r="A168">
        <v>21</v>
      </c>
      <c r="B168" s="73">
        <v>1.1575</v>
      </c>
      <c r="D168">
        <v>28</v>
      </c>
      <c r="E168" s="73">
        <f>ROUND((E140+D168/12),4)</f>
        <v>59.333300000000001</v>
      </c>
      <c r="F168" s="73">
        <f>ROUND(VLOOKUP(TRUNC(D168/12,0)+57,E140:F331,2,FALSE)-MOD(D168,12)*(VLOOKUP(TRUNC(D168/12,0)+57,E140:F331,2,FALSE)-VLOOKUP(TRUNC(D168/12,0)+1+57,E140:F331,2,FALSE))/12,4)</f>
        <v>11.2018</v>
      </c>
      <c r="I168">
        <v>21</v>
      </c>
      <c r="J168" s="73">
        <v>1.1960999999999999</v>
      </c>
      <c r="L168">
        <v>28</v>
      </c>
      <c r="M168" s="73">
        <f>ROUND((M140+L168/12),4)</f>
        <v>59.333300000000001</v>
      </c>
      <c r="N168" s="73">
        <f>ROUND(VLOOKUP(TRUNC(L168/12,0)+57,M140:N331,2,FALSE)-MOD(L168,12)*(VLOOKUP(TRUNC(L168/12,0)+57,M140:N331,2,FALSE)-VLOOKUP(TRUNC(L168/12,0)+1+57,M140:N331,2,FALSE))/12,4)</f>
        <v>9.5993999999999993</v>
      </c>
      <c r="O168" s="154"/>
      <c r="P168" s="154"/>
      <c r="Q168" s="154"/>
      <c r="R168">
        <v>21</v>
      </c>
      <c r="S168" s="73">
        <v>1.1577999999999999</v>
      </c>
      <c r="U168">
        <v>28</v>
      </c>
      <c r="V168" s="73">
        <f>ROUND((V140+U168/12),4)</f>
        <v>59.333300000000001</v>
      </c>
      <c r="W168" s="73">
        <f>ROUND(VLOOKUP(TRUNC(U168/12,0)+57,V140:W331,2,FALSE)-MOD(U168,12)*(VLOOKUP(TRUNC(U168/12,0)+57,V140:W331,2,FALSE)-VLOOKUP(TRUNC(U168/12,0)+1+57,V140:W331,2,FALSE))/12,4)</f>
        <v>11.061</v>
      </c>
      <c r="X168" s="154"/>
      <c r="Y168" s="73"/>
      <c r="Z168">
        <v>21</v>
      </c>
      <c r="AA168" s="73">
        <v>1.1701999999999999</v>
      </c>
      <c r="AC168">
        <v>28</v>
      </c>
      <c r="AD168" s="73">
        <f>ROUND((AD140+AC168/12),4)</f>
        <v>59.333300000000001</v>
      </c>
      <c r="AE168" s="73">
        <f>ROUND(VLOOKUP(TRUNC(AC168/12,0)+57,AD140:AE331,2,FALSE)-MOD(AC168,12)*(VLOOKUP(TRUNC(AC168/12,0)+57,AD140:AE331,2,FALSE)-VLOOKUP(TRUNC(AC168/12,0)+1+57,AD140:AE331,2,FALSE))/12,4)</f>
        <v>11.061</v>
      </c>
      <c r="AF168" s="154"/>
      <c r="AG168" s="154"/>
      <c r="AH168">
        <v>21</v>
      </c>
      <c r="AI168" s="73">
        <v>1.1974</v>
      </c>
      <c r="AK168">
        <v>28</v>
      </c>
      <c r="AL168" s="73">
        <f>ROUND((AL140+AK168/12),4)</f>
        <v>59.333300000000001</v>
      </c>
      <c r="AM168" s="73">
        <f>ROUND(VLOOKUP(TRUNC(AK168/12,0)+57,AL140:AM331,2,FALSE)-MOD(AK168,12)*(VLOOKUP(TRUNC(AK168/12,0)+57,AL140:AM331,2,FALSE)-VLOOKUP(TRUNC(AK168/12,0)+1+57,AL140:AM331,2,FALSE))/12,4)</f>
        <v>9.5993999999999993</v>
      </c>
      <c r="AN168" s="154"/>
      <c r="AO168" s="154"/>
      <c r="AP168" s="154"/>
      <c r="AR168" s="73"/>
      <c r="AT168" s="154"/>
      <c r="AU168" s="154"/>
      <c r="AV168" s="154"/>
      <c r="AW168" s="154"/>
      <c r="AX168" s="154"/>
      <c r="AY168" s="154"/>
      <c r="AZ168" s="154"/>
      <c r="BA168" s="154"/>
      <c r="BB168" s="154"/>
      <c r="BC168" s="154"/>
      <c r="BD168" s="154"/>
      <c r="BE168" s="154"/>
      <c r="BF168" s="154"/>
      <c r="BG168" s="154"/>
      <c r="BH168" s="154"/>
      <c r="BI168" s="154"/>
      <c r="BJ168" s="154"/>
      <c r="BK168" s="154"/>
      <c r="BL168" s="154"/>
      <c r="BM168" s="154"/>
      <c r="BN168" s="154"/>
      <c r="BO168" s="154"/>
      <c r="BP168" s="154"/>
      <c r="BQ168" s="154"/>
      <c r="BR168" s="154"/>
      <c r="BS168" s="154"/>
      <c r="BT168" s="154"/>
      <c r="BU168" s="154"/>
      <c r="BV168" s="154"/>
      <c r="BW168" s="154"/>
      <c r="BX168" s="154"/>
      <c r="BY168" s="154"/>
      <c r="BZ168" s="154"/>
      <c r="CA168" s="154"/>
      <c r="CB168" s="154"/>
      <c r="CC168" s="154"/>
      <c r="CD168" s="154"/>
      <c r="CE168" s="154"/>
      <c r="CF168" s="154"/>
      <c r="CG168" s="154"/>
      <c r="CH168" s="154"/>
      <c r="CI168" s="154"/>
      <c r="CJ168" s="154"/>
      <c r="CK168" s="154"/>
      <c r="CL168" s="154"/>
      <c r="CM168" s="154"/>
      <c r="CN168" s="154"/>
      <c r="CO168" s="154"/>
      <c r="CP168" s="70"/>
      <c r="CQ168" s="318"/>
    </row>
    <row r="169" spans="1:95" x14ac:dyDescent="0.2">
      <c r="A169">
        <v>22</v>
      </c>
      <c r="B169" s="73">
        <v>1.1654</v>
      </c>
      <c r="D169">
        <v>29</v>
      </c>
      <c r="E169" s="73">
        <f>ROUND((E140+D169/12),4)</f>
        <v>59.416699999999999</v>
      </c>
      <c r="F169" s="73">
        <f>ROUND(VLOOKUP(TRUNC(D169/12,0)+57,E140:F331,2,FALSE)-MOD(D169,12)*(VLOOKUP(TRUNC(D169/12,0)+57,E140:F331,2,FALSE)-VLOOKUP(TRUNC(D169/12,0)+1+57,E140:F331,2,FALSE))/12,4)</f>
        <v>11.1861</v>
      </c>
      <c r="I169">
        <v>22</v>
      </c>
      <c r="J169" s="73">
        <v>1.206</v>
      </c>
      <c r="L169">
        <v>29</v>
      </c>
      <c r="M169" s="73">
        <f>ROUND((M140+L169/12),4)</f>
        <v>59.416699999999999</v>
      </c>
      <c r="N169" s="73">
        <f>ROUND(VLOOKUP(TRUNC(L169/12,0)+57,M140:N331,2,FALSE)-MOD(L169,12)*(VLOOKUP(TRUNC(L169/12,0)+57,M140:N331,2,FALSE)-VLOOKUP(TRUNC(L169/12,0)+1+57,M140:N331,2,FALSE))/12,4)</f>
        <v>9.5829000000000004</v>
      </c>
      <c r="O169" s="154"/>
      <c r="P169" s="154"/>
      <c r="Q169" s="154"/>
      <c r="R169">
        <v>22</v>
      </c>
      <c r="S169" s="73">
        <v>1.1657</v>
      </c>
      <c r="U169">
        <v>29</v>
      </c>
      <c r="V169" s="73">
        <f>ROUND((V140+U169/12),4)</f>
        <v>59.416699999999999</v>
      </c>
      <c r="W169" s="73">
        <f>ROUND(VLOOKUP(TRUNC(U169/12,0)+57,V140:W331,2,FALSE)-MOD(U169,12)*(VLOOKUP(TRUNC(U169/12,0)+57,V140:W331,2,FALSE)-VLOOKUP(TRUNC(U169/12,0)+1+57,V140:W331,2,FALSE))/12,4)</f>
        <v>11.045199999999999</v>
      </c>
      <c r="X169" s="154"/>
      <c r="Y169" s="321"/>
      <c r="Z169">
        <v>22</v>
      </c>
      <c r="AA169" s="73">
        <v>1.1788000000000001</v>
      </c>
      <c r="AC169">
        <v>29</v>
      </c>
      <c r="AD169" s="73">
        <f>ROUND((AD140+AC169/12),4)</f>
        <v>59.416699999999999</v>
      </c>
      <c r="AE169" s="73">
        <f>ROUND(VLOOKUP(TRUNC(AC169/12,0)+57,AD140:AE331,2,FALSE)-MOD(AC169,12)*(VLOOKUP(TRUNC(AC169/12,0)+57,AD140:AE331,2,FALSE)-VLOOKUP(TRUNC(AC169/12,0)+1+57,AD140:AE331,2,FALSE))/12,4)</f>
        <v>11.045199999999999</v>
      </c>
      <c r="AF169" s="154"/>
      <c r="AG169" s="154"/>
      <c r="AH169">
        <v>22</v>
      </c>
      <c r="AI169" s="73">
        <v>1.2075</v>
      </c>
      <c r="AK169">
        <v>29</v>
      </c>
      <c r="AL169" s="73">
        <f>ROUND((AL140+AK169/12),4)</f>
        <v>59.416699999999999</v>
      </c>
      <c r="AM169" s="73">
        <f>ROUND(VLOOKUP(TRUNC(AK169/12,0)+57,AL140:AM331,2,FALSE)-MOD(AK169,12)*(VLOOKUP(TRUNC(AK169/12,0)+57,AL140:AM331,2,FALSE)-VLOOKUP(TRUNC(AK169/12,0)+1+57,AL140:AM331,2,FALSE))/12,4)</f>
        <v>9.5829000000000004</v>
      </c>
      <c r="AN169" s="154"/>
      <c r="AO169" s="154"/>
      <c r="AP169" s="154"/>
      <c r="AR169" s="73"/>
      <c r="AT169" s="154"/>
      <c r="AU169" s="154"/>
      <c r="AV169" s="154"/>
      <c r="AW169" s="154"/>
      <c r="AX169" s="154"/>
      <c r="AY169" s="154"/>
      <c r="AZ169" s="154"/>
      <c r="BA169" s="154"/>
      <c r="BB169" s="154"/>
      <c r="BC169" s="154"/>
      <c r="BD169" s="154"/>
      <c r="BE169" s="154"/>
      <c r="BF169" s="154"/>
      <c r="BG169" s="154"/>
      <c r="BH169" s="154"/>
      <c r="BI169" s="154"/>
      <c r="BJ169" s="154"/>
      <c r="BK169" s="154"/>
      <c r="BL169" s="154"/>
      <c r="BM169" s="154"/>
      <c r="BN169" s="154"/>
      <c r="BO169" s="154"/>
      <c r="BP169" s="154"/>
      <c r="BQ169" s="154"/>
      <c r="BR169" s="154"/>
      <c r="BS169" s="154"/>
      <c r="BT169" s="154"/>
      <c r="BU169" s="154"/>
      <c r="BV169" s="154"/>
      <c r="BW169" s="154"/>
      <c r="BX169" s="154"/>
      <c r="BY169" s="154"/>
      <c r="BZ169" s="154"/>
      <c r="CA169" s="154"/>
      <c r="CB169" s="154"/>
      <c r="CC169" s="154"/>
      <c r="CD169" s="154"/>
      <c r="CE169" s="154"/>
      <c r="CF169" s="154"/>
      <c r="CG169" s="154"/>
      <c r="CH169" s="154"/>
      <c r="CI169" s="154"/>
      <c r="CJ169" s="154"/>
      <c r="CK169" s="154"/>
      <c r="CL169" s="154"/>
      <c r="CM169" s="154"/>
      <c r="CN169" s="154"/>
      <c r="CO169" s="154"/>
      <c r="CP169" s="70"/>
      <c r="CQ169" s="318"/>
    </row>
    <row r="170" spans="1:95" x14ac:dyDescent="0.2">
      <c r="A170">
        <v>23</v>
      </c>
      <c r="B170" s="73">
        <v>1.1733</v>
      </c>
      <c r="D170">
        <v>30</v>
      </c>
      <c r="E170" s="73">
        <f>ROUND((E140+D170/12),4)</f>
        <v>59.5</v>
      </c>
      <c r="F170" s="73">
        <f>ROUND(VLOOKUP(TRUNC(D170/12,0)+57,E140:F331,2,FALSE)-MOD(D170,12)*(VLOOKUP(TRUNC(D170/12,0)+57,E140:F331,2,FALSE)-VLOOKUP(TRUNC(D170/12,0)+1+57,E140:F331,2,FALSE))/12,4)</f>
        <v>11.170500000000001</v>
      </c>
      <c r="I170">
        <v>23</v>
      </c>
      <c r="J170" s="73">
        <v>1.216</v>
      </c>
      <c r="L170">
        <v>30</v>
      </c>
      <c r="M170" s="73">
        <f>ROUND((M140+L170/12),4)</f>
        <v>59.5</v>
      </c>
      <c r="N170" s="73">
        <f>ROUND(VLOOKUP(TRUNC(L170/12,0)+57,M140:N331,2,FALSE)-MOD(L170,12)*(VLOOKUP(TRUNC(L170/12,0)+57,M140:N331,2,FALSE)-VLOOKUP(TRUNC(L170/12,0)+1+57,M140:N331,2,FALSE))/12,4)</f>
        <v>9.5664999999999996</v>
      </c>
      <c r="O170" s="154"/>
      <c r="P170" s="154"/>
      <c r="Q170" s="154"/>
      <c r="R170">
        <v>23</v>
      </c>
      <c r="S170" s="73">
        <v>1.1736</v>
      </c>
      <c r="U170">
        <v>30</v>
      </c>
      <c r="V170" s="73">
        <f>ROUND((V140+U170/12),4)</f>
        <v>59.5</v>
      </c>
      <c r="W170" s="73">
        <f>ROUND(VLOOKUP(TRUNC(U170/12,0)+57,V140:W331,2,FALSE)-MOD(U170,12)*(VLOOKUP(TRUNC(U170/12,0)+57,V140:W331,2,FALSE)-VLOOKUP(TRUNC(U170/12,0)+1+57,V140:W331,2,FALSE))/12,4)</f>
        <v>11.029400000000001</v>
      </c>
      <c r="X170" s="154"/>
      <c r="Y170" s="154"/>
      <c r="Z170">
        <v>23</v>
      </c>
      <c r="AA170" s="73">
        <v>1.1873</v>
      </c>
      <c r="AC170">
        <v>30</v>
      </c>
      <c r="AD170" s="73">
        <f>ROUND((AD140+AC170/12),4)</f>
        <v>59.5</v>
      </c>
      <c r="AE170" s="73">
        <f>ROUND(VLOOKUP(TRUNC(AC170/12,0)+57,AD140:AE331,2,FALSE)-MOD(AC170,12)*(VLOOKUP(TRUNC(AC170/12,0)+57,AD140:AE331,2,FALSE)-VLOOKUP(TRUNC(AC170/12,0)+1+57,AD140:AE331,2,FALSE))/12,4)</f>
        <v>11.029400000000001</v>
      </c>
      <c r="AF170" s="154"/>
      <c r="AG170" s="154"/>
      <c r="AH170">
        <v>23</v>
      </c>
      <c r="AI170" s="73">
        <v>1.2175</v>
      </c>
      <c r="AK170">
        <v>30</v>
      </c>
      <c r="AL170" s="73">
        <f>ROUND((AL140+AK170/12),4)</f>
        <v>59.5</v>
      </c>
      <c r="AM170" s="73">
        <f>ROUND(VLOOKUP(TRUNC(AK170/12,0)+57,AL140:AM331,2,FALSE)-MOD(AK170,12)*(VLOOKUP(TRUNC(AK170/12,0)+57,AL140:AM331,2,FALSE)-VLOOKUP(TRUNC(AK170/12,0)+1+57,AL140:AM331,2,FALSE))/12,4)</f>
        <v>9.5664999999999996</v>
      </c>
      <c r="AN170" s="154"/>
      <c r="AO170" s="154"/>
      <c r="AP170" s="154"/>
      <c r="AR170" s="73"/>
      <c r="AT170" s="154"/>
      <c r="AU170" s="154"/>
      <c r="AV170" s="154"/>
      <c r="AW170" s="154"/>
      <c r="AX170" s="154"/>
      <c r="AY170" s="154"/>
      <c r="AZ170" s="154"/>
      <c r="BA170" s="154"/>
      <c r="BB170" s="154"/>
      <c r="BC170" s="154"/>
      <c r="BD170" s="154"/>
      <c r="BE170" s="154"/>
      <c r="BF170" s="154"/>
      <c r="BG170" s="154"/>
      <c r="BH170" s="154"/>
      <c r="BI170" s="154"/>
      <c r="BJ170" s="154"/>
      <c r="BK170" s="154"/>
      <c r="BL170" s="154"/>
      <c r="BM170" s="154"/>
      <c r="BN170" s="154"/>
      <c r="BO170" s="154"/>
      <c r="BP170" s="154"/>
      <c r="BQ170" s="154"/>
      <c r="BR170" s="154"/>
      <c r="BS170" s="154"/>
      <c r="BT170" s="154"/>
      <c r="BU170" s="154"/>
      <c r="BV170" s="154"/>
      <c r="BW170" s="154"/>
      <c r="BX170" s="154"/>
      <c r="BY170" s="154"/>
      <c r="BZ170" s="154"/>
      <c r="CA170" s="154"/>
      <c r="CB170" s="154"/>
      <c r="CC170" s="154"/>
      <c r="CD170" s="154"/>
      <c r="CE170" s="154"/>
      <c r="CF170" s="154"/>
      <c r="CG170" s="154"/>
      <c r="CH170" s="154"/>
      <c r="CI170" s="154"/>
      <c r="CJ170" s="154"/>
      <c r="CK170" s="154"/>
      <c r="CL170" s="154"/>
      <c r="CM170" s="154"/>
      <c r="CN170" s="154"/>
      <c r="CO170" s="154"/>
      <c r="CP170" s="70"/>
      <c r="CQ170" s="66"/>
    </row>
    <row r="171" spans="1:95" x14ac:dyDescent="0.2">
      <c r="A171">
        <v>24</v>
      </c>
      <c r="B171" s="73">
        <v>1.1812</v>
      </c>
      <c r="D171">
        <v>31</v>
      </c>
      <c r="E171" s="73">
        <f>ROUND((E140+D171/12),4)</f>
        <v>59.583300000000001</v>
      </c>
      <c r="F171" s="73">
        <f>ROUND(VLOOKUP(TRUNC(D171/12,0)+57,E140:F331,2,FALSE)-MOD(D171,12)*(VLOOKUP(TRUNC(D171/12,0)+57,E140:F331,2,FALSE)-VLOOKUP(TRUNC(D171/12,0)+1+57,E140:F331,2,FALSE))/12,4)</f>
        <v>11.1549</v>
      </c>
      <c r="I171">
        <v>24</v>
      </c>
      <c r="J171" s="73">
        <v>1.226</v>
      </c>
      <c r="L171">
        <v>31</v>
      </c>
      <c r="M171" s="73">
        <f>ROUND((M140+L171/12),4)</f>
        <v>59.583300000000001</v>
      </c>
      <c r="N171" s="73">
        <f>ROUND(VLOOKUP(TRUNC(L171/12,0)+57,M140:N331,2,FALSE)-MOD(L171,12)*(VLOOKUP(TRUNC(L171/12,0)+57,M140:N331,2,FALSE)-VLOOKUP(TRUNC(L171/12,0)+1+57,M140:N331,2,FALSE))/12,4)</f>
        <v>9.5500000000000007</v>
      </c>
      <c r="O171" s="154"/>
      <c r="P171" s="154"/>
      <c r="Q171" s="154"/>
      <c r="R171">
        <v>24</v>
      </c>
      <c r="S171" s="73">
        <v>1.1815</v>
      </c>
      <c r="U171">
        <v>31</v>
      </c>
      <c r="V171" s="73">
        <f>ROUND((V140+U171/12),4)</f>
        <v>59.583300000000001</v>
      </c>
      <c r="W171" s="73">
        <f>ROUND(VLOOKUP(TRUNC(U171/12,0)+57,V140:W331,2,FALSE)-MOD(U171,12)*(VLOOKUP(TRUNC(U171/12,0)+57,V140:W331,2,FALSE)-VLOOKUP(TRUNC(U171/12,0)+1+57,V140:W331,2,FALSE))/12,4)</f>
        <v>11.0136</v>
      </c>
      <c r="X171" s="154"/>
      <c r="Y171" s="154"/>
      <c r="Z171">
        <v>24</v>
      </c>
      <c r="AA171" s="73">
        <v>1.1959</v>
      </c>
      <c r="AC171">
        <v>31</v>
      </c>
      <c r="AD171" s="73">
        <f>ROUND((AD140+AC171/12),4)</f>
        <v>59.583300000000001</v>
      </c>
      <c r="AE171" s="73">
        <f>ROUND(VLOOKUP(TRUNC(AC171/12,0)+57,AD140:AE331,2,FALSE)-MOD(AC171,12)*(VLOOKUP(TRUNC(AC171/12,0)+57,AD140:AE331,2,FALSE)-VLOOKUP(TRUNC(AC171/12,0)+1+57,AD140:AE331,2,FALSE))/12,4)</f>
        <v>11.0136</v>
      </c>
      <c r="AF171" s="154"/>
      <c r="AG171" s="154"/>
      <c r="AH171">
        <v>24</v>
      </c>
      <c r="AI171" s="73">
        <v>1.2276</v>
      </c>
      <c r="AK171">
        <v>31</v>
      </c>
      <c r="AL171" s="73">
        <f>ROUND((AL140+AK171/12),4)</f>
        <v>59.583300000000001</v>
      </c>
      <c r="AM171" s="73">
        <f>ROUND(VLOOKUP(TRUNC(AK171/12,0)+57,AL140:AM331,2,FALSE)-MOD(AK171,12)*(VLOOKUP(TRUNC(AK171/12,0)+57,AL140:AM331,2,FALSE)-VLOOKUP(TRUNC(AK171/12,0)+1+57,AL140:AM331,2,FALSE))/12,4)</f>
        <v>9.5500000000000007</v>
      </c>
      <c r="AN171" s="154"/>
      <c r="AO171" s="154"/>
      <c r="AP171" s="154"/>
      <c r="AR171" s="73"/>
      <c r="AT171" s="154"/>
      <c r="AU171" s="154"/>
      <c r="AV171" s="154"/>
      <c r="AW171" s="154"/>
      <c r="AX171" s="154"/>
      <c r="AY171" s="154"/>
      <c r="AZ171" s="154"/>
      <c r="BA171" s="154"/>
      <c r="BB171" s="154"/>
      <c r="BC171" s="154"/>
      <c r="BD171" s="154"/>
      <c r="BE171" s="154"/>
      <c r="BF171" s="154"/>
      <c r="BG171" s="154"/>
      <c r="BH171" s="154"/>
      <c r="BI171" s="154"/>
      <c r="BJ171" s="154"/>
      <c r="BK171" s="154"/>
      <c r="BL171" s="154"/>
      <c r="BM171" s="154"/>
      <c r="BN171" s="154"/>
      <c r="BO171" s="154"/>
      <c r="BP171" s="154"/>
      <c r="BQ171" s="154"/>
      <c r="BR171" s="154"/>
      <c r="BS171" s="154"/>
      <c r="BT171" s="154"/>
      <c r="BU171" s="154"/>
      <c r="BV171" s="154"/>
      <c r="BW171" s="154"/>
      <c r="BX171" s="154"/>
      <c r="BY171" s="154"/>
      <c r="BZ171" s="154"/>
      <c r="CA171" s="154"/>
      <c r="CB171" s="154"/>
      <c r="CC171" s="154"/>
      <c r="CD171" s="154"/>
      <c r="CE171" s="154"/>
      <c r="CF171" s="154"/>
      <c r="CG171" s="154"/>
      <c r="CH171" s="154"/>
      <c r="CI171" s="154"/>
      <c r="CJ171" s="154"/>
      <c r="CK171" s="154"/>
      <c r="CL171" s="154"/>
      <c r="CM171" s="154"/>
      <c r="CN171" s="154"/>
      <c r="CO171" s="154"/>
      <c r="CP171" s="70"/>
      <c r="CQ171" s="66"/>
    </row>
    <row r="172" spans="1:95" x14ac:dyDescent="0.2">
      <c r="A172">
        <v>25</v>
      </c>
      <c r="B172" s="73">
        <v>1.1899</v>
      </c>
      <c r="D172">
        <v>32</v>
      </c>
      <c r="E172" s="73">
        <f>ROUND((E140+D172/12),4)</f>
        <v>59.666699999999999</v>
      </c>
      <c r="F172" s="73">
        <f>ROUND(VLOOKUP(TRUNC(D172/12,0)+57,E140:F331,2,FALSE)-MOD(D172,12)*(VLOOKUP(TRUNC(D172/12,0)+57,E140:F331,2,FALSE)-VLOOKUP(TRUNC(D172/12,0)+1+57,E140:F331,2,FALSE))/12,4)</f>
        <v>11.139200000000001</v>
      </c>
      <c r="I172">
        <v>25</v>
      </c>
      <c r="J172" s="73">
        <v>1.2373000000000001</v>
      </c>
      <c r="L172">
        <v>32</v>
      </c>
      <c r="M172" s="73">
        <f>ROUND((M140+L172/12),4)</f>
        <v>59.666699999999999</v>
      </c>
      <c r="N172" s="73">
        <f>ROUND(VLOOKUP(TRUNC(L172/12,0)+57,M140:N331,2,FALSE)-MOD(L172,12)*(VLOOKUP(TRUNC(L172/12,0)+57,M140:N331,2,FALSE)-VLOOKUP(TRUNC(L172/12,0)+1+57,M140:N331,2,FALSE))/12,4)</f>
        <v>9.5335999999999999</v>
      </c>
      <c r="O172" s="154"/>
      <c r="P172" s="154"/>
      <c r="Q172" s="154"/>
      <c r="R172">
        <v>25</v>
      </c>
      <c r="S172" s="73">
        <v>1.1901999999999999</v>
      </c>
      <c r="U172">
        <v>32</v>
      </c>
      <c r="V172" s="73">
        <f>ROUND((V140+U172/12),4)</f>
        <v>59.666699999999999</v>
      </c>
      <c r="W172" s="73">
        <f>ROUND(VLOOKUP(TRUNC(U172/12,0)+57,V140:W331,2,FALSE)-MOD(U172,12)*(VLOOKUP(TRUNC(U172/12,0)+57,V140:W331,2,FALSE)-VLOOKUP(TRUNC(U172/12,0)+1+57,V140:W331,2,FALSE))/12,4)</f>
        <v>10.9978</v>
      </c>
      <c r="X172" s="154"/>
      <c r="Y172" s="154"/>
      <c r="Z172">
        <v>25</v>
      </c>
      <c r="AA172" s="73">
        <v>1.2054</v>
      </c>
      <c r="AC172">
        <v>32</v>
      </c>
      <c r="AD172" s="73">
        <f>ROUND((AD140+AC172/12),4)</f>
        <v>59.666699999999999</v>
      </c>
      <c r="AE172" s="73">
        <f>ROUND(VLOOKUP(TRUNC(AC172/12,0)+57,AD140:AE331,2,FALSE)-MOD(AC172,12)*(VLOOKUP(TRUNC(AC172/12,0)+57,AD140:AE331,2,FALSE)-VLOOKUP(TRUNC(AC172/12,0)+1+57,AD140:AE331,2,FALSE))/12,4)</f>
        <v>10.9978</v>
      </c>
      <c r="AF172" s="154"/>
      <c r="AG172" s="154"/>
      <c r="AH172">
        <v>25</v>
      </c>
      <c r="AI172" s="73">
        <v>1.2390000000000001</v>
      </c>
      <c r="AK172">
        <v>32</v>
      </c>
      <c r="AL172" s="73">
        <f>ROUND((AL140+AK172/12),4)</f>
        <v>59.666699999999999</v>
      </c>
      <c r="AM172" s="73">
        <f>ROUND(VLOOKUP(TRUNC(AK172/12,0)+57,AL140:AM331,2,FALSE)-MOD(AK172,12)*(VLOOKUP(TRUNC(AK172/12,0)+57,AL140:AM331,2,FALSE)-VLOOKUP(TRUNC(AK172/12,0)+1+57,AL140:AM331,2,FALSE))/12,4)</f>
        <v>9.5335999999999999</v>
      </c>
      <c r="AN172" s="154"/>
      <c r="AO172" s="154"/>
      <c r="AP172" s="154"/>
      <c r="AR172" s="73"/>
      <c r="AT172" s="154"/>
      <c r="AU172" s="154"/>
      <c r="AV172" s="154"/>
      <c r="AW172" s="154"/>
      <c r="AX172" s="154"/>
      <c r="AY172" s="154"/>
      <c r="AZ172" s="154"/>
      <c r="BA172" s="154"/>
      <c r="BB172" s="154"/>
      <c r="BC172" s="154"/>
      <c r="BD172" s="154"/>
      <c r="BE172" s="154"/>
      <c r="BF172" s="154"/>
      <c r="BG172" s="154"/>
      <c r="BH172" s="154"/>
      <c r="BI172" s="154"/>
      <c r="BJ172" s="154"/>
      <c r="BK172" s="154"/>
      <c r="BL172" s="154"/>
      <c r="BM172" s="154"/>
      <c r="BN172" s="154"/>
      <c r="BO172" s="154"/>
      <c r="BP172" s="154"/>
      <c r="BQ172" s="154"/>
      <c r="BR172" s="154"/>
      <c r="BS172" s="154"/>
      <c r="BT172" s="154"/>
      <c r="BU172" s="154"/>
      <c r="BV172" s="154"/>
      <c r="BW172" s="154"/>
      <c r="BX172" s="154"/>
      <c r="BY172" s="154"/>
      <c r="BZ172" s="154"/>
      <c r="CA172" s="154"/>
      <c r="CB172" s="154"/>
      <c r="CC172" s="154"/>
      <c r="CD172" s="154"/>
      <c r="CE172" s="154"/>
      <c r="CF172" s="154"/>
      <c r="CG172" s="154"/>
      <c r="CH172" s="154"/>
      <c r="CI172" s="154"/>
      <c r="CJ172" s="154"/>
      <c r="CK172" s="154"/>
      <c r="CL172" s="154"/>
      <c r="CM172" s="154"/>
      <c r="CN172" s="154"/>
      <c r="CO172" s="154"/>
      <c r="CP172" s="70"/>
      <c r="CQ172" s="66"/>
    </row>
    <row r="173" spans="1:95" x14ac:dyDescent="0.2">
      <c r="A173">
        <v>26</v>
      </c>
      <c r="B173" s="73">
        <v>1.1986000000000001</v>
      </c>
      <c r="D173">
        <v>33</v>
      </c>
      <c r="E173" s="73">
        <f>ROUND((E140+D173/12),4)</f>
        <v>59.75</v>
      </c>
      <c r="F173" s="73">
        <f>ROUND(VLOOKUP(TRUNC(D173/12,0)+57,E140:F331,2,FALSE)-MOD(D173,12)*(VLOOKUP(TRUNC(D173/12,0)+57,E140:F331,2,FALSE)-VLOOKUP(TRUNC(D173/12,0)+1+57,E140:F331,2,FALSE))/12,4)</f>
        <v>11.1236</v>
      </c>
      <c r="I173">
        <v>26</v>
      </c>
      <c r="J173" s="73">
        <v>1.2485999999999999</v>
      </c>
      <c r="L173">
        <v>33</v>
      </c>
      <c r="M173" s="73">
        <f>ROUND((M140+L173/12),4)</f>
        <v>59.75</v>
      </c>
      <c r="N173" s="73">
        <f>ROUND(VLOOKUP(TRUNC(L173/12,0)+57,M140:N331,2,FALSE)-MOD(L173,12)*(VLOOKUP(TRUNC(L173/12,0)+57,M140:N331,2,FALSE)-VLOOKUP(TRUNC(L173/12,0)+1+57,M140:N331,2,FALSE))/12,4)</f>
        <v>9.5170999999999992</v>
      </c>
      <c r="O173" s="154"/>
      <c r="P173" s="154"/>
      <c r="Q173" s="154"/>
      <c r="R173">
        <v>26</v>
      </c>
      <c r="S173" s="73">
        <v>1.1990000000000001</v>
      </c>
      <c r="U173">
        <v>33</v>
      </c>
      <c r="V173" s="73">
        <f>ROUND((V140+U173/12),4)</f>
        <v>59.75</v>
      </c>
      <c r="W173" s="73">
        <f>ROUND(VLOOKUP(TRUNC(U173/12,0)+57,V140:W331,2,FALSE)-MOD(U173,12)*(VLOOKUP(TRUNC(U173/12,0)+57,V140:W331,2,FALSE)-VLOOKUP(TRUNC(U173/12,0)+1+57,V140:W331,2,FALSE))/12,4)</f>
        <v>10.981999999999999</v>
      </c>
      <c r="X173" s="154"/>
      <c r="Y173" s="154"/>
      <c r="Z173">
        <v>26</v>
      </c>
      <c r="AA173" s="73">
        <v>1.2149000000000001</v>
      </c>
      <c r="AC173">
        <v>33</v>
      </c>
      <c r="AD173" s="73">
        <f>ROUND((AD140+AC173/12),4)</f>
        <v>59.75</v>
      </c>
      <c r="AE173" s="73">
        <f>ROUND(VLOOKUP(TRUNC(AC173/12,0)+57,AD140:AE331,2,FALSE)-MOD(AC173,12)*(VLOOKUP(TRUNC(AC173/12,0)+57,AD140:AE331,2,FALSE)-VLOOKUP(TRUNC(AC173/12,0)+1+57,AD140:AE331,2,FALSE))/12,4)</f>
        <v>10.981999999999999</v>
      </c>
      <c r="AF173" s="154"/>
      <c r="AG173" s="154"/>
      <c r="AH173">
        <v>26</v>
      </c>
      <c r="AI173" s="73">
        <v>1.2504</v>
      </c>
      <c r="AK173">
        <v>33</v>
      </c>
      <c r="AL173" s="73">
        <f>ROUND((AL140+AK173/12),4)</f>
        <v>59.75</v>
      </c>
      <c r="AM173" s="73">
        <f>ROUND(VLOOKUP(TRUNC(AK173/12,0)+57,AL140:AM331,2,FALSE)-MOD(AK173,12)*(VLOOKUP(TRUNC(AK173/12,0)+57,AL140:AM331,2,FALSE)-VLOOKUP(TRUNC(AK173/12,0)+1+57,AL140:AM331,2,FALSE))/12,4)</f>
        <v>9.5170999999999992</v>
      </c>
      <c r="AN173" s="154"/>
      <c r="AO173" s="154"/>
      <c r="AP173" s="154"/>
      <c r="AR173" s="73"/>
      <c r="AT173" s="154"/>
      <c r="AU173" s="154"/>
      <c r="AV173" s="154"/>
      <c r="AW173" s="154"/>
      <c r="AX173" s="154"/>
      <c r="AY173" s="154"/>
      <c r="AZ173" s="154"/>
      <c r="BA173" s="154"/>
      <c r="BB173" s="154"/>
      <c r="BC173" s="154"/>
      <c r="BD173" s="154"/>
      <c r="BE173" s="154"/>
      <c r="BF173" s="154"/>
      <c r="BG173" s="154"/>
      <c r="BH173" s="154"/>
      <c r="BI173" s="154"/>
      <c r="BJ173" s="154"/>
      <c r="BK173" s="154"/>
      <c r="BL173" s="154"/>
      <c r="BM173" s="154"/>
      <c r="BN173" s="154"/>
      <c r="BO173" s="154"/>
      <c r="BP173" s="154"/>
      <c r="BQ173" s="154"/>
      <c r="BR173" s="154"/>
      <c r="BS173" s="154"/>
      <c r="BT173" s="154"/>
      <c r="BU173" s="154"/>
      <c r="BV173" s="154"/>
      <c r="BW173" s="154"/>
      <c r="BX173" s="154"/>
      <c r="BY173" s="154"/>
      <c r="BZ173" s="154"/>
      <c r="CA173" s="154"/>
      <c r="CB173" s="154"/>
      <c r="CC173" s="154"/>
      <c r="CD173" s="154"/>
      <c r="CE173" s="154"/>
      <c r="CF173" s="154"/>
      <c r="CG173" s="154"/>
      <c r="CH173" s="154"/>
      <c r="CI173" s="154"/>
      <c r="CJ173" s="154"/>
      <c r="CK173" s="154"/>
      <c r="CL173" s="154"/>
      <c r="CM173" s="154"/>
      <c r="CN173" s="154"/>
      <c r="CO173" s="154"/>
      <c r="CP173" s="70"/>
      <c r="CQ173" s="66"/>
    </row>
    <row r="174" spans="1:95" x14ac:dyDescent="0.2">
      <c r="A174">
        <v>27</v>
      </c>
      <c r="B174" s="73">
        <v>1.2072000000000001</v>
      </c>
      <c r="D174">
        <v>34</v>
      </c>
      <c r="E174" s="73">
        <f>ROUND(E140+D174/12,4)</f>
        <v>59.833300000000001</v>
      </c>
      <c r="F174" s="73">
        <f>ROUND(VLOOKUP(TRUNC(D174/12,0)+57,E140:F331,2,FALSE)-MOD(D174,12)*(VLOOKUP(TRUNC(D174/12,0)+57,E140:F331,2,FALSE)-VLOOKUP(TRUNC(D174/12,0)+1+57,E140:F331,2,FALSE))/12,4)</f>
        <v>11.107900000000001</v>
      </c>
      <c r="I174">
        <v>27</v>
      </c>
      <c r="J174" s="73">
        <v>1.2599</v>
      </c>
      <c r="L174">
        <v>34</v>
      </c>
      <c r="M174" s="73">
        <f>ROUND(M140+L174/12,4)</f>
        <v>59.833300000000001</v>
      </c>
      <c r="N174" s="73">
        <f>ROUND(VLOOKUP(TRUNC(L174/12,0)+57,M140:N331,2,FALSE)-MOD(L174,12)*(VLOOKUP(TRUNC(L174/12,0)+57,M140:N331,2,FALSE)-VLOOKUP(TRUNC(L174/12,0)+1+57,M140:N331,2,FALSE))/12,4)</f>
        <v>9.5007000000000001</v>
      </c>
      <c r="O174" s="154"/>
      <c r="P174" s="154"/>
      <c r="Q174" s="154"/>
      <c r="R174">
        <v>27</v>
      </c>
      <c r="S174" s="73">
        <v>1.2077</v>
      </c>
      <c r="U174">
        <v>34</v>
      </c>
      <c r="V174" s="73">
        <f>ROUND(V140+U174/12,4)</f>
        <v>59.833300000000001</v>
      </c>
      <c r="W174" s="73">
        <f>ROUND(VLOOKUP(TRUNC(U174/12,0)+57,V140:W331,2,FALSE)-MOD(U174,12)*(VLOOKUP(TRUNC(U174/12,0)+57,V140:W331,2,FALSE)-VLOOKUP(TRUNC(U174/12,0)+1+57,V140:W331,2,FALSE))/12,4)</f>
        <v>10.966200000000001</v>
      </c>
      <c r="X174" s="154"/>
      <c r="Y174" s="154"/>
      <c r="Z174">
        <v>27</v>
      </c>
      <c r="AA174" s="73">
        <v>1.2244999999999999</v>
      </c>
      <c r="AC174">
        <v>34</v>
      </c>
      <c r="AD174" s="73">
        <f>ROUND(AD140+AC174/12,4)</f>
        <v>59.833300000000001</v>
      </c>
      <c r="AE174" s="73">
        <f>ROUND(VLOOKUP(TRUNC(AC174/12,0)+57,AD140:AE331,2,FALSE)-MOD(AC174,12)*(VLOOKUP(TRUNC(AC174/12,0)+57,AD140:AE331,2,FALSE)-VLOOKUP(TRUNC(AC174/12,0)+1+57,AD140:AE331,2,FALSE))/12,4)</f>
        <v>10.966200000000001</v>
      </c>
      <c r="AF174" s="154"/>
      <c r="AG174" s="154"/>
      <c r="AH174">
        <v>27</v>
      </c>
      <c r="AI174" s="73">
        <v>1.2618</v>
      </c>
      <c r="AK174">
        <v>34</v>
      </c>
      <c r="AL174" s="73">
        <f>ROUND(AL140+AK174/12,4)</f>
        <v>59.833300000000001</v>
      </c>
      <c r="AM174" s="73">
        <f>ROUND(VLOOKUP(TRUNC(AK174/12,0)+57,AL140:AM331,2,FALSE)-MOD(AK174,12)*(VLOOKUP(TRUNC(AK174/12,0)+57,AL140:AM331,2,FALSE)-VLOOKUP(TRUNC(AK174/12,0)+1+57,AL140:AM331,2,FALSE))/12,4)</f>
        <v>9.5007000000000001</v>
      </c>
      <c r="AN174" s="154"/>
      <c r="AO174" s="154"/>
      <c r="AP174" s="154"/>
      <c r="AR174" s="73"/>
      <c r="AT174" s="154"/>
      <c r="AU174" s="154"/>
      <c r="AV174" s="154"/>
      <c r="AW174" s="154"/>
      <c r="AX174" s="154"/>
      <c r="AY174" s="154"/>
      <c r="AZ174" s="154"/>
      <c r="BA174" s="154"/>
      <c r="BB174" s="154"/>
      <c r="BC174" s="154"/>
      <c r="BD174" s="154"/>
      <c r="BE174" s="154"/>
      <c r="BF174" s="154"/>
      <c r="BG174" s="154"/>
      <c r="BH174" s="154"/>
      <c r="BI174" s="154"/>
      <c r="BJ174" s="154"/>
      <c r="BK174" s="154"/>
      <c r="BL174" s="154"/>
      <c r="BM174" s="154"/>
      <c r="BN174" s="154"/>
      <c r="BO174" s="154"/>
      <c r="BP174" s="154"/>
      <c r="BQ174" s="154"/>
      <c r="BR174" s="154"/>
      <c r="BS174" s="154"/>
      <c r="BT174" s="154"/>
      <c r="BU174" s="154"/>
      <c r="BV174" s="154"/>
      <c r="BW174" s="154"/>
      <c r="BX174" s="154"/>
      <c r="BY174" s="154"/>
      <c r="BZ174" s="154"/>
      <c r="CA174" s="154"/>
      <c r="CB174" s="154"/>
      <c r="CC174" s="154"/>
      <c r="CD174" s="154"/>
      <c r="CE174" s="154"/>
      <c r="CF174" s="154"/>
      <c r="CG174" s="154"/>
      <c r="CH174" s="154"/>
      <c r="CI174" s="154"/>
      <c r="CJ174" s="154"/>
      <c r="CK174" s="154"/>
      <c r="CL174" s="154"/>
      <c r="CM174" s="154"/>
      <c r="CN174" s="154"/>
      <c r="CO174" s="154"/>
      <c r="CP174" s="70"/>
      <c r="CQ174" s="66"/>
    </row>
    <row r="175" spans="1:95" x14ac:dyDescent="0.2">
      <c r="A175">
        <v>28</v>
      </c>
      <c r="B175" s="73">
        <v>1.2159</v>
      </c>
      <c r="D175">
        <v>35</v>
      </c>
      <c r="E175" s="73">
        <f>ROUND(E140+D175/12,4)</f>
        <v>59.916699999999999</v>
      </c>
      <c r="F175" s="73">
        <f>ROUND(VLOOKUP(TRUNC(D175/12,0)+57,E140:F331,2,FALSE)-MOD(D175,12)*(VLOOKUP(TRUNC(D175/12,0)+57,E140:F331,2,FALSE)-VLOOKUP(TRUNC(D175/12,0)+1+57,E140:F331,2,FALSE))/12,4)</f>
        <v>11.0923</v>
      </c>
      <c r="I175">
        <v>28</v>
      </c>
      <c r="J175" s="73">
        <v>1.2712000000000001</v>
      </c>
      <c r="L175">
        <v>35</v>
      </c>
      <c r="M175" s="73">
        <f>ROUND(M140+L175/12,4)</f>
        <v>59.916699999999999</v>
      </c>
      <c r="N175" s="73">
        <f>ROUND(VLOOKUP(TRUNC(L175/12,0)+57,M140:N331,2,FALSE)-MOD(L175,12)*(VLOOKUP(TRUNC(L175/12,0)+57,M140:N331,2,FALSE)-VLOOKUP(TRUNC(L175/12,0)+1+57,M140:N331,2,FALSE))/12,4)</f>
        <v>9.4841999999999995</v>
      </c>
      <c r="O175" s="154"/>
      <c r="P175" s="154"/>
      <c r="Q175" s="154"/>
      <c r="R175">
        <v>28</v>
      </c>
      <c r="S175" s="73">
        <v>1.2163999999999999</v>
      </c>
      <c r="U175">
        <v>35</v>
      </c>
      <c r="V175" s="73">
        <f>ROUND(V140+U175/12,4)</f>
        <v>59.916699999999999</v>
      </c>
      <c r="W175" s="73">
        <f>ROUND(VLOOKUP(TRUNC(U175/12,0)+57,V140:W331,2,FALSE)-MOD(U175,12)*(VLOOKUP(TRUNC(U175/12,0)+57,V140:W331,2,FALSE)-VLOOKUP(TRUNC(U175/12,0)+1+57,V140:W331,2,FALSE))/12,4)</f>
        <v>10.9504</v>
      </c>
      <c r="X175" s="154"/>
      <c r="Y175" s="154"/>
      <c r="Z175">
        <v>28</v>
      </c>
      <c r="AA175" s="73">
        <v>1.234</v>
      </c>
      <c r="AC175">
        <v>35</v>
      </c>
      <c r="AD175" s="73">
        <f>ROUND(AD140+AC175/12,4)</f>
        <v>59.916699999999999</v>
      </c>
      <c r="AE175" s="73">
        <f>ROUND(VLOOKUP(TRUNC(AC175/12,0)+57,AD140:AE331,2,FALSE)-MOD(AC175,12)*(VLOOKUP(TRUNC(AC175/12,0)+57,AD140:AE331,2,FALSE)-VLOOKUP(TRUNC(AC175/12,0)+1+57,AD140:AE331,2,FALSE))/12,4)</f>
        <v>10.9504</v>
      </c>
      <c r="AF175" s="154"/>
      <c r="AG175" s="154"/>
      <c r="AH175">
        <v>28</v>
      </c>
      <c r="AI175" s="73">
        <v>1.2732000000000001</v>
      </c>
      <c r="AK175">
        <v>35</v>
      </c>
      <c r="AL175" s="73">
        <f>ROUND(AL140+AK175/12,4)</f>
        <v>59.916699999999999</v>
      </c>
      <c r="AM175" s="73">
        <f>ROUND(VLOOKUP(TRUNC(AK175/12,0)+57,AL140:AM331,2,FALSE)-MOD(AK175,12)*(VLOOKUP(TRUNC(AK175/12,0)+57,AL140:AM331,2,FALSE)-VLOOKUP(TRUNC(AK175/12,0)+1+57,AL140:AM331,2,FALSE))/12,4)</f>
        <v>9.4841999999999995</v>
      </c>
      <c r="AN175" s="154"/>
      <c r="AO175" s="154"/>
      <c r="AP175" s="154"/>
      <c r="AR175" s="73"/>
      <c r="AT175" s="154"/>
      <c r="AU175" s="154"/>
      <c r="AV175" s="154"/>
      <c r="AW175" s="154"/>
      <c r="AX175" s="154"/>
      <c r="AY175" s="154"/>
      <c r="AZ175" s="154"/>
      <c r="BA175" s="154"/>
      <c r="BB175" s="154"/>
      <c r="BC175" s="154"/>
      <c r="BD175" s="154"/>
      <c r="BE175" s="154"/>
      <c r="BF175" s="154"/>
      <c r="BG175" s="154"/>
      <c r="BH175" s="154"/>
      <c r="BI175" s="154"/>
      <c r="BJ175" s="154"/>
      <c r="BK175" s="154"/>
      <c r="BL175" s="154"/>
      <c r="BM175" s="154"/>
      <c r="BN175" s="154"/>
      <c r="BO175" s="154"/>
      <c r="BP175" s="154"/>
      <c r="BQ175" s="154"/>
      <c r="BR175" s="154"/>
      <c r="BS175" s="154"/>
      <c r="BT175" s="154"/>
      <c r="BU175" s="154"/>
      <c r="BV175" s="154"/>
      <c r="BW175" s="154"/>
      <c r="BX175" s="154"/>
      <c r="BY175" s="154"/>
      <c r="BZ175" s="154"/>
      <c r="CA175" s="154"/>
      <c r="CB175" s="154"/>
      <c r="CC175" s="154"/>
      <c r="CD175" s="154"/>
      <c r="CE175" s="154"/>
      <c r="CF175" s="154"/>
      <c r="CG175" s="154"/>
      <c r="CH175" s="154"/>
      <c r="CI175" s="154"/>
      <c r="CJ175" s="154"/>
      <c r="CK175" s="154"/>
      <c r="CL175" s="154"/>
      <c r="CM175" s="154"/>
      <c r="CN175" s="154"/>
      <c r="CO175" s="154"/>
      <c r="CP175" s="70"/>
      <c r="CQ175" s="66"/>
    </row>
    <row r="176" spans="1:95" x14ac:dyDescent="0.2">
      <c r="A176">
        <v>29</v>
      </c>
      <c r="B176" s="73">
        <v>1.2245999999999999</v>
      </c>
      <c r="D176">
        <v>36</v>
      </c>
      <c r="E176" s="73">
        <f>ROUND(E140+D176/12,4)</f>
        <v>60</v>
      </c>
      <c r="F176" s="73">
        <f>[1]!NPVF("Mp","SLA","N",B140:C140,"M",E176,E176,0,0,0,0,A140,A140,"P","","")</f>
        <v>11.076623811249137</v>
      </c>
      <c r="I176">
        <v>29</v>
      </c>
      <c r="J176" s="73">
        <v>1.2825</v>
      </c>
      <c r="L176">
        <v>36</v>
      </c>
      <c r="M176" s="73">
        <f>ROUND(M140+L176/12,4)</f>
        <v>60</v>
      </c>
      <c r="N176" s="73">
        <f>[1]!NPVF("Mp","SLA","N",J140:K140,"M",M176,M176,0,0,0,0,I140,I140,"P","","")</f>
        <v>9.4677873186364678</v>
      </c>
      <c r="O176" s="154"/>
      <c r="P176" s="154"/>
      <c r="Q176" s="154"/>
      <c r="R176">
        <v>29</v>
      </c>
      <c r="S176" s="73">
        <v>1.2251000000000001</v>
      </c>
      <c r="U176">
        <v>36</v>
      </c>
      <c r="V176" s="73">
        <f>ROUND(V140+U176/12,4)</f>
        <v>60</v>
      </c>
      <c r="W176" s="73">
        <f>[1]!NPVF("Mp","SLA","N",S140:T140,"M",V176,V176,0,0,0,0,R140,R140,"P","","")</f>
        <v>10.934554653139545</v>
      </c>
      <c r="X176" s="154"/>
      <c r="Y176" s="154"/>
      <c r="Z176">
        <v>29</v>
      </c>
      <c r="AA176" s="73">
        <v>1.2435</v>
      </c>
      <c r="AC176">
        <v>36</v>
      </c>
      <c r="AD176" s="73">
        <f>ROUND(AD140+AC176/12,4)</f>
        <v>60</v>
      </c>
      <c r="AE176" s="73">
        <f>[1]!NPVF("Mp","SLA","N",AA140:AB140,"M",AD176,AD176,0,0,0,0,Z140,Z140,"P","","")</f>
        <v>10.934554653139545</v>
      </c>
      <c r="AF176" s="154"/>
      <c r="AG176" s="154"/>
      <c r="AH176">
        <v>29</v>
      </c>
      <c r="AI176" s="73">
        <v>1.2846</v>
      </c>
      <c r="AK176">
        <v>36</v>
      </c>
      <c r="AL176" s="73">
        <f>ROUND(AL140+AK176/12,4)</f>
        <v>60</v>
      </c>
      <c r="AM176" s="73">
        <f>[1]!NPVF("Mp","SLA","N",AI140:AJ140,"M",AL176,AL176,0,0,0,0,AH140,AH140,"P","","")</f>
        <v>9.4677873186364678</v>
      </c>
      <c r="AN176" s="154"/>
      <c r="AO176" s="154"/>
      <c r="AP176" s="154"/>
      <c r="AR176" s="73"/>
      <c r="AT176" s="154"/>
      <c r="AU176" s="154"/>
      <c r="AV176" s="154"/>
      <c r="AW176" s="154"/>
      <c r="AX176" s="154"/>
      <c r="AY176" s="154"/>
      <c r="AZ176" s="154"/>
      <c r="BA176" s="154"/>
      <c r="BB176" s="154"/>
      <c r="BC176" s="154"/>
      <c r="BD176" s="154"/>
      <c r="BE176" s="154"/>
      <c r="BF176" s="154"/>
      <c r="BG176" s="154"/>
      <c r="BH176" s="154"/>
      <c r="BI176" s="154"/>
      <c r="BJ176" s="154"/>
      <c r="BK176" s="154"/>
      <c r="BL176" s="154"/>
      <c r="BM176" s="154"/>
      <c r="BN176" s="154"/>
      <c r="BO176" s="154"/>
      <c r="BP176" s="154"/>
      <c r="BQ176" s="154"/>
      <c r="BR176" s="154"/>
      <c r="BS176" s="154"/>
      <c r="BT176" s="154"/>
      <c r="BU176" s="154"/>
      <c r="BV176" s="154"/>
      <c r="BW176" s="154"/>
      <c r="BX176" s="154"/>
      <c r="BY176" s="154"/>
      <c r="BZ176" s="154"/>
      <c r="CA176" s="154"/>
      <c r="CB176" s="154"/>
      <c r="CC176" s="154"/>
      <c r="CD176" s="154"/>
      <c r="CE176" s="154"/>
      <c r="CF176" s="154"/>
      <c r="CG176" s="154"/>
      <c r="CH176" s="154"/>
      <c r="CI176" s="154"/>
      <c r="CJ176" s="154"/>
      <c r="CK176" s="154"/>
      <c r="CL176" s="154"/>
      <c r="CM176" s="154"/>
      <c r="CN176" s="154"/>
      <c r="CO176" s="154"/>
      <c r="CP176" s="70"/>
      <c r="CQ176" s="66"/>
    </row>
    <row r="177" spans="1:95" x14ac:dyDescent="0.2">
      <c r="A177">
        <v>30</v>
      </c>
      <c r="B177" s="73">
        <v>1.2333000000000001</v>
      </c>
      <c r="D177">
        <v>37</v>
      </c>
      <c r="E177" s="73">
        <f>ROUND(E140+D177/12,4)</f>
        <v>60.083300000000001</v>
      </c>
      <c r="F177" s="73">
        <f>ROUND(VLOOKUP(TRUNC(D177/12,0)+57,E140:F331,2,FALSE)-MOD(D177,12)*(VLOOKUP(TRUNC(D177/12,0)+57,E140:F331,2,FALSE)-VLOOKUP(TRUNC(D177/12,0)+1+57,E140:F331,2,FALSE))/12,4)</f>
        <v>11.060499999999999</v>
      </c>
      <c r="I177">
        <v>30</v>
      </c>
      <c r="J177" s="73">
        <v>1.2939000000000001</v>
      </c>
      <c r="L177">
        <v>37</v>
      </c>
      <c r="M177" s="73">
        <f>ROUND(M140+L177/12,4)</f>
        <v>60.083300000000001</v>
      </c>
      <c r="N177" s="73">
        <f>ROUND(VLOOKUP(TRUNC(L177/12,0)+57,M140:N331,2,FALSE)-MOD(L177,12)*(VLOOKUP(TRUNC(L177/12,0)+57,M140:N331,2,FALSE)-VLOOKUP(TRUNC(L177/12,0)+1+57,M140:N331,2,FALSE))/12,4)</f>
        <v>9.4509000000000007</v>
      </c>
      <c r="R177">
        <v>30</v>
      </c>
      <c r="S177" s="73">
        <v>1.2339</v>
      </c>
      <c r="U177">
        <v>37</v>
      </c>
      <c r="V177" s="73">
        <f>ROUND(V140+U177/12,4)</f>
        <v>60.083300000000001</v>
      </c>
      <c r="W177" s="73">
        <f>ROUND(VLOOKUP(TRUNC(U177/12,0)+57,V140:W331,2,FALSE)-MOD(U177,12)*(VLOOKUP(TRUNC(U177/12,0)+57,V140:W331,2,FALSE)-VLOOKUP(TRUNC(U177/12,0)+1+57,V140:W331,2,FALSE))/12,4)</f>
        <v>10.918100000000001</v>
      </c>
      <c r="Z177">
        <v>30</v>
      </c>
      <c r="AA177" s="73">
        <v>1.2529999999999999</v>
      </c>
      <c r="AC177">
        <v>37</v>
      </c>
      <c r="AD177" s="73">
        <f>ROUND(AD140+AC177/12,4)</f>
        <v>60.083300000000001</v>
      </c>
      <c r="AE177" s="73">
        <f>ROUND(VLOOKUP(TRUNC(AC177/12,0)+57,AD140:AE331,2,FALSE)-MOD(AC177,12)*(VLOOKUP(TRUNC(AC177/12,0)+57,AD140:AE331,2,FALSE)-VLOOKUP(TRUNC(AC177/12,0)+1+57,AD140:AE331,2,FALSE))/12,4)</f>
        <v>10.918100000000001</v>
      </c>
      <c r="AH177">
        <v>30</v>
      </c>
      <c r="AI177" s="73">
        <v>1.2961</v>
      </c>
      <c r="AK177">
        <v>37</v>
      </c>
      <c r="AL177" s="73">
        <f>ROUND(AL140+AK177/12,4)</f>
        <v>60.083300000000001</v>
      </c>
      <c r="AM177" s="73">
        <f>ROUND(VLOOKUP(TRUNC(AK177/12,0)+57,AL140:AM331,2,FALSE)-MOD(AK177,12)*(VLOOKUP(TRUNC(AK177/12,0)+57,AL140:AM331,2,FALSE)-VLOOKUP(TRUNC(AK177/12,0)+1+57,AL140:AM331,2,FALSE))/12,4)</f>
        <v>9.4509000000000007</v>
      </c>
      <c r="AR177" s="73"/>
      <c r="CP177" s="71"/>
      <c r="CQ177" s="66"/>
    </row>
    <row r="178" spans="1:95" x14ac:dyDescent="0.2">
      <c r="A178">
        <v>31</v>
      </c>
      <c r="B178" s="73">
        <v>1.2419</v>
      </c>
      <c r="D178">
        <v>38</v>
      </c>
      <c r="E178" s="73">
        <f>ROUND((E140+D178/12),4)</f>
        <v>60.166699999999999</v>
      </c>
      <c r="F178" s="73">
        <f>ROUND(VLOOKUP(TRUNC(D178/12,0)+57,E140:F331,2,FALSE)-MOD(D178,12)*(VLOOKUP(TRUNC(D178/12,0)+57,E140:F331,2,FALSE)-VLOOKUP(TRUNC(D178/12,0)+1+57,E140:F331,2,FALSE))/12,4)</f>
        <v>11.0443</v>
      </c>
      <c r="I178">
        <v>31</v>
      </c>
      <c r="J178" s="73">
        <v>1.3051999999999999</v>
      </c>
      <c r="L178">
        <v>38</v>
      </c>
      <c r="M178" s="73">
        <f>ROUND((M140+L178/12),4)</f>
        <v>60.166699999999999</v>
      </c>
      <c r="N178" s="73">
        <f>ROUND(VLOOKUP(TRUNC(L178/12,0)+57,M140:N331,2,FALSE)-MOD(L178,12)*(VLOOKUP(TRUNC(L178/12,0)+57,M140:N331,2,FALSE)-VLOOKUP(TRUNC(L178/12,0)+1+57,M140:N331,2,FALSE))/12,4)</f>
        <v>9.4339999999999993</v>
      </c>
      <c r="R178">
        <v>31</v>
      </c>
      <c r="S178" s="73">
        <v>1.2425999999999999</v>
      </c>
      <c r="U178">
        <v>38</v>
      </c>
      <c r="V178" s="73">
        <f>ROUND((V140+U178/12),4)</f>
        <v>60.166699999999999</v>
      </c>
      <c r="W178" s="73">
        <f>ROUND(VLOOKUP(TRUNC(U178/12,0)+57,V140:W331,2,FALSE)-MOD(U178,12)*(VLOOKUP(TRUNC(U178/12,0)+57,V140:W331,2,FALSE)-VLOOKUP(TRUNC(U178/12,0)+1+57,V140:W331,2,FALSE))/12,4)</f>
        <v>10.9016</v>
      </c>
      <c r="Z178">
        <v>31</v>
      </c>
      <c r="AA178" s="73">
        <v>1.2625</v>
      </c>
      <c r="AC178">
        <v>38</v>
      </c>
      <c r="AD178" s="73">
        <f>ROUND((AD140+AC178/12),4)</f>
        <v>60.166699999999999</v>
      </c>
      <c r="AE178" s="73">
        <f>ROUND(VLOOKUP(TRUNC(AC178/12,0)+57,AD140:AE331,2,FALSE)-MOD(AC178,12)*(VLOOKUP(TRUNC(AC178/12,0)+57,AD140:AE331,2,FALSE)-VLOOKUP(TRUNC(AC178/12,0)+1+57,AD140:AE331,2,FALSE))/12,4)</f>
        <v>10.9016</v>
      </c>
      <c r="AH178">
        <v>31</v>
      </c>
      <c r="AI178" s="73">
        <v>1.3075000000000001</v>
      </c>
      <c r="AK178">
        <v>38</v>
      </c>
      <c r="AL178" s="73">
        <f>ROUND((AL140+AK178/12),4)</f>
        <v>60.166699999999999</v>
      </c>
      <c r="AM178" s="73">
        <f>ROUND(VLOOKUP(TRUNC(AK178/12,0)+57,AL140:AM331,2,FALSE)-MOD(AK178,12)*(VLOOKUP(TRUNC(AK178/12,0)+57,AL140:AM331,2,FALSE)-VLOOKUP(TRUNC(AK178/12,0)+1+57,AL140:AM331,2,FALSE))/12,4)</f>
        <v>9.4339999999999993</v>
      </c>
      <c r="AR178" s="73"/>
      <c r="CP178" s="71"/>
      <c r="CQ178" s="66"/>
    </row>
    <row r="179" spans="1:95" x14ac:dyDescent="0.2">
      <c r="A179">
        <v>32</v>
      </c>
      <c r="B179" s="73">
        <v>1.2505999999999999</v>
      </c>
      <c r="D179">
        <v>39</v>
      </c>
      <c r="E179" s="73">
        <f>ROUND(E140+D179/12,4)</f>
        <v>60.25</v>
      </c>
      <c r="F179" s="73">
        <f>ROUND(VLOOKUP(TRUNC(D179/12,0)+57,E140:F331,2,FALSE)-MOD(D179,12)*(VLOOKUP(TRUNC(D179/12,0)+57,E140:F331,2,FALSE)-VLOOKUP(TRUNC(D179/12,0)+1+57,E140:F331,2,FALSE))/12,4)</f>
        <v>11.0282</v>
      </c>
      <c r="I179">
        <v>32</v>
      </c>
      <c r="J179" s="73">
        <v>1.3165</v>
      </c>
      <c r="L179">
        <v>39</v>
      </c>
      <c r="M179" s="73">
        <f>ROUND(M140+L179/12,4)</f>
        <v>60.25</v>
      </c>
      <c r="N179" s="73">
        <f>ROUND(VLOOKUP(TRUNC(L179/12,0)+57,M140:N331,2,FALSE)-MOD(L179,12)*(VLOOKUP(TRUNC(L179/12,0)+57,M140:N331,2,FALSE)-VLOOKUP(TRUNC(L179/12,0)+1+57,M140:N331,2,FALSE))/12,4)</f>
        <v>9.4169999999999998</v>
      </c>
      <c r="R179">
        <v>32</v>
      </c>
      <c r="S179" s="73">
        <v>1.2513000000000001</v>
      </c>
      <c r="U179">
        <v>39</v>
      </c>
      <c r="V179" s="73">
        <f>ROUND(V140+U179/12,4)</f>
        <v>60.25</v>
      </c>
      <c r="W179" s="73">
        <f>ROUND(VLOOKUP(TRUNC(U179/12,0)+57,V140:W331,2,FALSE)-MOD(U179,12)*(VLOOKUP(TRUNC(U179/12,0)+57,V140:W331,2,FALSE)-VLOOKUP(TRUNC(U179/12,0)+1+57,V140:W331,2,FALSE))/12,4)</f>
        <v>10.885199999999999</v>
      </c>
      <c r="Z179">
        <v>32</v>
      </c>
      <c r="AA179" s="73">
        <v>1.272</v>
      </c>
      <c r="AC179">
        <v>39</v>
      </c>
      <c r="AD179" s="73">
        <f>ROUND(AD140+AC179/12,4)</f>
        <v>60.25</v>
      </c>
      <c r="AE179" s="73">
        <f>ROUND(VLOOKUP(TRUNC(AC179/12,0)+57,AD140:AE331,2,FALSE)-MOD(AC179,12)*(VLOOKUP(TRUNC(AC179/12,0)+57,AD140:AE331,2,FALSE)-VLOOKUP(TRUNC(AC179/12,0)+1+57,AD140:AE331,2,FALSE))/12,4)</f>
        <v>10.885199999999999</v>
      </c>
      <c r="AH179">
        <v>32</v>
      </c>
      <c r="AI179" s="73">
        <v>1.3189</v>
      </c>
      <c r="AK179">
        <v>39</v>
      </c>
      <c r="AL179" s="73">
        <f>ROUND(AL140+AK179/12,4)</f>
        <v>60.25</v>
      </c>
      <c r="AM179" s="73">
        <f>ROUND(VLOOKUP(TRUNC(AK179/12,0)+57,AL140:AM331,2,FALSE)-MOD(AK179,12)*(VLOOKUP(TRUNC(AK179/12,0)+57,AL140:AM331,2,FALSE)-VLOOKUP(TRUNC(AK179/12,0)+1+57,AL140:AM331,2,FALSE))/12,4)</f>
        <v>9.4169999999999998</v>
      </c>
      <c r="AR179" s="73"/>
    </row>
    <row r="180" spans="1:95" x14ac:dyDescent="0.2">
      <c r="A180">
        <v>33</v>
      </c>
      <c r="B180" s="73">
        <v>1.2593000000000001</v>
      </c>
      <c r="D180">
        <v>40</v>
      </c>
      <c r="E180" s="73">
        <f>ROUND((E140+D180/12),4)</f>
        <v>60.333300000000001</v>
      </c>
      <c r="F180" s="73">
        <f>ROUND(VLOOKUP(TRUNC(D180/12,0)+57,E140:F331,2,FALSE)-MOD(D180,12)*(VLOOKUP(TRUNC(D180/12,0)+57,E140:F331,2,FALSE)-VLOOKUP(TRUNC(D180/12,0)+1+57,E140:F331,2,FALSE))/12,4)</f>
        <v>11.012</v>
      </c>
      <c r="I180">
        <v>33</v>
      </c>
      <c r="J180" s="73">
        <v>1.3278000000000001</v>
      </c>
      <c r="L180">
        <v>40</v>
      </c>
      <c r="M180" s="73">
        <f>ROUND((M140+L180/12),4)</f>
        <v>60.333300000000001</v>
      </c>
      <c r="N180" s="73">
        <f>ROUND(VLOOKUP(TRUNC(L180/12,0)+57,M140:N331,2,FALSE)-MOD(L180,12)*(VLOOKUP(TRUNC(L180/12,0)+57,M140:N331,2,FALSE)-VLOOKUP(TRUNC(L180/12,0)+1+57,M140:N331,2,FALSE))/12,4)</f>
        <v>9.4001000000000001</v>
      </c>
      <c r="R180">
        <v>33</v>
      </c>
      <c r="S180" s="73">
        <v>1.26</v>
      </c>
      <c r="U180">
        <v>40</v>
      </c>
      <c r="V180" s="73">
        <f>ROUND((V140+U180/12),4)</f>
        <v>60.333300000000001</v>
      </c>
      <c r="W180" s="73">
        <f>ROUND(VLOOKUP(TRUNC(U180/12,0)+57,V140:W331,2,FALSE)-MOD(U180,12)*(VLOOKUP(TRUNC(U180/12,0)+57,V140:W331,2,FALSE)-VLOOKUP(TRUNC(U180/12,0)+1+57,V140:W331,2,FALSE))/12,4)</f>
        <v>10.8687</v>
      </c>
      <c r="Z180">
        <v>33</v>
      </c>
      <c r="AA180" s="73">
        <v>1.2816000000000001</v>
      </c>
      <c r="AC180">
        <v>40</v>
      </c>
      <c r="AD180" s="73">
        <f>ROUND((AD140+AC180/12),4)</f>
        <v>60.333300000000001</v>
      </c>
      <c r="AE180" s="73">
        <f>ROUND(VLOOKUP(TRUNC(AC180/12,0)+57,AD140:AE331,2,FALSE)-MOD(AC180,12)*(VLOOKUP(TRUNC(AC180/12,0)+57,AD140:AE331,2,FALSE)-VLOOKUP(TRUNC(AC180/12,0)+1+57,AD140:AE331,2,FALSE))/12,4)</f>
        <v>10.8687</v>
      </c>
      <c r="AH180">
        <v>33</v>
      </c>
      <c r="AI180" s="73">
        <v>1.3303</v>
      </c>
      <c r="AK180">
        <v>40</v>
      </c>
      <c r="AL180" s="73">
        <f>ROUND((AL140+AK180/12),4)</f>
        <v>60.333300000000001</v>
      </c>
      <c r="AM180" s="73">
        <f>ROUND(VLOOKUP(TRUNC(AK180/12,0)+57,AL140:AM331,2,FALSE)-MOD(AK180,12)*(VLOOKUP(TRUNC(AK180/12,0)+57,AL140:AM331,2,FALSE)-VLOOKUP(TRUNC(AK180/12,0)+1+57,AL140:AM331,2,FALSE))/12,4)</f>
        <v>9.4001000000000001</v>
      </c>
      <c r="AR180" s="73"/>
    </row>
    <row r="181" spans="1:95" x14ac:dyDescent="0.2">
      <c r="A181">
        <v>34</v>
      </c>
      <c r="B181" s="73">
        <v>1.268</v>
      </c>
      <c r="D181">
        <v>41</v>
      </c>
      <c r="E181" s="73">
        <f>ROUND((E140+D181/12),4)</f>
        <v>60.416699999999999</v>
      </c>
      <c r="F181" s="73">
        <f>ROUND(VLOOKUP(TRUNC(D181/12,0)+57,E140:F331,2,FALSE)-MOD(D181,12)*(VLOOKUP(TRUNC(D181/12,0)+57,E140:F331,2,FALSE)-VLOOKUP(TRUNC(D181/12,0)+1+57,E140:F331,2,FALSE))/12,4)</f>
        <v>10.995900000000001</v>
      </c>
      <c r="I181">
        <v>34</v>
      </c>
      <c r="J181" s="73">
        <v>1.3391</v>
      </c>
      <c r="L181">
        <v>41</v>
      </c>
      <c r="M181" s="73">
        <f>ROUND((M140+L181/12),4)</f>
        <v>60.416699999999999</v>
      </c>
      <c r="N181" s="73">
        <f>ROUND(VLOOKUP(TRUNC(L181/12,0)+57,M140:N331,2,FALSE)-MOD(L181,12)*(VLOOKUP(TRUNC(L181/12,0)+57,M140:N331,2,FALSE)-VLOOKUP(TRUNC(L181/12,0)+1+57,M140:N331,2,FALSE))/12,4)</f>
        <v>9.3832000000000004</v>
      </c>
      <c r="R181">
        <v>34</v>
      </c>
      <c r="S181" s="73">
        <v>1.2687999999999999</v>
      </c>
      <c r="U181">
        <v>41</v>
      </c>
      <c r="V181" s="73">
        <f>ROUND((V140+U181/12),4)</f>
        <v>60.416699999999999</v>
      </c>
      <c r="W181" s="73">
        <f>ROUND(VLOOKUP(TRUNC(U181/12,0)+57,V140:W331,2,FALSE)-MOD(U181,12)*(VLOOKUP(TRUNC(U181/12,0)+57,V140:W331,2,FALSE)-VLOOKUP(TRUNC(U181/12,0)+1+57,V140:W331,2,FALSE))/12,4)</f>
        <v>10.8523</v>
      </c>
      <c r="Z181">
        <v>34</v>
      </c>
      <c r="AA181" s="73">
        <v>1.2910999999999999</v>
      </c>
      <c r="AC181">
        <v>41</v>
      </c>
      <c r="AD181" s="73">
        <f>ROUND((AD140+AC181/12),4)</f>
        <v>60.416699999999999</v>
      </c>
      <c r="AE181" s="73">
        <f>ROUND(VLOOKUP(TRUNC(AC181/12,0)+57,AD140:AE331,2,FALSE)-MOD(AC181,12)*(VLOOKUP(TRUNC(AC181/12,0)+57,AD140:AE331,2,FALSE)-VLOOKUP(TRUNC(AC181/12,0)+1+57,AD140:AE331,2,FALSE))/12,4)</f>
        <v>10.8523</v>
      </c>
      <c r="AH181">
        <v>34</v>
      </c>
      <c r="AI181" s="73">
        <v>1.3416999999999999</v>
      </c>
      <c r="AK181">
        <v>41</v>
      </c>
      <c r="AL181" s="73">
        <f>ROUND((AL140+AK181/12),4)</f>
        <v>60.416699999999999</v>
      </c>
      <c r="AM181" s="73">
        <f>ROUND(VLOOKUP(TRUNC(AK181/12,0)+57,AL140:AM331,2,FALSE)-MOD(AK181,12)*(VLOOKUP(TRUNC(AK181/12,0)+57,AL140:AM331,2,FALSE)-VLOOKUP(TRUNC(AK181/12,0)+1+57,AL140:AM331,2,FALSE))/12,4)</f>
        <v>9.3832000000000004</v>
      </c>
      <c r="AR181" s="73"/>
    </row>
    <row r="182" spans="1:95" x14ac:dyDescent="0.2">
      <c r="A182">
        <v>35</v>
      </c>
      <c r="B182" s="73">
        <v>1.2766</v>
      </c>
      <c r="D182">
        <v>42</v>
      </c>
      <c r="E182" s="73">
        <f>ROUND((E140+D182/12),4)</f>
        <v>60.5</v>
      </c>
      <c r="F182" s="73">
        <f>ROUND(VLOOKUP(TRUNC(D182/12,0)+57,E140:F331,2,FALSE)-MOD(D182,12)*(VLOOKUP(TRUNC(D182/12,0)+57,E140:F331,2,FALSE)-VLOOKUP(TRUNC(D182/12,0)+1+57,E140:F331,2,FALSE))/12,4)</f>
        <v>10.979699999999999</v>
      </c>
      <c r="I182">
        <v>35</v>
      </c>
      <c r="J182" s="73">
        <v>1.3504</v>
      </c>
      <c r="L182">
        <v>42</v>
      </c>
      <c r="M182" s="73">
        <f>ROUND((M140+L182/12),4)</f>
        <v>60.5</v>
      </c>
      <c r="N182" s="73">
        <f>ROUND(VLOOKUP(TRUNC(L182/12,0)+57,M140:N331,2,FALSE)-MOD(L182,12)*(VLOOKUP(TRUNC(L182/12,0)+57,M140:N331,2,FALSE)-VLOOKUP(TRUNC(L182/12,0)+1+57,M140:N331,2,FALSE))/12,4)</f>
        <v>9.3663000000000007</v>
      </c>
      <c r="R182">
        <v>35</v>
      </c>
      <c r="S182" s="73">
        <v>1.2775000000000001</v>
      </c>
      <c r="U182">
        <v>42</v>
      </c>
      <c r="V182" s="73">
        <f>ROUND((V140+U182/12),4)</f>
        <v>60.5</v>
      </c>
      <c r="W182" s="73">
        <f>ROUND(VLOOKUP(TRUNC(U182/12,0)+57,V140:W331,2,FALSE)-MOD(U182,12)*(VLOOKUP(TRUNC(U182/12,0)+57,V140:W331,2,FALSE)-VLOOKUP(TRUNC(U182/12,0)+1+57,V140:W331,2,FALSE))/12,4)</f>
        <v>10.835800000000001</v>
      </c>
      <c r="Z182">
        <v>35</v>
      </c>
      <c r="AA182" s="73">
        <v>1.3006</v>
      </c>
      <c r="AC182">
        <v>42</v>
      </c>
      <c r="AD182" s="73">
        <f>ROUND((AD140+AC182/12),4)</f>
        <v>60.5</v>
      </c>
      <c r="AE182" s="73">
        <f>ROUND(VLOOKUP(TRUNC(AC182/12,0)+57,AD140:AE331,2,FALSE)-MOD(AC182,12)*(VLOOKUP(TRUNC(AC182/12,0)+57,AD140:AE331,2,FALSE)-VLOOKUP(TRUNC(AC182/12,0)+1+57,AD140:AE331,2,FALSE))/12,4)</f>
        <v>10.835800000000001</v>
      </c>
      <c r="AH182">
        <v>35</v>
      </c>
      <c r="AI182" s="73">
        <v>1.3531</v>
      </c>
      <c r="AK182">
        <v>42</v>
      </c>
      <c r="AL182" s="73">
        <f>ROUND((AL140+AK182/12),4)</f>
        <v>60.5</v>
      </c>
      <c r="AM182" s="73">
        <f>ROUND(VLOOKUP(TRUNC(AK182/12,0)+57,AL140:AM331,2,FALSE)-MOD(AK182,12)*(VLOOKUP(TRUNC(AK182/12,0)+57,AL140:AM331,2,FALSE)-VLOOKUP(TRUNC(AK182/12,0)+1+57,AL140:AM331,2,FALSE))/12,4)</f>
        <v>9.3663000000000007</v>
      </c>
      <c r="AR182" s="73"/>
    </row>
    <row r="183" spans="1:95" x14ac:dyDescent="0.2">
      <c r="A183">
        <v>36</v>
      </c>
      <c r="B183" s="73">
        <v>1.2853000000000001</v>
      </c>
      <c r="D183">
        <v>43</v>
      </c>
      <c r="E183" s="73">
        <f>ROUND(E140+D183/12,4)</f>
        <v>60.583300000000001</v>
      </c>
      <c r="F183" s="73">
        <f>ROUND(VLOOKUP(TRUNC(D183/12,0)+57,E140:F331,2,FALSE)-MOD(D183,12)*(VLOOKUP(TRUNC(D183/12,0)+57,E140:F331,2,FALSE)-VLOOKUP(TRUNC(D183/12,0)+1+57,E140:F331,2,FALSE))/12,4)</f>
        <v>10.9636</v>
      </c>
      <c r="I183">
        <v>36</v>
      </c>
      <c r="J183" s="73">
        <v>1.3616999999999999</v>
      </c>
      <c r="L183">
        <v>43</v>
      </c>
      <c r="M183" s="73">
        <f>ROUND(M140+L183/12,4)</f>
        <v>60.583300000000001</v>
      </c>
      <c r="N183" s="73">
        <f>ROUND(VLOOKUP(TRUNC(L183/12,0)+57,M140:N331,2,FALSE)-MOD(L183,12)*(VLOOKUP(TRUNC(L183/12,0)+57,M140:N331,2,FALSE)-VLOOKUP(TRUNC(L183/12,0)+1+57,M140:N331,2,FALSE))/12,4)</f>
        <v>9.3493999999999993</v>
      </c>
      <c r="R183">
        <v>36</v>
      </c>
      <c r="S183" s="73">
        <v>1.2862</v>
      </c>
      <c r="U183">
        <v>43</v>
      </c>
      <c r="V183" s="73">
        <f>ROUND(V140+U183/12,4)</f>
        <v>60.583300000000001</v>
      </c>
      <c r="W183" s="73">
        <f>ROUND(VLOOKUP(TRUNC(U183/12,0)+57,V140:W331,2,FALSE)-MOD(U183,12)*(VLOOKUP(TRUNC(U183/12,0)+57,V140:W331,2,FALSE)-VLOOKUP(TRUNC(U183/12,0)+1+57,V140:W331,2,FALSE))/12,4)</f>
        <v>10.8194</v>
      </c>
      <c r="Z183">
        <v>36</v>
      </c>
      <c r="AA183" s="73">
        <v>1.3101</v>
      </c>
      <c r="AC183">
        <v>43</v>
      </c>
      <c r="AD183" s="73">
        <f>ROUND(AD140+AC183/12,4)</f>
        <v>60.583300000000001</v>
      </c>
      <c r="AE183" s="73">
        <f>ROUND(VLOOKUP(TRUNC(AC183/12,0)+57,AD140:AE331,2,FALSE)-MOD(AC183,12)*(VLOOKUP(TRUNC(AC183/12,0)+57,AD140:AE331,2,FALSE)-VLOOKUP(TRUNC(AC183/12,0)+1+57,AD140:AE331,2,FALSE))/12,4)</f>
        <v>10.8194</v>
      </c>
      <c r="AH183">
        <v>36</v>
      </c>
      <c r="AI183" s="73">
        <v>1.3645</v>
      </c>
      <c r="AK183">
        <v>43</v>
      </c>
      <c r="AL183" s="73">
        <f>ROUND(AL140+AK183/12,4)</f>
        <v>60.583300000000001</v>
      </c>
      <c r="AM183" s="73">
        <f>ROUND(VLOOKUP(TRUNC(AK183/12,0)+57,AL140:AM331,2,FALSE)-MOD(AK183,12)*(VLOOKUP(TRUNC(AK183/12,0)+57,AL140:AM331,2,FALSE)-VLOOKUP(TRUNC(AK183/12,0)+1+57,AL140:AM331,2,FALSE))/12,4)</f>
        <v>9.3493999999999993</v>
      </c>
      <c r="AR183" s="73"/>
    </row>
    <row r="184" spans="1:95" x14ac:dyDescent="0.2">
      <c r="A184">
        <v>37</v>
      </c>
      <c r="B184" s="73">
        <v>1.2948</v>
      </c>
      <c r="D184">
        <v>44</v>
      </c>
      <c r="E184" s="73">
        <f>ROUND(E140+D184/12,4)</f>
        <v>60.666699999999999</v>
      </c>
      <c r="F184" s="73">
        <f>ROUND(VLOOKUP(TRUNC(D184/12,0)+57,E140:F331,2,FALSE)-MOD(D184,12)*(VLOOKUP(TRUNC(D184/12,0)+57,E140:F331,2,FALSE)-VLOOKUP(TRUNC(D184/12,0)+1+57,E140:F331,2,FALSE))/12,4)</f>
        <v>10.9474</v>
      </c>
      <c r="I184">
        <v>37</v>
      </c>
      <c r="J184" s="73">
        <v>1.3745000000000001</v>
      </c>
      <c r="L184">
        <v>44</v>
      </c>
      <c r="M184" s="73">
        <f>ROUND(M140+L184/12,4)</f>
        <v>60.666699999999999</v>
      </c>
      <c r="N184" s="73">
        <f>ROUND(VLOOKUP(TRUNC(L184/12,0)+57,M140:N331,2,FALSE)-MOD(L184,12)*(VLOOKUP(TRUNC(L184/12,0)+57,M140:N331,2,FALSE)-VLOOKUP(TRUNC(L184/12,0)+1+57,M140:N331,2,FALSE))/12,4)</f>
        <v>9.3324999999999996</v>
      </c>
      <c r="R184">
        <v>37</v>
      </c>
      <c r="S184" s="73">
        <v>1.2958000000000001</v>
      </c>
      <c r="U184">
        <v>44</v>
      </c>
      <c r="V184" s="73">
        <f>ROUND(V140+U184/12,4)</f>
        <v>60.666699999999999</v>
      </c>
      <c r="W184" s="73">
        <f>ROUND(VLOOKUP(TRUNC(U184/12,0)+57,V140:W331,2,FALSE)-MOD(U184,12)*(VLOOKUP(TRUNC(U184/12,0)+57,V140:W331,2,FALSE)-VLOOKUP(TRUNC(U184/12,0)+1+57,V140:W331,2,FALSE))/12,4)</f>
        <v>10.802899999999999</v>
      </c>
      <c r="Z184">
        <v>37</v>
      </c>
      <c r="AA184" s="73">
        <v>1.3207</v>
      </c>
      <c r="AC184">
        <v>44</v>
      </c>
      <c r="AD184" s="73">
        <f>ROUND(AD140+AC184/12,4)</f>
        <v>60.666699999999999</v>
      </c>
      <c r="AE184" s="73">
        <f>ROUND(VLOOKUP(TRUNC(AC184/12,0)+57,AD140:AE331,2,FALSE)-MOD(AC184,12)*(VLOOKUP(TRUNC(AC184/12,0)+57,AD140:AE331,2,FALSE)-VLOOKUP(TRUNC(AC184/12,0)+1+57,AD140:AE331,2,FALSE))/12,4)</f>
        <v>10.802899999999999</v>
      </c>
      <c r="AH184">
        <v>37</v>
      </c>
      <c r="AI184" s="73">
        <v>1.3774999999999999</v>
      </c>
      <c r="AK184">
        <v>44</v>
      </c>
      <c r="AL184" s="73">
        <f>ROUND(AL140+AK184/12,4)</f>
        <v>60.666699999999999</v>
      </c>
      <c r="AM184" s="73">
        <f>ROUND(VLOOKUP(TRUNC(AK184/12,0)+57,AL140:AM331,2,FALSE)-MOD(AK184,12)*(VLOOKUP(TRUNC(AK184/12,0)+57,AL140:AM331,2,FALSE)-VLOOKUP(TRUNC(AK184/12,0)+1+57,AL140:AM331,2,FALSE))/12,4)</f>
        <v>9.3324999999999996</v>
      </c>
      <c r="AR184" s="73"/>
    </row>
    <row r="185" spans="1:95" x14ac:dyDescent="0.2">
      <c r="A185">
        <v>38</v>
      </c>
      <c r="B185" s="73">
        <v>1.3044</v>
      </c>
      <c r="D185">
        <v>45</v>
      </c>
      <c r="E185" s="73">
        <f>ROUND(E140+D185/12,4)</f>
        <v>60.75</v>
      </c>
      <c r="F185" s="73">
        <f>ROUND(VLOOKUP(TRUNC(D185/12,0)+57,E140:F331,2,FALSE)-MOD(D185,12)*(VLOOKUP(TRUNC(D185/12,0)+57,E140:F331,2,FALSE)-VLOOKUP(TRUNC(D185/12,0)+1+57,E140:F331,2,FALSE))/12,4)</f>
        <v>10.9313</v>
      </c>
      <c r="I185">
        <v>38</v>
      </c>
      <c r="J185" s="73">
        <v>1.3874</v>
      </c>
      <c r="L185">
        <v>45</v>
      </c>
      <c r="M185" s="73">
        <f>ROUND(M140+L185/12,4)</f>
        <v>60.75</v>
      </c>
      <c r="N185" s="73">
        <f>ROUND(VLOOKUP(TRUNC(L185/12,0)+57,M140:N331,2,FALSE)-MOD(L185,12)*(VLOOKUP(TRUNC(L185/12,0)+57,M140:N331,2,FALSE)-VLOOKUP(TRUNC(L185/12,0)+1+57,M140:N331,2,FALSE))/12,4)</f>
        <v>9.3155000000000001</v>
      </c>
      <c r="R185">
        <v>38</v>
      </c>
      <c r="S185" s="73">
        <v>1.3053999999999999</v>
      </c>
      <c r="U185">
        <v>45</v>
      </c>
      <c r="V185" s="73">
        <f>ROUND(V140+U185/12,4)</f>
        <v>60.75</v>
      </c>
      <c r="W185" s="73">
        <f>ROUND(VLOOKUP(TRUNC(U185/12,0)+57,V140:W331,2,FALSE)-MOD(U185,12)*(VLOOKUP(TRUNC(U185/12,0)+57,V140:W331,2,FALSE)-VLOOKUP(TRUNC(U185/12,0)+1+57,V140:W331,2,FALSE))/12,4)</f>
        <v>10.7864</v>
      </c>
      <c r="Z185">
        <v>38</v>
      </c>
      <c r="AA185" s="73">
        <v>1.3311999999999999</v>
      </c>
      <c r="AC185">
        <v>45</v>
      </c>
      <c r="AD185" s="73">
        <f>ROUND(AD140+AC185/12,4)</f>
        <v>60.75</v>
      </c>
      <c r="AE185" s="73">
        <f>ROUND(VLOOKUP(TRUNC(AC185/12,0)+57,AD140:AE331,2,FALSE)-MOD(AC185,12)*(VLOOKUP(TRUNC(AC185/12,0)+57,AD140:AE331,2,FALSE)-VLOOKUP(TRUNC(AC185/12,0)+1+57,AD140:AE331,2,FALSE))/12,4)</f>
        <v>10.7864</v>
      </c>
      <c r="AH185">
        <v>38</v>
      </c>
      <c r="AI185" s="73">
        <v>1.3904000000000001</v>
      </c>
      <c r="AK185">
        <v>45</v>
      </c>
      <c r="AL185" s="73">
        <f>ROUND(AL140+AK185/12,4)</f>
        <v>60.75</v>
      </c>
      <c r="AM185" s="73">
        <f>ROUND(VLOOKUP(TRUNC(AK185/12,0)+57,AL140:AM331,2,FALSE)-MOD(AK185,12)*(VLOOKUP(TRUNC(AK185/12,0)+57,AL140:AM331,2,FALSE)-VLOOKUP(TRUNC(AK185/12,0)+1+57,AL140:AM331,2,FALSE))/12,4)</f>
        <v>9.3155000000000001</v>
      </c>
      <c r="AR185" s="73"/>
    </row>
    <row r="186" spans="1:95" x14ac:dyDescent="0.2">
      <c r="A186">
        <v>39</v>
      </c>
      <c r="B186" s="73">
        <v>1.3139000000000001</v>
      </c>
      <c r="D186">
        <v>46</v>
      </c>
      <c r="E186" s="73">
        <f>ROUND(E140+D186/12,4)</f>
        <v>60.833300000000001</v>
      </c>
      <c r="F186" s="73">
        <f>ROUND(VLOOKUP(TRUNC(D186/12,0)+57,E140:F331,2,FALSE)-MOD(D186,12)*(VLOOKUP(TRUNC(D186/12,0)+57,E140:F331,2,FALSE)-VLOOKUP(TRUNC(D186/12,0)+1+57,E140:F331,2,FALSE))/12,4)</f>
        <v>10.915100000000001</v>
      </c>
      <c r="I186">
        <v>39</v>
      </c>
      <c r="J186" s="73">
        <v>1.4001999999999999</v>
      </c>
      <c r="L186">
        <v>46</v>
      </c>
      <c r="M186" s="73">
        <f>ROUND(M140+L186/12,4)</f>
        <v>60.833300000000001</v>
      </c>
      <c r="N186" s="73">
        <f>ROUND(VLOOKUP(TRUNC(L186/12,0)+57,M140:N331,2,FALSE)-MOD(L186,12)*(VLOOKUP(TRUNC(L186/12,0)+57,M140:N331,2,FALSE)-VLOOKUP(TRUNC(L186/12,0)+1+57,M140:N331,2,FALSE))/12,4)</f>
        <v>9.2986000000000004</v>
      </c>
      <c r="R186">
        <v>39</v>
      </c>
      <c r="S186" s="73">
        <v>1.3149999999999999</v>
      </c>
      <c r="U186">
        <v>46</v>
      </c>
      <c r="V186" s="73">
        <f>ROUND(V140+U186/12,4)</f>
        <v>60.833300000000001</v>
      </c>
      <c r="W186" s="73">
        <f>ROUND(VLOOKUP(TRUNC(U186/12,0)+57,V140:W331,2,FALSE)-MOD(U186,12)*(VLOOKUP(TRUNC(U186/12,0)+57,V140:W331,2,FALSE)-VLOOKUP(TRUNC(U186/12,0)+1+57,V140:W331,2,FALSE))/12,4)</f>
        <v>10.77</v>
      </c>
      <c r="Z186">
        <v>39</v>
      </c>
      <c r="AA186" s="73">
        <v>1.3418000000000001</v>
      </c>
      <c r="AC186">
        <v>46</v>
      </c>
      <c r="AD186" s="73">
        <f>ROUND(AD140+AC186/12,4)</f>
        <v>60.833300000000001</v>
      </c>
      <c r="AE186" s="73">
        <f>ROUND(VLOOKUP(TRUNC(AC186/12,0)+57,AD140:AE331,2,FALSE)-MOD(AC186,12)*(VLOOKUP(TRUNC(AC186/12,0)+57,AD140:AE331,2,FALSE)-VLOOKUP(TRUNC(AC186/12,0)+1+57,AD140:AE331,2,FALSE))/12,4)</f>
        <v>10.77</v>
      </c>
      <c r="AH186">
        <v>39</v>
      </c>
      <c r="AI186" s="73">
        <v>1.4034</v>
      </c>
      <c r="AK186">
        <v>46</v>
      </c>
      <c r="AL186" s="73">
        <f>ROUND(AL140+AK186/12,4)</f>
        <v>60.833300000000001</v>
      </c>
      <c r="AM186" s="73">
        <f>ROUND(VLOOKUP(TRUNC(AK186/12,0)+57,AL140:AM331,2,FALSE)-MOD(AK186,12)*(VLOOKUP(TRUNC(AK186/12,0)+57,AL140:AM331,2,FALSE)-VLOOKUP(TRUNC(AK186/12,0)+1+57,AL140:AM331,2,FALSE))/12,4)</f>
        <v>9.2986000000000004</v>
      </c>
      <c r="AR186" s="73"/>
    </row>
    <row r="187" spans="1:95" x14ac:dyDescent="0.2">
      <c r="A187">
        <v>40</v>
      </c>
      <c r="B187" s="73">
        <v>1.3233999999999999</v>
      </c>
      <c r="D187">
        <v>47</v>
      </c>
      <c r="E187" s="73">
        <f>ROUND(E140+D187/12,4)</f>
        <v>60.916699999999999</v>
      </c>
      <c r="F187" s="73">
        <f>ROUND(VLOOKUP(TRUNC(D187/12,0)+57,E140:F331,2,FALSE)-MOD(D187,12)*(VLOOKUP(TRUNC(D187/12,0)+57,E140:F331,2,FALSE)-VLOOKUP(TRUNC(D187/12,0)+1+57,E140:F331,2,FALSE))/12,4)</f>
        <v>10.898999999999999</v>
      </c>
      <c r="I187">
        <v>40</v>
      </c>
      <c r="J187" s="73">
        <v>1.4131</v>
      </c>
      <c r="L187">
        <v>47</v>
      </c>
      <c r="M187" s="73">
        <f>ROUND(M140+L187/12,4)</f>
        <v>60.916699999999999</v>
      </c>
      <c r="N187" s="73">
        <f>ROUND(VLOOKUP(TRUNC(L187/12,0)+57,M140:N331,2,FALSE)-MOD(L187,12)*(VLOOKUP(TRUNC(L187/12,0)+57,M140:N331,2,FALSE)-VLOOKUP(TRUNC(L187/12,0)+1+57,M140:N331,2,FALSE))/12,4)</f>
        <v>9.2817000000000007</v>
      </c>
      <c r="R187">
        <v>40</v>
      </c>
      <c r="S187" s="73">
        <v>1.3246</v>
      </c>
      <c r="U187">
        <v>47</v>
      </c>
      <c r="V187" s="73">
        <f>ROUND(V140+U187/12,4)</f>
        <v>60.916699999999999</v>
      </c>
      <c r="W187" s="73">
        <f>ROUND(VLOOKUP(TRUNC(U187/12,0)+57,V140:W331,2,FALSE)-MOD(U187,12)*(VLOOKUP(TRUNC(U187/12,0)+57,V140:W331,2,FALSE)-VLOOKUP(TRUNC(U187/12,0)+1+57,V140:W331,2,FALSE))/12,4)</f>
        <v>10.753500000000001</v>
      </c>
      <c r="Z187">
        <v>40</v>
      </c>
      <c r="AA187" s="73">
        <v>1.3523000000000001</v>
      </c>
      <c r="AC187">
        <v>47</v>
      </c>
      <c r="AD187" s="73">
        <f>ROUND(AD140+AC187/12,4)</f>
        <v>60.916699999999999</v>
      </c>
      <c r="AE187" s="73">
        <f>ROUND(VLOOKUP(TRUNC(AC187/12,0)+57,AD140:AE331,2,FALSE)-MOD(AC187,12)*(VLOOKUP(TRUNC(AC187/12,0)+57,AD140:AE331,2,FALSE)-VLOOKUP(TRUNC(AC187/12,0)+1+57,AD140:AE331,2,FALSE))/12,4)</f>
        <v>10.753500000000001</v>
      </c>
      <c r="AH187">
        <v>40</v>
      </c>
      <c r="AI187" s="73">
        <v>1.4164000000000001</v>
      </c>
      <c r="AK187">
        <v>47</v>
      </c>
      <c r="AL187" s="73">
        <f>ROUND(AL140+AK187/12,4)</f>
        <v>60.916699999999999</v>
      </c>
      <c r="AM187" s="73">
        <f>ROUND(VLOOKUP(TRUNC(AK187/12,0)+57,AL140:AM331,2,FALSE)-MOD(AK187,12)*(VLOOKUP(TRUNC(AK187/12,0)+57,AL140:AM331,2,FALSE)-VLOOKUP(TRUNC(AK187/12,0)+1+57,AL140:AM331,2,FALSE))/12,4)</f>
        <v>9.2817000000000007</v>
      </c>
      <c r="AR187" s="73"/>
    </row>
    <row r="188" spans="1:95" x14ac:dyDescent="0.2">
      <c r="A188">
        <v>41</v>
      </c>
      <c r="B188" s="73">
        <v>1.333</v>
      </c>
      <c r="D188">
        <v>48</v>
      </c>
      <c r="E188" s="73">
        <f>ROUND(E140+D188/12,4)</f>
        <v>61</v>
      </c>
      <c r="F188" s="73">
        <f>[1]!NPVF("Mp","SLA","N",B140:C140,"M",E188,E188,0,0,0,0,A140,A140,"P","","")</f>
        <v>10.882820888261202</v>
      </c>
      <c r="I188">
        <v>41</v>
      </c>
      <c r="J188" s="73">
        <v>1.4258999999999999</v>
      </c>
      <c r="L188">
        <v>48</v>
      </c>
      <c r="M188" s="73">
        <f>ROUND(M140+L188/12,4)</f>
        <v>61</v>
      </c>
      <c r="N188" s="73">
        <f>[1]!NPVF("Mp","SLA","N",J140:K140,"M",M188,M188,0,0,0,0,I140,I140,"P","","")</f>
        <v>9.2648042089514444</v>
      </c>
      <c r="R188">
        <v>41</v>
      </c>
      <c r="S188" s="73">
        <v>1.3342000000000001</v>
      </c>
      <c r="U188">
        <v>48</v>
      </c>
      <c r="V188" s="73">
        <f>ROUND(V140+U188/12,4)</f>
        <v>61</v>
      </c>
      <c r="W188" s="73">
        <f>[1]!NPVF("Mp","SLA","N",S140:T140,"M",V188,V188,0,0,0,0,R140,R140,"P","","")</f>
        <v>10.737065987643174</v>
      </c>
      <c r="Z188">
        <v>41</v>
      </c>
      <c r="AA188" s="73">
        <v>1.3629</v>
      </c>
      <c r="AC188">
        <v>48</v>
      </c>
      <c r="AD188" s="73">
        <f>ROUND(AD140+AC188/12,4)</f>
        <v>61</v>
      </c>
      <c r="AE188" s="73">
        <f>[1]!NPVF("Mp","SLA","N",AA140:AB140,"M",AD188,AD188,0,0,0,0,Z140,Z140,"P","","")</f>
        <v>10.737065987643174</v>
      </c>
      <c r="AH188">
        <v>41</v>
      </c>
      <c r="AI188" s="73">
        <v>1.4293</v>
      </c>
      <c r="AK188">
        <v>48</v>
      </c>
      <c r="AL188" s="73">
        <f>ROUND(AL140+AK188/12,4)</f>
        <v>61</v>
      </c>
      <c r="AM188" s="73">
        <f>[1]!NPVF("Mp","SLA","N",AI140:AJ140,"M",AL188,AL188,0,0,0,0,AH140,AH140,"P","","")</f>
        <v>9.2648042089514444</v>
      </c>
      <c r="AR188" s="73"/>
    </row>
    <row r="189" spans="1:95" x14ac:dyDescent="0.2">
      <c r="A189">
        <v>42</v>
      </c>
      <c r="B189" s="73">
        <v>1.3425</v>
      </c>
      <c r="D189">
        <v>49</v>
      </c>
      <c r="E189" s="73">
        <f>ROUND(E140+D189/12,4)</f>
        <v>61.083300000000001</v>
      </c>
      <c r="F189" s="73">
        <f>ROUND(VLOOKUP(TRUNC(D189/12,0)+57,E140:F331,2,FALSE)-MOD(D189,12)*(VLOOKUP(TRUNC(D189/12,0)+57,E140:F331,2,FALSE)-VLOOKUP(TRUNC(D189/12,0)+1+57,E140:F331,2,FALSE))/12,4)</f>
        <v>10.866199999999999</v>
      </c>
      <c r="I189">
        <v>42</v>
      </c>
      <c r="J189" s="73">
        <v>1.4388000000000001</v>
      </c>
      <c r="L189">
        <v>49</v>
      </c>
      <c r="M189" s="73">
        <f>ROUND(M140+L189/12,4)</f>
        <v>61.083300000000001</v>
      </c>
      <c r="N189" s="73">
        <f>ROUND(VLOOKUP(TRUNC(L189/12,0)+57,M140:N331,2,FALSE)-MOD(L189,12)*(VLOOKUP(TRUNC(L189/12,0)+57,M140:N331,2,FALSE)-VLOOKUP(TRUNC(L189/12,0)+1+57,M140:N331,2,FALSE))/12,4)</f>
        <v>9.2474000000000007</v>
      </c>
      <c r="R189">
        <v>42</v>
      </c>
      <c r="S189" s="73">
        <v>1.3439000000000001</v>
      </c>
      <c r="U189">
        <v>49</v>
      </c>
      <c r="V189" s="73">
        <f>ROUND(V140+U189/12,4)</f>
        <v>61.083300000000001</v>
      </c>
      <c r="W189" s="73">
        <f>ROUND(VLOOKUP(TRUNC(U189/12,0)+57,V140:W331,2,FALSE)-MOD(U189,12)*(VLOOKUP(TRUNC(U189/12,0)+57,V140:W331,2,FALSE)-VLOOKUP(TRUNC(U189/12,0)+1+57,V140:W331,2,FALSE))/12,4)</f>
        <v>10.72</v>
      </c>
      <c r="Z189">
        <v>42</v>
      </c>
      <c r="AA189" s="73">
        <v>1.3734999999999999</v>
      </c>
      <c r="AC189">
        <v>49</v>
      </c>
      <c r="AD189" s="73">
        <f>ROUND(AD140+AC189/12,4)</f>
        <v>61.083300000000001</v>
      </c>
      <c r="AE189" s="73">
        <f>ROUND(VLOOKUP(TRUNC(AC189/12,0)+57,AD140:AE331,2,FALSE)-MOD(AC189,12)*(VLOOKUP(TRUNC(AC189/12,0)+57,AD140:AE331,2,FALSE)-VLOOKUP(TRUNC(AC189/12,0)+1+57,AD140:AE331,2,FALSE))/12,4)</f>
        <v>10.72</v>
      </c>
      <c r="AH189">
        <v>42</v>
      </c>
      <c r="AI189" s="73">
        <v>1.4422999999999999</v>
      </c>
      <c r="AK189">
        <v>49</v>
      </c>
      <c r="AL189" s="73">
        <f>ROUND(AL140+AK189/12,4)</f>
        <v>61.083300000000001</v>
      </c>
      <c r="AM189" s="73">
        <f>ROUND(VLOOKUP(TRUNC(AK189/12,0)+57,AL140:AM331,2,FALSE)-MOD(AK189,12)*(VLOOKUP(TRUNC(AK189/12,0)+57,AL140:AM331,2,FALSE)-VLOOKUP(TRUNC(AK189/12,0)+1+57,AL140:AM331,2,FALSE))/12,4)</f>
        <v>9.2474000000000007</v>
      </c>
      <c r="AR189" s="73"/>
    </row>
    <row r="190" spans="1:95" x14ac:dyDescent="0.2">
      <c r="A190">
        <v>43</v>
      </c>
      <c r="B190" s="73">
        <v>1.3520000000000001</v>
      </c>
      <c r="D190">
        <v>50</v>
      </c>
      <c r="E190" s="73">
        <f>ROUND(E140+D190/12,4)</f>
        <v>61.166699999999999</v>
      </c>
      <c r="F190" s="73">
        <f>ROUND(VLOOKUP(TRUNC(D190/12,0)+57,E140:F331,2,FALSE)-MOD(D190,12)*(VLOOKUP(TRUNC(D190/12,0)+57,E140:F331,2,FALSE)-VLOOKUP(TRUNC(D190/12,0)+1+57,E140:F331,2,FALSE))/12,4)</f>
        <v>10.849600000000001</v>
      </c>
      <c r="I190">
        <v>43</v>
      </c>
      <c r="J190" s="73">
        <v>1.4516</v>
      </c>
      <c r="L190">
        <v>50</v>
      </c>
      <c r="M190" s="73">
        <f>ROUND(M140+L190/12,4)</f>
        <v>61.166699999999999</v>
      </c>
      <c r="N190" s="73">
        <f>ROUND(VLOOKUP(TRUNC(L190/12,0)+57,M140:N331,2,FALSE)-MOD(L190,12)*(VLOOKUP(TRUNC(L190/12,0)+57,M140:N331,2,FALSE)-VLOOKUP(TRUNC(L190/12,0)+1+57,M140:N331,2,FALSE))/12,4)</f>
        <v>9.2301000000000002</v>
      </c>
      <c r="R190">
        <v>43</v>
      </c>
      <c r="S190" s="73">
        <v>1.3534999999999999</v>
      </c>
      <c r="U190">
        <v>50</v>
      </c>
      <c r="V190" s="73">
        <f>ROUND(V140+U190/12,4)</f>
        <v>61.166699999999999</v>
      </c>
      <c r="W190" s="73">
        <f>ROUND(VLOOKUP(TRUNC(U190/12,0)+57,V140:W331,2,FALSE)-MOD(U190,12)*(VLOOKUP(TRUNC(U190/12,0)+57,V140:W331,2,FALSE)-VLOOKUP(TRUNC(U190/12,0)+1+57,V140:W331,2,FALSE))/12,4)</f>
        <v>10.7029</v>
      </c>
      <c r="Z190">
        <v>43</v>
      </c>
      <c r="AA190" s="73">
        <v>1.3839999999999999</v>
      </c>
      <c r="AC190">
        <v>50</v>
      </c>
      <c r="AD190" s="73">
        <f>ROUND(AD140+AC190/12,4)</f>
        <v>61.166699999999999</v>
      </c>
      <c r="AE190" s="73">
        <f>ROUND(VLOOKUP(TRUNC(AC190/12,0)+57,AD140:AE331,2,FALSE)-MOD(AC190,12)*(VLOOKUP(TRUNC(AC190/12,0)+57,AD140:AE331,2,FALSE)-VLOOKUP(TRUNC(AC190/12,0)+1+57,AD140:AE331,2,FALSE))/12,4)</f>
        <v>10.7029</v>
      </c>
      <c r="AH190">
        <v>43</v>
      </c>
      <c r="AI190" s="73">
        <v>1.4553</v>
      </c>
      <c r="AK190">
        <v>50</v>
      </c>
      <c r="AL190" s="73">
        <f>ROUND(AL140+AK190/12,4)</f>
        <v>61.166699999999999</v>
      </c>
      <c r="AM190" s="73">
        <f>ROUND(VLOOKUP(TRUNC(AK190/12,0)+57,AL140:AM331,2,FALSE)-MOD(AK190,12)*(VLOOKUP(TRUNC(AK190/12,0)+57,AL140:AM331,2,FALSE)-VLOOKUP(TRUNC(AK190/12,0)+1+57,AL140:AM331,2,FALSE))/12,4)</f>
        <v>9.2301000000000002</v>
      </c>
      <c r="AR190" s="73"/>
    </row>
    <row r="191" spans="1:95" x14ac:dyDescent="0.2">
      <c r="A191">
        <v>44</v>
      </c>
      <c r="B191" s="73">
        <v>1.3615999999999999</v>
      </c>
      <c r="D191">
        <v>51</v>
      </c>
      <c r="E191" s="73">
        <f>ROUND(E140+D191/12,4)</f>
        <v>61.25</v>
      </c>
      <c r="F191" s="73">
        <f>ROUND(VLOOKUP(TRUNC(D191/12,0)+57,E140:F331,2,FALSE)-MOD(D191,12)*(VLOOKUP(TRUNC(D191/12,0)+57,E140:F331,2,FALSE)-VLOOKUP(TRUNC(D191/12,0)+1+57,E140:F331,2,FALSE))/12,4)</f>
        <v>10.833</v>
      </c>
      <c r="I191">
        <v>44</v>
      </c>
      <c r="J191" s="73">
        <v>1.4643999999999999</v>
      </c>
      <c r="L191">
        <v>51</v>
      </c>
      <c r="M191" s="73">
        <f>ROUND(M140+L191/12,4)</f>
        <v>61.25</v>
      </c>
      <c r="N191" s="73">
        <f>ROUND(VLOOKUP(TRUNC(L191/12,0)+57,M140:N331,2,FALSE)-MOD(L191,12)*(VLOOKUP(TRUNC(L191/12,0)+57,M140:N331,2,FALSE)-VLOOKUP(TRUNC(L191/12,0)+1+57,M140:N331,2,FALSE))/12,4)</f>
        <v>9.2126999999999999</v>
      </c>
      <c r="R191">
        <v>44</v>
      </c>
      <c r="S191" s="73">
        <v>1.3631</v>
      </c>
      <c r="U191">
        <v>51</v>
      </c>
      <c r="V191" s="73">
        <f>ROUND(V140+U191/12,4)</f>
        <v>61.25</v>
      </c>
      <c r="W191" s="73">
        <f>ROUND(VLOOKUP(TRUNC(U191/12,0)+57,V140:W331,2,FALSE)-MOD(U191,12)*(VLOOKUP(TRUNC(U191/12,0)+57,V140:W331,2,FALSE)-VLOOKUP(TRUNC(U191/12,0)+1+57,V140:W331,2,FALSE))/12,4)</f>
        <v>10.6858</v>
      </c>
      <c r="Z191">
        <v>44</v>
      </c>
      <c r="AA191" s="73">
        <v>1.3946000000000001</v>
      </c>
      <c r="AC191">
        <v>51</v>
      </c>
      <c r="AD191" s="73">
        <f>ROUND(AD140+AC191/12,4)</f>
        <v>61.25</v>
      </c>
      <c r="AE191" s="73">
        <f>ROUND(VLOOKUP(TRUNC(AC191/12,0)+57,AD140:AE331,2,FALSE)-MOD(AC191,12)*(VLOOKUP(TRUNC(AC191/12,0)+57,AD140:AE331,2,FALSE)-VLOOKUP(TRUNC(AC191/12,0)+1+57,AD140:AE331,2,FALSE))/12,4)</f>
        <v>10.6858</v>
      </c>
      <c r="AH191">
        <v>44</v>
      </c>
      <c r="AI191" s="73">
        <v>1.4681999999999999</v>
      </c>
      <c r="AK191">
        <v>51</v>
      </c>
      <c r="AL191" s="73">
        <f>ROUND(AL140+AK191/12,4)</f>
        <v>61.25</v>
      </c>
      <c r="AM191" s="73">
        <f>ROUND(VLOOKUP(TRUNC(AK191/12,0)+57,AL140:AM331,2,FALSE)-MOD(AK191,12)*(VLOOKUP(TRUNC(AK191/12,0)+57,AL140:AM331,2,FALSE)-VLOOKUP(TRUNC(AK191/12,0)+1+57,AL140:AM331,2,FALSE))/12,4)</f>
        <v>9.2126999999999999</v>
      </c>
      <c r="AR191" s="73"/>
    </row>
    <row r="192" spans="1:95" x14ac:dyDescent="0.2">
      <c r="A192">
        <v>45</v>
      </c>
      <c r="B192" s="73">
        <v>1.3711</v>
      </c>
      <c r="D192">
        <v>52</v>
      </c>
      <c r="E192" s="73">
        <f>ROUND(E140+D192/12,4)</f>
        <v>61.333300000000001</v>
      </c>
      <c r="F192" s="73">
        <f>ROUND(VLOOKUP(TRUNC(D192/12,0)+57,E140:F331,2,FALSE)-MOD(D192,12)*(VLOOKUP(TRUNC(D192/12,0)+57,E140:F331,2,FALSE)-VLOOKUP(TRUNC(D192/12,0)+1+57,E140:F331,2,FALSE))/12,4)</f>
        <v>10.8165</v>
      </c>
      <c r="I192">
        <v>45</v>
      </c>
      <c r="J192" s="73">
        <v>1.4773000000000001</v>
      </c>
      <c r="L192">
        <v>52</v>
      </c>
      <c r="M192" s="73">
        <f>ROUND(M140+L192/12,4)</f>
        <v>61.333300000000001</v>
      </c>
      <c r="N192" s="73">
        <f>ROUND(VLOOKUP(TRUNC(L192/12,0)+57,M140:N331,2,FALSE)-MOD(L192,12)*(VLOOKUP(TRUNC(L192/12,0)+57,M140:N331,2,FALSE)-VLOOKUP(TRUNC(L192/12,0)+1+57,M140:N331,2,FALSE))/12,4)</f>
        <v>9.1952999999999996</v>
      </c>
      <c r="R192">
        <v>45</v>
      </c>
      <c r="S192" s="73">
        <v>1.3727</v>
      </c>
      <c r="U192">
        <v>52</v>
      </c>
      <c r="V192" s="73">
        <f>ROUND(V140+U192/12,4)</f>
        <v>61.333300000000001</v>
      </c>
      <c r="W192" s="73">
        <f>ROUND(VLOOKUP(TRUNC(U192/12,0)+57,V140:W331,2,FALSE)-MOD(U192,12)*(VLOOKUP(TRUNC(U192/12,0)+57,V140:W331,2,FALSE)-VLOOKUP(TRUNC(U192/12,0)+1+57,V140:W331,2,FALSE))/12,4)</f>
        <v>10.668699999999999</v>
      </c>
      <c r="Z192">
        <v>45</v>
      </c>
      <c r="AA192" s="73">
        <v>1.4051</v>
      </c>
      <c r="AC192">
        <v>52</v>
      </c>
      <c r="AD192" s="73">
        <f>ROUND(AD140+AC192/12,4)</f>
        <v>61.333300000000001</v>
      </c>
      <c r="AE192" s="73">
        <f>ROUND(VLOOKUP(TRUNC(AC192/12,0)+57,AD140:AE331,2,FALSE)-MOD(AC192,12)*(VLOOKUP(TRUNC(AC192/12,0)+57,AD140:AE331,2,FALSE)-VLOOKUP(TRUNC(AC192/12,0)+1+57,AD140:AE331,2,FALSE))/12,4)</f>
        <v>10.668699999999999</v>
      </c>
      <c r="AH192">
        <v>45</v>
      </c>
      <c r="AI192" s="73">
        <v>1.4812000000000001</v>
      </c>
      <c r="AK192">
        <v>52</v>
      </c>
      <c r="AL192" s="73">
        <f>ROUND(AL140+AK192/12,4)</f>
        <v>61.333300000000001</v>
      </c>
      <c r="AM192" s="73">
        <f>ROUND(VLOOKUP(TRUNC(AK192/12,0)+57,AL140:AM331,2,FALSE)-MOD(AK192,12)*(VLOOKUP(TRUNC(AK192/12,0)+57,AL140:AM331,2,FALSE)-VLOOKUP(TRUNC(AK192/12,0)+1+57,AL140:AM331,2,FALSE))/12,4)</f>
        <v>9.1952999999999996</v>
      </c>
      <c r="AR192" s="73"/>
    </row>
    <row r="193" spans="1:44" x14ac:dyDescent="0.2">
      <c r="A193">
        <v>46</v>
      </c>
      <c r="B193" s="73">
        <v>1.3806</v>
      </c>
      <c r="D193">
        <v>53</v>
      </c>
      <c r="E193" s="73">
        <f>ROUND(E140+D193/12,4)</f>
        <v>61.416699999999999</v>
      </c>
      <c r="F193" s="73">
        <f>ROUND(VLOOKUP(TRUNC(D193/12,0)+57,E140:F331,2,FALSE)-MOD(D193,12)*(VLOOKUP(TRUNC(D193/12,0)+57,E140:F331,2,FALSE)-VLOOKUP(TRUNC(D193/12,0)+1+57,E140:F331,2,FALSE))/12,4)</f>
        <v>10.799899999999999</v>
      </c>
      <c r="I193">
        <v>46</v>
      </c>
      <c r="J193" s="73">
        <v>1.4901</v>
      </c>
      <c r="L193">
        <v>53</v>
      </c>
      <c r="M193" s="73">
        <f>ROUND(M140+L193/12,4)</f>
        <v>61.416699999999999</v>
      </c>
      <c r="N193" s="73">
        <f>ROUND(VLOOKUP(TRUNC(L193/12,0)+57,M140:N331,2,FALSE)-MOD(L193,12)*(VLOOKUP(TRUNC(L193/12,0)+57,M140:N331,2,FALSE)-VLOOKUP(TRUNC(L193/12,0)+1+57,M140:N331,2,FALSE))/12,4)</f>
        <v>9.1780000000000008</v>
      </c>
      <c r="R193">
        <v>46</v>
      </c>
      <c r="S193" s="73">
        <v>1.3823000000000001</v>
      </c>
      <c r="U193">
        <v>53</v>
      </c>
      <c r="V193" s="73">
        <f>ROUND(V140+U193/12,4)</f>
        <v>61.416699999999999</v>
      </c>
      <c r="W193" s="73">
        <f>ROUND(VLOOKUP(TRUNC(U193/12,0)+57,V140:W331,2,FALSE)-MOD(U193,12)*(VLOOKUP(TRUNC(U193/12,0)+57,V140:W331,2,FALSE)-VLOOKUP(TRUNC(U193/12,0)+1+57,V140:W331,2,FALSE))/12,4)</f>
        <v>10.6516</v>
      </c>
      <c r="Z193">
        <v>46</v>
      </c>
      <c r="AA193" s="73">
        <v>1.4157</v>
      </c>
      <c r="AC193">
        <v>53</v>
      </c>
      <c r="AD193" s="73">
        <f>ROUND(AD140+AC193/12,4)</f>
        <v>61.416699999999999</v>
      </c>
      <c r="AE193" s="73">
        <f>ROUND(VLOOKUP(TRUNC(AC193/12,0)+57,AD140:AE331,2,FALSE)-MOD(AC193,12)*(VLOOKUP(TRUNC(AC193/12,0)+57,AD140:AE331,2,FALSE)-VLOOKUP(TRUNC(AC193/12,0)+1+57,AD140:AE331,2,FALSE))/12,4)</f>
        <v>10.6516</v>
      </c>
      <c r="AH193">
        <v>46</v>
      </c>
      <c r="AI193" s="73">
        <v>1.4942</v>
      </c>
      <c r="AK193">
        <v>53</v>
      </c>
      <c r="AL193" s="73">
        <f>ROUND(AL140+AK193/12,4)</f>
        <v>61.416699999999999</v>
      </c>
      <c r="AM193" s="73">
        <f>ROUND(VLOOKUP(TRUNC(AK193/12,0)+57,AL140:AM331,2,FALSE)-MOD(AK193,12)*(VLOOKUP(TRUNC(AK193/12,0)+57,AL140:AM331,2,FALSE)-VLOOKUP(TRUNC(AK193/12,0)+1+57,AL140:AM331,2,FALSE))/12,4)</f>
        <v>9.1780000000000008</v>
      </c>
      <c r="AR193" s="73"/>
    </row>
    <row r="194" spans="1:44" x14ac:dyDescent="0.2">
      <c r="A194">
        <v>47</v>
      </c>
      <c r="B194" s="73">
        <v>1.3902000000000001</v>
      </c>
      <c r="D194">
        <v>54</v>
      </c>
      <c r="E194" s="73">
        <f>ROUND(E140+D194/12,4)</f>
        <v>61.5</v>
      </c>
      <c r="F194" s="73">
        <f>ROUND(VLOOKUP(TRUNC(D194/12,0)+57,E140:F331,2,FALSE)-MOD(D194,12)*(VLOOKUP(TRUNC(D194/12,0)+57,E140:F331,2,FALSE)-VLOOKUP(TRUNC(D194/12,0)+1+57,E140:F331,2,FALSE))/12,4)</f>
        <v>10.783300000000001</v>
      </c>
      <c r="I194">
        <v>47</v>
      </c>
      <c r="J194" s="73">
        <v>1.5029999999999999</v>
      </c>
      <c r="L194">
        <v>54</v>
      </c>
      <c r="M194" s="73">
        <f>ROUND(M140+L194/12,4)</f>
        <v>61.5</v>
      </c>
      <c r="N194" s="73">
        <f>ROUND(VLOOKUP(TRUNC(L194/12,0)+57,M140:N331,2,FALSE)-MOD(L194,12)*(VLOOKUP(TRUNC(L194/12,0)+57,M140:N331,2,FALSE)-VLOOKUP(TRUNC(L194/12,0)+1+57,M140:N331,2,FALSE))/12,4)</f>
        <v>9.1606000000000005</v>
      </c>
      <c r="R194">
        <v>47</v>
      </c>
      <c r="S194" s="73">
        <v>1.3918999999999999</v>
      </c>
      <c r="U194">
        <v>54</v>
      </c>
      <c r="V194" s="73">
        <f>ROUND(V140+U194/12,4)</f>
        <v>61.5</v>
      </c>
      <c r="W194" s="73">
        <f>ROUND(VLOOKUP(TRUNC(U194/12,0)+57,V140:W331,2,FALSE)-MOD(U194,12)*(VLOOKUP(TRUNC(U194/12,0)+57,V140:W331,2,FALSE)-VLOOKUP(TRUNC(U194/12,0)+1+57,V140:W331,2,FALSE))/12,4)</f>
        <v>10.634499999999999</v>
      </c>
      <c r="Z194">
        <v>47</v>
      </c>
      <c r="AA194" s="73">
        <v>1.4261999999999999</v>
      </c>
      <c r="AC194">
        <v>54</v>
      </c>
      <c r="AD194" s="73">
        <f>ROUND(AD140+AC194/12,4)</f>
        <v>61.5</v>
      </c>
      <c r="AE194" s="73">
        <f>ROUND(VLOOKUP(TRUNC(AC194/12,0)+57,AD140:AE331,2,FALSE)-MOD(AC194,12)*(VLOOKUP(TRUNC(AC194/12,0)+57,AD140:AE331,2,FALSE)-VLOOKUP(TRUNC(AC194/12,0)+1+57,AD140:AE331,2,FALSE))/12,4)</f>
        <v>10.634499999999999</v>
      </c>
      <c r="AH194">
        <v>47</v>
      </c>
      <c r="AI194" s="73">
        <v>1.5071000000000001</v>
      </c>
      <c r="AK194">
        <v>54</v>
      </c>
      <c r="AL194" s="73">
        <f>ROUND(AL140+AK194/12,4)</f>
        <v>61.5</v>
      </c>
      <c r="AM194" s="73">
        <f>ROUND(VLOOKUP(TRUNC(AK194/12,0)+57,AL140:AM331,2,FALSE)-MOD(AK194,12)*(VLOOKUP(TRUNC(AK194/12,0)+57,AL140:AM331,2,FALSE)-VLOOKUP(TRUNC(AK194/12,0)+1+57,AL140:AM331,2,FALSE))/12,4)</f>
        <v>9.1606000000000005</v>
      </c>
      <c r="AR194" s="73"/>
    </row>
    <row r="195" spans="1:44" x14ac:dyDescent="0.2">
      <c r="A195">
        <v>48</v>
      </c>
      <c r="B195" s="73">
        <v>1.3996999999999999</v>
      </c>
      <c r="D195">
        <v>55</v>
      </c>
      <c r="E195" s="73">
        <f>ROUND(E140+D195/12,4)</f>
        <v>61.583300000000001</v>
      </c>
      <c r="F195" s="73">
        <f>ROUND(VLOOKUP(TRUNC(D195/12,0)+57,E140:F331,2,FALSE)-MOD(D195,12)*(VLOOKUP(TRUNC(D195/12,0)+57,E140:F331,2,FALSE)-VLOOKUP(TRUNC(D195/12,0)+1+57,E140:F331,2,FALSE))/12,4)</f>
        <v>10.7667</v>
      </c>
      <c r="I195">
        <v>48</v>
      </c>
      <c r="J195" s="73">
        <v>1.5158</v>
      </c>
      <c r="L195">
        <v>55</v>
      </c>
      <c r="M195" s="73">
        <f>ROUND(M140+L195/12,4)</f>
        <v>61.583300000000001</v>
      </c>
      <c r="N195" s="73">
        <f>ROUND(VLOOKUP(TRUNC(L195/12,0)+57,M140:N331,2,FALSE)-MOD(L195,12)*(VLOOKUP(TRUNC(L195/12,0)+57,M140:N331,2,FALSE)-VLOOKUP(TRUNC(L195/12,0)+1+57,M140:N331,2,FALSE))/12,4)</f>
        <v>9.1433</v>
      </c>
      <c r="R195">
        <v>48</v>
      </c>
      <c r="S195" s="73">
        <v>1.4015</v>
      </c>
      <c r="U195">
        <v>55</v>
      </c>
      <c r="V195" s="73">
        <f>ROUND(V140+U195/12,4)</f>
        <v>61.583300000000001</v>
      </c>
      <c r="W195" s="73">
        <f>ROUND(VLOOKUP(TRUNC(U195/12,0)+57,V140:W331,2,FALSE)-MOD(U195,12)*(VLOOKUP(TRUNC(U195/12,0)+57,V140:W331,2,FALSE)-VLOOKUP(TRUNC(U195/12,0)+1+57,V140:W331,2,FALSE))/12,4)</f>
        <v>10.6174</v>
      </c>
      <c r="Z195">
        <v>48</v>
      </c>
      <c r="AA195" s="73">
        <v>1.4368000000000001</v>
      </c>
      <c r="AC195">
        <v>55</v>
      </c>
      <c r="AD195" s="73">
        <f>ROUND(AD140+AC195/12,4)</f>
        <v>61.583300000000001</v>
      </c>
      <c r="AE195" s="73">
        <f>ROUND(VLOOKUP(TRUNC(AC195/12,0)+57,AD140:AE331,2,FALSE)-MOD(AC195,12)*(VLOOKUP(TRUNC(AC195/12,0)+57,AD140:AE331,2,FALSE)-VLOOKUP(TRUNC(AC195/12,0)+1+57,AD140:AE331,2,FALSE))/12,4)</f>
        <v>10.6174</v>
      </c>
      <c r="AH195">
        <v>48</v>
      </c>
      <c r="AI195" s="73">
        <v>1.5201</v>
      </c>
      <c r="AK195">
        <v>55</v>
      </c>
      <c r="AL195" s="73">
        <f>ROUND(AL140+AK195/12,4)</f>
        <v>61.583300000000001</v>
      </c>
      <c r="AM195" s="73">
        <f>ROUND(VLOOKUP(TRUNC(AK195/12,0)+57,AL140:AM331,2,FALSE)-MOD(AK195,12)*(VLOOKUP(TRUNC(AK195/12,0)+57,AL140:AM331,2,FALSE)-VLOOKUP(TRUNC(AK195/12,0)+1+57,AL140:AM331,2,FALSE))/12,4)</f>
        <v>9.1433</v>
      </c>
      <c r="AR195" s="73"/>
    </row>
    <row r="196" spans="1:44" x14ac:dyDescent="0.2">
      <c r="A196">
        <v>49</v>
      </c>
      <c r="B196" s="73">
        <v>1.4101999999999999</v>
      </c>
      <c r="D196">
        <v>56</v>
      </c>
      <c r="E196" s="73">
        <f>ROUND(E140+D196/12,4)</f>
        <v>61.666699999999999</v>
      </c>
      <c r="F196" s="73">
        <f>ROUND(VLOOKUP(TRUNC(D196/12,0)+57,E140:F331,2,FALSE)-MOD(D196,12)*(VLOOKUP(TRUNC(D196/12,0)+57,E140:F331,2,FALSE)-VLOOKUP(TRUNC(D196/12,0)+1+57,E140:F331,2,FALSE))/12,4)</f>
        <v>10.7501</v>
      </c>
      <c r="I196">
        <v>49</v>
      </c>
      <c r="J196" s="73">
        <v>1.5304</v>
      </c>
      <c r="L196">
        <v>56</v>
      </c>
      <c r="M196" s="73">
        <f>ROUND(M140+L196/12,4)</f>
        <v>61.666699999999999</v>
      </c>
      <c r="N196" s="73">
        <f>ROUND(VLOOKUP(TRUNC(L196/12,0)+57,M140:N331,2,FALSE)-MOD(L196,12)*(VLOOKUP(TRUNC(L196/12,0)+57,M140:N331,2,FALSE)-VLOOKUP(TRUNC(L196/12,0)+1+57,M140:N331,2,FALSE))/12,4)</f>
        <v>9.1258999999999997</v>
      </c>
      <c r="Q196">
        <f>(S207-S195)/12</f>
        <v>1.0608333333333331E-2</v>
      </c>
      <c r="R196">
        <v>49</v>
      </c>
      <c r="S196" s="73">
        <v>1.4120999999999999</v>
      </c>
      <c r="U196">
        <v>56</v>
      </c>
      <c r="V196" s="73">
        <f>ROUND(V140+U196/12,4)</f>
        <v>61.666699999999999</v>
      </c>
      <c r="W196" s="73">
        <f>ROUND(VLOOKUP(TRUNC(U196/12,0)+57,V140:W331,2,FALSE)-MOD(U196,12)*(VLOOKUP(TRUNC(U196/12,0)+57,V140:W331,2,FALSE)-VLOOKUP(TRUNC(U196/12,0)+1+57,V140:W331,2,FALSE))/12,4)</f>
        <v>10.600300000000001</v>
      </c>
      <c r="Z196">
        <v>49</v>
      </c>
      <c r="AA196" s="73">
        <v>1.4484999999999999</v>
      </c>
      <c r="AC196">
        <v>56</v>
      </c>
      <c r="AD196" s="73">
        <f>ROUND(AD140+AC196/12,4)</f>
        <v>61.666699999999999</v>
      </c>
      <c r="AE196" s="73">
        <f>ROUND(VLOOKUP(TRUNC(AC196/12,0)+57,AD140:AE331,2,FALSE)-MOD(AC196,12)*(VLOOKUP(TRUNC(AC196/12,0)+57,AD140:AE331,2,FALSE)-VLOOKUP(TRUNC(AC196/12,0)+1+57,AD140:AE331,2,FALSE))/12,4)</f>
        <v>10.600300000000001</v>
      </c>
      <c r="AH196">
        <v>49</v>
      </c>
      <c r="AI196" s="73">
        <v>1.5348999999999999</v>
      </c>
      <c r="AK196">
        <v>56</v>
      </c>
      <c r="AL196" s="73">
        <f>ROUND(AL140+AK196/12,4)</f>
        <v>61.666699999999999</v>
      </c>
      <c r="AM196" s="73">
        <f>ROUND(VLOOKUP(TRUNC(AK196/12,0)+57,AL140:AM331,2,FALSE)-MOD(AK196,12)*(VLOOKUP(TRUNC(AK196/12,0)+57,AL140:AM331,2,FALSE)-VLOOKUP(TRUNC(AK196/12,0)+1+57,AL140:AM331,2,FALSE))/12,4)</f>
        <v>9.1258999999999997</v>
      </c>
      <c r="AR196" s="73"/>
    </row>
    <row r="197" spans="1:44" x14ac:dyDescent="0.2">
      <c r="A197">
        <v>50</v>
      </c>
      <c r="B197" s="73">
        <v>1.4207000000000001</v>
      </c>
      <c r="D197">
        <v>57</v>
      </c>
      <c r="E197" s="73">
        <f>ROUND(E140+D197/12,4)</f>
        <v>61.75</v>
      </c>
      <c r="F197" s="73">
        <f>ROUND(VLOOKUP(TRUNC(D197/12,0)+57,E140:F331,2,FALSE)-MOD(D197,12)*(VLOOKUP(TRUNC(D197/12,0)+57,E140:F331,2,FALSE)-VLOOKUP(TRUNC(D197/12,0)+1+57,E140:F331,2,FALSE))/12,4)</f>
        <v>10.733499999999999</v>
      </c>
      <c r="I197">
        <v>50</v>
      </c>
      <c r="J197" s="73">
        <v>1.5450999999999999</v>
      </c>
      <c r="L197">
        <v>57</v>
      </c>
      <c r="M197" s="73">
        <f>ROUND(M140+L197/12,4)</f>
        <v>61.75</v>
      </c>
      <c r="N197" s="73">
        <f>ROUND(VLOOKUP(TRUNC(L197/12,0)+57,M140:N331,2,FALSE)-MOD(L197,12)*(VLOOKUP(TRUNC(L197/12,0)+57,M140:N331,2,FALSE)-VLOOKUP(TRUNC(L197/12,0)+1+57,M140:N331,2,FALSE))/12,4)</f>
        <v>9.1084999999999994</v>
      </c>
      <c r="Q197" s="73">
        <f>(R196-R195)+S195</f>
        <v>2.4015</v>
      </c>
      <c r="R197">
        <v>50</v>
      </c>
      <c r="S197" s="73">
        <v>1.4227000000000001</v>
      </c>
      <c r="U197">
        <v>57</v>
      </c>
      <c r="V197" s="73">
        <f>ROUND(V140+U197/12,4)</f>
        <v>61.75</v>
      </c>
      <c r="W197" s="73">
        <f>ROUND(VLOOKUP(TRUNC(U197/12,0)+57,V140:W331,2,FALSE)-MOD(U197,12)*(VLOOKUP(TRUNC(U197/12,0)+57,V140:W331,2,FALSE)-VLOOKUP(TRUNC(U197/12,0)+1+57,V140:W331,2,FALSE))/12,4)</f>
        <v>10.5832</v>
      </c>
      <c r="Z197">
        <v>50</v>
      </c>
      <c r="AA197" s="73">
        <v>1.4602999999999999</v>
      </c>
      <c r="AC197">
        <v>57</v>
      </c>
      <c r="AD197" s="73">
        <f>ROUND(AD140+AC197/12,4)</f>
        <v>61.75</v>
      </c>
      <c r="AE197" s="73">
        <f>ROUND(VLOOKUP(TRUNC(AC197/12,0)+57,AD140:AE331,2,FALSE)-MOD(AC197,12)*(VLOOKUP(TRUNC(AC197/12,0)+57,AD140:AE331,2,FALSE)-VLOOKUP(TRUNC(AC197/12,0)+1+57,AD140:AE331,2,FALSE))/12,4)</f>
        <v>10.5832</v>
      </c>
      <c r="AH197">
        <v>50</v>
      </c>
      <c r="AI197" s="73">
        <v>1.5497000000000001</v>
      </c>
      <c r="AK197">
        <v>57</v>
      </c>
      <c r="AL197" s="73">
        <f>ROUND(AL140+AK197/12,4)</f>
        <v>61.75</v>
      </c>
      <c r="AM197" s="73">
        <f>ROUND(VLOOKUP(TRUNC(AK197/12,0)+57,AL140:AM331,2,FALSE)-MOD(AK197,12)*(VLOOKUP(TRUNC(AK197/12,0)+57,AL140:AM331,2,FALSE)-VLOOKUP(TRUNC(AK197/12,0)+1+57,AL140:AM331,2,FALSE))/12,4)</f>
        <v>9.1084999999999994</v>
      </c>
      <c r="AR197" s="73"/>
    </row>
    <row r="198" spans="1:44" x14ac:dyDescent="0.2">
      <c r="A198">
        <v>51</v>
      </c>
      <c r="B198" s="73">
        <v>1.4312</v>
      </c>
      <c r="D198">
        <v>58</v>
      </c>
      <c r="E198" s="73">
        <f>ROUND(E140+D198/12,4)</f>
        <v>61.833300000000001</v>
      </c>
      <c r="F198" s="73">
        <f>ROUND(VLOOKUP(TRUNC(D198/12,0)+57,E140:F331,2,FALSE)-MOD(D198,12)*(VLOOKUP(TRUNC(D198/12,0)+57,E140:F331,2,FALSE)-VLOOKUP(TRUNC(D198/12,0)+1+57,E140:F331,2,FALSE))/12,4)</f>
        <v>10.716900000000001</v>
      </c>
      <c r="I198">
        <v>51</v>
      </c>
      <c r="J198" s="73">
        <v>1.5597000000000001</v>
      </c>
      <c r="L198">
        <v>58</v>
      </c>
      <c r="M198" s="73">
        <f>ROUND(M140+L198/12,4)</f>
        <v>61.833300000000001</v>
      </c>
      <c r="N198" s="73">
        <f>ROUND(VLOOKUP(TRUNC(L198/12,0)+57,M140:N331,2,FALSE)-MOD(L198,12)*(VLOOKUP(TRUNC(L198/12,0)+57,M140:N331,2,FALSE)-VLOOKUP(TRUNC(L198/12,0)+1+57,M140:N331,2,FALSE))/12,4)</f>
        <v>9.0912000000000006</v>
      </c>
      <c r="R198">
        <v>51</v>
      </c>
      <c r="S198" s="73">
        <v>1.4333</v>
      </c>
      <c r="U198">
        <v>58</v>
      </c>
      <c r="V198" s="73">
        <f>ROUND(V140+U198/12,4)</f>
        <v>61.833300000000001</v>
      </c>
      <c r="W198" s="73">
        <f>ROUND(VLOOKUP(TRUNC(U198/12,0)+57,V140:W331,2,FALSE)-MOD(U198,12)*(VLOOKUP(TRUNC(U198/12,0)+57,V140:W331,2,FALSE)-VLOOKUP(TRUNC(U198/12,0)+1+57,V140:W331,2,FALSE))/12,4)</f>
        <v>10.5661</v>
      </c>
      <c r="Z198">
        <v>51</v>
      </c>
      <c r="AA198" s="73">
        <v>1.472</v>
      </c>
      <c r="AC198">
        <v>58</v>
      </c>
      <c r="AD198" s="73">
        <f>ROUND(AD140+AC198/12,4)</f>
        <v>61.833300000000001</v>
      </c>
      <c r="AE198" s="73">
        <f>ROUND(VLOOKUP(TRUNC(AC198/12,0)+57,AD140:AE331,2,FALSE)-MOD(AC198,12)*(VLOOKUP(TRUNC(AC198/12,0)+57,AD140:AE331,2,FALSE)-VLOOKUP(TRUNC(AC198/12,0)+1+57,AD140:AE331,2,FALSE))/12,4)</f>
        <v>10.5661</v>
      </c>
      <c r="AH198">
        <v>51</v>
      </c>
      <c r="AI198" s="73">
        <v>1.5645</v>
      </c>
      <c r="AK198">
        <v>58</v>
      </c>
      <c r="AL198" s="73">
        <f>ROUND(AL140+AK198/12,4)</f>
        <v>61.833300000000001</v>
      </c>
      <c r="AM198" s="73">
        <f>ROUND(VLOOKUP(TRUNC(AK198/12,0)+57,AL140:AM331,2,FALSE)-MOD(AK198,12)*(VLOOKUP(TRUNC(AK198/12,0)+57,AL140:AM331,2,FALSE)-VLOOKUP(TRUNC(AK198/12,0)+1+57,AL140:AM331,2,FALSE))/12,4)</f>
        <v>9.0912000000000006</v>
      </c>
      <c r="AR198" s="73"/>
    </row>
    <row r="199" spans="1:44" x14ac:dyDescent="0.2">
      <c r="A199">
        <v>52</v>
      </c>
      <c r="B199" s="73">
        <v>1.4417</v>
      </c>
      <c r="D199">
        <v>59</v>
      </c>
      <c r="E199" s="73">
        <f>ROUND(E140+D199/12,4)</f>
        <v>61.916699999999999</v>
      </c>
      <c r="F199" s="73">
        <f>ROUND(VLOOKUP(TRUNC(D199/12,0)+57,E140:F331,2,FALSE)-MOD(D199,12)*(VLOOKUP(TRUNC(D199/12,0)+57,E140:F331,2,FALSE)-VLOOKUP(TRUNC(D199/12,0)+1+57,E140:F331,2,FALSE))/12,4)</f>
        <v>10.7003</v>
      </c>
      <c r="I199">
        <v>52</v>
      </c>
      <c r="J199" s="73">
        <v>1.5743</v>
      </c>
      <c r="L199">
        <v>59</v>
      </c>
      <c r="M199" s="73">
        <f>ROUND(M140+L199/12,4)</f>
        <v>61.916699999999999</v>
      </c>
      <c r="N199" s="73">
        <f>ROUND(VLOOKUP(TRUNC(L199/12,0)+57,M140:N331,2,FALSE)-MOD(L199,12)*(VLOOKUP(TRUNC(L199/12,0)+57,M140:N331,2,FALSE)-VLOOKUP(TRUNC(L199/12,0)+1+57,M140:N331,2,FALSE))/12,4)</f>
        <v>9.0738000000000003</v>
      </c>
      <c r="R199">
        <v>52</v>
      </c>
      <c r="S199" s="73">
        <v>1.4439</v>
      </c>
      <c r="U199">
        <v>59</v>
      </c>
      <c r="V199" s="73">
        <f>ROUND(V140+U199/12,4)</f>
        <v>61.916699999999999</v>
      </c>
      <c r="W199" s="73">
        <f>ROUND(VLOOKUP(TRUNC(U199/12,0)+57,V140:W331,2,FALSE)-MOD(U199,12)*(VLOOKUP(TRUNC(U199/12,0)+57,V140:W331,2,FALSE)-VLOOKUP(TRUNC(U199/12,0)+1+57,V140:W331,2,FALSE))/12,4)</f>
        <v>10.548999999999999</v>
      </c>
      <c r="Z199">
        <v>52</v>
      </c>
      <c r="AA199" s="73">
        <v>1.4837</v>
      </c>
      <c r="AC199">
        <v>59</v>
      </c>
      <c r="AD199" s="73">
        <f>ROUND(AD140+AC199/12,4)</f>
        <v>61.916699999999999</v>
      </c>
      <c r="AE199" s="73">
        <f>ROUND(VLOOKUP(TRUNC(AC199/12,0)+57,AD140:AE331,2,FALSE)-MOD(AC199,12)*(VLOOKUP(TRUNC(AC199/12,0)+57,AD140:AE331,2,FALSE)-VLOOKUP(TRUNC(AC199/12,0)+1+57,AD140:AE331,2,FALSE))/12,4)</f>
        <v>10.548999999999999</v>
      </c>
      <c r="AH199">
        <v>52</v>
      </c>
      <c r="AI199" s="73">
        <v>1.5792999999999999</v>
      </c>
      <c r="AK199">
        <v>59</v>
      </c>
      <c r="AL199" s="73">
        <f>ROUND(AL140+AK199/12,4)</f>
        <v>61.916699999999999</v>
      </c>
      <c r="AM199" s="73">
        <f>ROUND(VLOOKUP(TRUNC(AK199/12,0)+57,AL140:AM331,2,FALSE)-MOD(AK199,12)*(VLOOKUP(TRUNC(AK199/12,0)+57,AL140:AM331,2,FALSE)-VLOOKUP(TRUNC(AK199/12,0)+1+57,AL140:AM331,2,FALSE))/12,4)</f>
        <v>9.0738000000000003</v>
      </c>
      <c r="AR199" s="73"/>
    </row>
    <row r="200" spans="1:44" x14ac:dyDescent="0.2">
      <c r="A200">
        <v>53</v>
      </c>
      <c r="B200" s="73">
        <v>1.4521999999999999</v>
      </c>
      <c r="D200">
        <v>60</v>
      </c>
      <c r="E200" s="73">
        <f>ROUND(E140+D200/12,4)</f>
        <v>62</v>
      </c>
      <c r="F200" s="73">
        <f>[1]!NPVF("Mp","SLA","N",B140:C140,"M",E200,E200,0,0,0,0,A140,A140,"P","","")</f>
        <v>10.683715525484969</v>
      </c>
      <c r="I200">
        <v>53</v>
      </c>
      <c r="J200" s="73">
        <v>1.589</v>
      </c>
      <c r="L200">
        <v>60</v>
      </c>
      <c r="M200" s="73">
        <f>ROUND(M140+L200/12,4)</f>
        <v>62</v>
      </c>
      <c r="N200" s="73">
        <f>[1]!NPVF("Mp","SLA","N",J140:K140,"M",M200,M200,0,0,0,0,I140,I140,"P","","")</f>
        <v>9.0564327468202261</v>
      </c>
      <c r="R200">
        <v>53</v>
      </c>
      <c r="S200" s="73">
        <v>1.4544999999999999</v>
      </c>
      <c r="U200">
        <v>60</v>
      </c>
      <c r="V200" s="73">
        <f>ROUND(V140+U200/12,4)</f>
        <v>62</v>
      </c>
      <c r="W200" s="73">
        <f>[1]!NPVF("Mp","SLA","N",S140:T140,"M",V200,V200,0,0,0,0,R140,R140,"P","","")</f>
        <v>10.531884719999278</v>
      </c>
      <c r="Z200">
        <v>53</v>
      </c>
      <c r="AA200" s="73">
        <v>1.4955000000000001</v>
      </c>
      <c r="AC200">
        <v>60</v>
      </c>
      <c r="AD200" s="73">
        <f>ROUND(AD140+AC200/12,4)</f>
        <v>62</v>
      </c>
      <c r="AE200" s="73">
        <f>[1]!NPVF("Mp","SLA","N",AA140:AB140,"M",AD200,AD200,0,0,0,0,Z140,Z140,"P","","")</f>
        <v>10.531884719999278</v>
      </c>
      <c r="AH200">
        <v>53</v>
      </c>
      <c r="AI200" s="73">
        <v>1.5941000000000001</v>
      </c>
      <c r="AK200">
        <v>60</v>
      </c>
      <c r="AL200" s="73">
        <f>ROUND(AL140+AK200/12,4)</f>
        <v>62</v>
      </c>
      <c r="AM200" s="73">
        <f>[1]!NPVF("Mp","SLA","N",AI140:AJ140,"M",AL200,AL200,0,0,0,0,AH140,AH140,"P","","")</f>
        <v>9.0564327468202261</v>
      </c>
      <c r="AR200" s="73"/>
    </row>
    <row r="201" spans="1:44" x14ac:dyDescent="0.2">
      <c r="A201">
        <v>54</v>
      </c>
      <c r="B201" s="73">
        <v>1.4626999999999999</v>
      </c>
      <c r="D201">
        <v>61</v>
      </c>
      <c r="E201" s="73">
        <f>ROUND(E140+D201/12,4)</f>
        <v>62.083300000000001</v>
      </c>
      <c r="F201" s="73">
        <f>ROUND(VLOOKUP(TRUNC(D201/12,0)+57,E140:F331,2,FALSE)-MOD(D201,12)*(VLOOKUP(TRUNC(D201/12,0)+57,E140:F331,2,FALSE)-VLOOKUP(TRUNC(D201/12,0)+1+57,E140:F331,2,FALSE))/12,4)</f>
        <v>10.666700000000001</v>
      </c>
      <c r="I201">
        <v>54</v>
      </c>
      <c r="J201" s="73">
        <v>1.6035999999999999</v>
      </c>
      <c r="L201">
        <v>61</v>
      </c>
      <c r="M201" s="73">
        <f>ROUND(M140+L201/12,4)</f>
        <v>62.083300000000001</v>
      </c>
      <c r="N201" s="73">
        <f>ROUND(VLOOKUP(TRUNC(L201/12,0)+57,M140:N331,2,FALSE)-MOD(L201,12)*(VLOOKUP(TRUNC(L201/12,0)+57,M140:N331,2,FALSE)-VLOOKUP(TRUNC(L201/12,0)+1+57,M140:N331,2,FALSE))/12,4)</f>
        <v>9.0386000000000006</v>
      </c>
      <c r="R201">
        <v>54</v>
      </c>
      <c r="S201" s="73">
        <v>1.4652000000000001</v>
      </c>
      <c r="U201">
        <v>61</v>
      </c>
      <c r="V201" s="73">
        <f>ROUND(V140+U201/12,4)</f>
        <v>62.083300000000001</v>
      </c>
      <c r="W201" s="73">
        <f>ROUND(VLOOKUP(TRUNC(U201/12,0)+57,V140:W331,2,FALSE)-MOD(U201,12)*(VLOOKUP(TRUNC(U201/12,0)+57,V140:W331,2,FALSE)-VLOOKUP(TRUNC(U201/12,0)+1+57,V140:W331,2,FALSE))/12,4)</f>
        <v>10.514200000000001</v>
      </c>
      <c r="Z201">
        <v>54</v>
      </c>
      <c r="AA201" s="73">
        <v>1.5072000000000001</v>
      </c>
      <c r="AC201">
        <v>61</v>
      </c>
      <c r="AD201" s="73">
        <f>ROUND(AD140+AC201/12,4)</f>
        <v>62.083300000000001</v>
      </c>
      <c r="AE201" s="73">
        <f>ROUND(VLOOKUP(TRUNC(AC201/12,0)+57,AD140:AE331,2,FALSE)-MOD(AC201,12)*(VLOOKUP(TRUNC(AC201/12,0)+57,AD140:AE331,2,FALSE)-VLOOKUP(TRUNC(AC201/12,0)+1+57,AD140:AE331,2,FALSE))/12,4)</f>
        <v>10.514200000000001</v>
      </c>
      <c r="AH201">
        <v>54</v>
      </c>
      <c r="AI201" s="73">
        <v>1.6089</v>
      </c>
      <c r="AK201">
        <v>61</v>
      </c>
      <c r="AL201" s="73">
        <f>ROUND(AL140+AK201/12,4)</f>
        <v>62.083300000000001</v>
      </c>
      <c r="AM201" s="73">
        <f>ROUND(VLOOKUP(TRUNC(AK201/12,0)+57,AL140:AM331,2,FALSE)-MOD(AK201,12)*(VLOOKUP(TRUNC(AK201/12,0)+57,AL140:AM331,2,FALSE)-VLOOKUP(TRUNC(AK201/12,0)+1+57,AL140:AM331,2,FALSE))/12,4)</f>
        <v>9.0386000000000006</v>
      </c>
      <c r="AR201" s="73"/>
    </row>
    <row r="202" spans="1:44" x14ac:dyDescent="0.2">
      <c r="A202">
        <v>55</v>
      </c>
      <c r="B202" s="73">
        <v>1.4731000000000001</v>
      </c>
      <c r="D202">
        <v>62</v>
      </c>
      <c r="E202" s="73">
        <f>ROUND(E140+D202/12,4)</f>
        <v>62.166699999999999</v>
      </c>
      <c r="F202" s="73">
        <f>ROUND(VLOOKUP(TRUNC(D202/12,0)+57,E140:F331,2,FALSE)-MOD(D202,12)*(VLOOKUP(TRUNC(D202/12,0)+57,E140:F331,2,FALSE)-VLOOKUP(TRUNC(D202/12,0)+1+57,E140:F331,2,FALSE))/12,4)</f>
        <v>10.649699999999999</v>
      </c>
      <c r="I202">
        <v>55</v>
      </c>
      <c r="J202" s="73">
        <v>1.6182000000000001</v>
      </c>
      <c r="L202">
        <v>62</v>
      </c>
      <c r="M202" s="73">
        <f>ROUND(M140+L202/12,4)</f>
        <v>62.166699999999999</v>
      </c>
      <c r="N202" s="73">
        <f>ROUND(VLOOKUP(TRUNC(L202/12,0)+57,M140:N331,2,FALSE)-MOD(L202,12)*(VLOOKUP(TRUNC(L202/12,0)+57,M140:N331,2,FALSE)-VLOOKUP(TRUNC(L202/12,0)+1+57,M140:N331,2,FALSE))/12,4)</f>
        <v>9.0207999999999995</v>
      </c>
      <c r="R202">
        <v>55</v>
      </c>
      <c r="S202" s="73">
        <v>1.4758</v>
      </c>
      <c r="U202">
        <v>62</v>
      </c>
      <c r="V202" s="73">
        <f>ROUND(V140+U202/12,4)</f>
        <v>62.166699999999999</v>
      </c>
      <c r="W202" s="73">
        <f>ROUND(VLOOKUP(TRUNC(U202/12,0)+57,V140:W331,2,FALSE)-MOD(U202,12)*(VLOOKUP(TRUNC(U202/12,0)+57,V140:W331,2,FALSE)-VLOOKUP(TRUNC(U202/12,0)+1+57,V140:W331,2,FALSE))/12,4)</f>
        <v>10.4964</v>
      </c>
      <c r="Z202">
        <v>55</v>
      </c>
      <c r="AA202" s="73">
        <v>1.5188999999999999</v>
      </c>
      <c r="AC202">
        <v>62</v>
      </c>
      <c r="AD202" s="73">
        <f>ROUND(AD140+AC202/12,4)</f>
        <v>62.166699999999999</v>
      </c>
      <c r="AE202" s="73">
        <f>ROUND(VLOOKUP(TRUNC(AC202/12,0)+57,AD140:AE331,2,FALSE)-MOD(AC202,12)*(VLOOKUP(TRUNC(AC202/12,0)+57,AD140:AE331,2,FALSE)-VLOOKUP(TRUNC(AC202/12,0)+1+57,AD140:AE331,2,FALSE))/12,4)</f>
        <v>10.4964</v>
      </c>
      <c r="AH202">
        <v>55</v>
      </c>
      <c r="AI202" s="73">
        <v>1.6235999999999999</v>
      </c>
      <c r="AK202">
        <v>62</v>
      </c>
      <c r="AL202" s="73">
        <f>ROUND(AL140+AK202/12,4)</f>
        <v>62.166699999999999</v>
      </c>
      <c r="AM202" s="73">
        <f>ROUND(VLOOKUP(TRUNC(AK202/12,0)+57,AL140:AM331,2,FALSE)-MOD(AK202,12)*(VLOOKUP(TRUNC(AK202/12,0)+57,AL140:AM331,2,FALSE)-VLOOKUP(TRUNC(AK202/12,0)+1+57,AL140:AM331,2,FALSE))/12,4)</f>
        <v>9.0207999999999995</v>
      </c>
      <c r="AR202" s="73"/>
    </row>
    <row r="203" spans="1:44" x14ac:dyDescent="0.2">
      <c r="A203">
        <v>56</v>
      </c>
      <c r="B203" s="73">
        <v>1.4836</v>
      </c>
      <c r="D203">
        <v>63</v>
      </c>
      <c r="E203" s="73">
        <f>ROUND((E140+D203/12),40)</f>
        <v>62.25</v>
      </c>
      <c r="F203" s="73">
        <f>ROUND(VLOOKUP(TRUNC(D203/12,0)+57,E140:F331,2,FALSE)-MOD(D203,12)*(VLOOKUP(TRUNC(D203/12,0)+57,E140:F331,2,FALSE)-VLOOKUP(TRUNC(D203/12,0)+1+57,E140:F331,2,FALSE))/12,4)</f>
        <v>10.6327</v>
      </c>
      <c r="I203">
        <v>56</v>
      </c>
      <c r="J203" s="73">
        <v>1.6329</v>
      </c>
      <c r="L203">
        <v>63</v>
      </c>
      <c r="M203" s="73">
        <f>ROUND((M140+L203/12),40)</f>
        <v>62.25</v>
      </c>
      <c r="N203" s="73">
        <f>ROUND(VLOOKUP(TRUNC(L203/12,0)+57,M140:N331,2,FALSE)-MOD(L203,12)*(VLOOKUP(TRUNC(L203/12,0)+57,M140:N331,2,FALSE)-VLOOKUP(TRUNC(L203/12,0)+1+57,M140:N331,2,FALSE))/12,4)</f>
        <v>9.0030000000000001</v>
      </c>
      <c r="R203">
        <v>56</v>
      </c>
      <c r="S203" s="73">
        <v>1.4863999999999999</v>
      </c>
      <c r="U203">
        <v>63</v>
      </c>
      <c r="V203" s="73">
        <f>ROUND((V140+U203/12),40)</f>
        <v>62.25</v>
      </c>
      <c r="W203" s="73">
        <f>ROUND(VLOOKUP(TRUNC(U203/12,0)+57,V140:W331,2,FALSE)-MOD(U203,12)*(VLOOKUP(TRUNC(U203/12,0)+57,V140:W331,2,FALSE)-VLOOKUP(TRUNC(U203/12,0)+1+57,V140:W331,2,FALSE))/12,4)</f>
        <v>10.4787</v>
      </c>
      <c r="Z203">
        <v>56</v>
      </c>
      <c r="AA203" s="73">
        <v>1.5306999999999999</v>
      </c>
      <c r="AC203">
        <v>63</v>
      </c>
      <c r="AD203" s="73">
        <f>ROUND((AD140+AC203/12),40)</f>
        <v>62.25</v>
      </c>
      <c r="AE203" s="73">
        <f>ROUND(VLOOKUP(TRUNC(AC203/12,0)+57,AD140:AE331,2,FALSE)-MOD(AC203,12)*(VLOOKUP(TRUNC(AC203/12,0)+57,AD140:AE331,2,FALSE)-VLOOKUP(TRUNC(AC203/12,0)+1+57,AD140:AE331,2,FALSE))/12,4)</f>
        <v>10.4787</v>
      </c>
      <c r="AH203">
        <v>56</v>
      </c>
      <c r="AI203" s="73">
        <v>1.6384000000000001</v>
      </c>
      <c r="AK203">
        <v>63</v>
      </c>
      <c r="AL203" s="73">
        <f>ROUND((AL140+AK203/12),40)</f>
        <v>62.25</v>
      </c>
      <c r="AM203" s="73">
        <f>ROUND(VLOOKUP(TRUNC(AK203/12,0)+57,AL140:AM331,2,FALSE)-MOD(AK203,12)*(VLOOKUP(TRUNC(AK203/12,0)+57,AL140:AM331,2,FALSE)-VLOOKUP(TRUNC(AK203/12,0)+1+57,AL140:AM331,2,FALSE))/12,4)</f>
        <v>9.0030000000000001</v>
      </c>
      <c r="AR203" s="73"/>
    </row>
    <row r="204" spans="1:44" x14ac:dyDescent="0.2">
      <c r="A204">
        <v>57</v>
      </c>
      <c r="B204" s="73">
        <v>1.4941</v>
      </c>
      <c r="D204">
        <v>64</v>
      </c>
      <c r="E204" s="73">
        <f>ROUND((E140+D204/12),4)</f>
        <v>62.333300000000001</v>
      </c>
      <c r="F204" s="73">
        <f>ROUND(VLOOKUP(TRUNC(D204/12,0)+57,E140:F331,2,FALSE)-MOD(D204,12)*(VLOOKUP(TRUNC(D204/12,0)+57,E140:F331,2,FALSE)-VLOOKUP(TRUNC(D204/12,0)+1+57,E140:F331,2,FALSE))/12,4)</f>
        <v>10.615600000000001</v>
      </c>
      <c r="I204">
        <v>57</v>
      </c>
      <c r="J204" s="73">
        <v>1.6475</v>
      </c>
      <c r="L204">
        <v>64</v>
      </c>
      <c r="M204" s="73">
        <f>ROUND((M140+L204/12),4)</f>
        <v>62.333300000000001</v>
      </c>
      <c r="N204" s="73">
        <f>ROUND(VLOOKUP(TRUNC(L204/12,0)+57,M140:N331,2,FALSE)-MOD(L204,12)*(VLOOKUP(TRUNC(L204/12,0)+57,M140:N331,2,FALSE)-VLOOKUP(TRUNC(L204/12,0)+1+57,M140:N331,2,FALSE))/12,4)</f>
        <v>8.9850999999999992</v>
      </c>
      <c r="R204">
        <v>57</v>
      </c>
      <c r="S204" s="73">
        <v>1.4970000000000001</v>
      </c>
      <c r="U204">
        <v>64</v>
      </c>
      <c r="V204" s="73">
        <f>ROUND((V140+U204/12),4)</f>
        <v>62.333300000000001</v>
      </c>
      <c r="W204" s="73">
        <f>ROUND(VLOOKUP(TRUNC(U204/12,0)+57,V140:W331,2,FALSE)-MOD(U204,12)*(VLOOKUP(TRUNC(U204/12,0)+57,V140:W331,2,FALSE)-VLOOKUP(TRUNC(U204/12,0)+1+57,V140:W331,2,FALSE))/12,4)</f>
        <v>10.461</v>
      </c>
      <c r="Z204">
        <v>57</v>
      </c>
      <c r="AA204" s="73">
        <v>1.5424</v>
      </c>
      <c r="AC204">
        <v>64</v>
      </c>
      <c r="AD204" s="73">
        <f>ROUND((AD140+AC204/12),4)</f>
        <v>62.333300000000001</v>
      </c>
      <c r="AE204" s="73">
        <f>ROUND(VLOOKUP(TRUNC(AC204/12,0)+57,AD140:AE331,2,FALSE)-MOD(AC204,12)*(VLOOKUP(TRUNC(AC204/12,0)+57,AD140:AE331,2,FALSE)-VLOOKUP(TRUNC(AC204/12,0)+1+57,AD140:AE331,2,FALSE))/12,4)</f>
        <v>10.461</v>
      </c>
      <c r="AH204">
        <v>57</v>
      </c>
      <c r="AI204" s="73">
        <v>1.6532</v>
      </c>
      <c r="AK204">
        <v>64</v>
      </c>
      <c r="AL204" s="73">
        <f>ROUND((AL140+AK204/12),4)</f>
        <v>62.333300000000001</v>
      </c>
      <c r="AM204" s="73">
        <f>ROUND(VLOOKUP(TRUNC(AK204/12,0)+57,AL140:AM331,2,FALSE)-MOD(AK204,12)*(VLOOKUP(TRUNC(AK204/12,0)+57,AL140:AM331,2,FALSE)-VLOOKUP(TRUNC(AK204/12,0)+1+57,AL140:AM331,2,FALSE))/12,4)</f>
        <v>8.9850999999999992</v>
      </c>
      <c r="AR204" s="73"/>
    </row>
    <row r="205" spans="1:44" x14ac:dyDescent="0.2">
      <c r="A205">
        <v>58</v>
      </c>
      <c r="B205" s="73">
        <v>1.5045999999999999</v>
      </c>
      <c r="D205">
        <v>65</v>
      </c>
      <c r="E205" s="73">
        <f>ROUND(E140+D205/12,4)</f>
        <v>62.416699999999999</v>
      </c>
      <c r="F205" s="73">
        <f>ROUND(VLOOKUP(TRUNC(D205/12,0)+57,E140:F331,2,FALSE)-MOD(D205,12)*(VLOOKUP(TRUNC(D205/12,0)+57,E140:F331,2,FALSE)-VLOOKUP(TRUNC(D205/12,0)+1+57,E140:F331,2,FALSE))/12,4)</f>
        <v>10.598599999999999</v>
      </c>
      <c r="I205">
        <v>58</v>
      </c>
      <c r="J205" s="73">
        <v>1.6620999999999999</v>
      </c>
      <c r="L205">
        <v>65</v>
      </c>
      <c r="M205" s="73">
        <f>ROUND(M140+L205/12,4)</f>
        <v>62.416699999999999</v>
      </c>
      <c r="N205" s="73">
        <f>ROUND(VLOOKUP(TRUNC(L205/12,0)+57,M140:N331,2,FALSE)-MOD(L205,12)*(VLOOKUP(TRUNC(L205/12,0)+57,M140:N331,2,FALSE)-VLOOKUP(TRUNC(L205/12,0)+1+57,M140:N331,2,FALSE))/12,4)</f>
        <v>8.9672999999999998</v>
      </c>
      <c r="R205">
        <v>58</v>
      </c>
      <c r="S205" s="73">
        <v>1.5076000000000001</v>
      </c>
      <c r="U205">
        <v>65</v>
      </c>
      <c r="V205" s="73">
        <f>ROUND(V140+U205/12,4)</f>
        <v>62.416699999999999</v>
      </c>
      <c r="W205" s="73">
        <f>ROUND(VLOOKUP(TRUNC(U205/12,0)+57,V140:W331,2,FALSE)-MOD(U205,12)*(VLOOKUP(TRUNC(U205/12,0)+57,V140:W331,2,FALSE)-VLOOKUP(TRUNC(U205/12,0)+1+57,V140:W331,2,FALSE))/12,4)</f>
        <v>10.443300000000001</v>
      </c>
      <c r="Z205">
        <v>58</v>
      </c>
      <c r="AA205" s="73">
        <v>1.5541</v>
      </c>
      <c r="AC205">
        <v>65</v>
      </c>
      <c r="AD205" s="73">
        <f>ROUND(AD140+AC205/12,4)</f>
        <v>62.416699999999999</v>
      </c>
      <c r="AE205" s="73">
        <f>ROUND(VLOOKUP(TRUNC(AC205/12,0)+57,AD140:AE331,2,FALSE)-MOD(AC205,12)*(VLOOKUP(TRUNC(AC205/12,0)+57,AD140:AE331,2,FALSE)-VLOOKUP(TRUNC(AC205/12,0)+1+57,AD140:AE331,2,FALSE))/12,4)</f>
        <v>10.443300000000001</v>
      </c>
      <c r="AH205">
        <v>58</v>
      </c>
      <c r="AI205" s="73">
        <v>1.6679999999999999</v>
      </c>
      <c r="AK205">
        <v>65</v>
      </c>
      <c r="AL205" s="73">
        <f>ROUND(AL140+AK205/12,4)</f>
        <v>62.416699999999999</v>
      </c>
      <c r="AM205" s="73">
        <f>ROUND(VLOOKUP(TRUNC(AK205/12,0)+57,AL140:AM331,2,FALSE)-MOD(AK205,12)*(VLOOKUP(TRUNC(AK205/12,0)+57,AL140:AM331,2,FALSE)-VLOOKUP(TRUNC(AK205/12,0)+1+57,AL140:AM331,2,FALSE))/12,4)</f>
        <v>8.9672999999999998</v>
      </c>
      <c r="AR205" s="73"/>
    </row>
    <row r="206" spans="1:44" x14ac:dyDescent="0.2">
      <c r="A206">
        <v>59</v>
      </c>
      <c r="B206" s="73">
        <v>1.5150999999999999</v>
      </c>
      <c r="D206">
        <v>66</v>
      </c>
      <c r="E206" s="73">
        <f>ROUND(E140+D206/12,4)</f>
        <v>62.5</v>
      </c>
      <c r="F206" s="73">
        <f>ROUND(VLOOKUP(TRUNC(D206/12,0)+57,E140:F331,2,FALSE)-MOD(D206,12)*(VLOOKUP(TRUNC(D206/12,0)+57,E140:F331,2,FALSE)-VLOOKUP(TRUNC(D206/12,0)+1+57,E140:F331,2,FALSE))/12,4)</f>
        <v>10.5816</v>
      </c>
      <c r="I206">
        <v>59</v>
      </c>
      <c r="J206" s="73">
        <v>1.6768000000000001</v>
      </c>
      <c r="L206">
        <v>66</v>
      </c>
      <c r="M206" s="73">
        <f>ROUND(M140+L206/12,4)</f>
        <v>62.5</v>
      </c>
      <c r="N206" s="73">
        <f>ROUND(VLOOKUP(TRUNC(L206/12,0)+57,M140:N331,2,FALSE)-MOD(L206,12)*(VLOOKUP(TRUNC(L206/12,0)+57,M140:N331,2,FALSE)-VLOOKUP(TRUNC(L206/12,0)+1+57,M140:N331,2,FALSE))/12,4)</f>
        <v>8.9495000000000005</v>
      </c>
      <c r="Q206">
        <f>ROUND(VLOOKUP(S142,V140:W320,2,FALSE)/(VLOOKUP(S142+R207/12,V140:W320,2,FALSE)*([1]!lx(R140,"M",S142+R207/12)/[1]!lx(R140,"M",S142))/((1+S140)^(R207/12))),4)</f>
        <v>1.5769</v>
      </c>
      <c r="R206">
        <v>59</v>
      </c>
      <c r="S206" s="73">
        <v>1.5182</v>
      </c>
      <c r="U206">
        <v>66</v>
      </c>
      <c r="V206" s="73">
        <f>ROUND(V140+U206/12,4)</f>
        <v>62.5</v>
      </c>
      <c r="W206" s="73">
        <f>ROUND(VLOOKUP(TRUNC(U206/12,0)+57,V140:W331,2,FALSE)-MOD(U206,12)*(VLOOKUP(TRUNC(U206/12,0)+57,V140:W331,2,FALSE)-VLOOKUP(TRUNC(U206/12,0)+1+57,V140:W331,2,FALSE))/12,4)</f>
        <v>10.425599999999999</v>
      </c>
      <c r="Z206">
        <v>59</v>
      </c>
      <c r="AA206" s="73">
        <v>1.5659000000000001</v>
      </c>
      <c r="AC206">
        <v>66</v>
      </c>
      <c r="AD206" s="73">
        <f>ROUND(AD140+AC206/12,4)</f>
        <v>62.5</v>
      </c>
      <c r="AE206" s="73">
        <f>ROUND(VLOOKUP(TRUNC(AC206/12,0)+57,AD140:AE331,2,FALSE)-MOD(AC206,12)*(VLOOKUP(TRUNC(AC206/12,0)+57,AD140:AE331,2,FALSE)-VLOOKUP(TRUNC(AC206/12,0)+1+57,AD140:AE331,2,FALSE))/12,4)</f>
        <v>10.425599999999999</v>
      </c>
      <c r="AH206">
        <v>59</v>
      </c>
      <c r="AI206" s="73">
        <v>1.6828000000000001</v>
      </c>
      <c r="AK206">
        <v>66</v>
      </c>
      <c r="AL206" s="73">
        <f>ROUND(AL140+AK206/12,4)</f>
        <v>62.5</v>
      </c>
      <c r="AM206" s="73">
        <f>ROUND(VLOOKUP(TRUNC(AK206/12,0)+57,AL140:AM331,2,FALSE)-MOD(AK206,12)*(VLOOKUP(TRUNC(AK206/12,0)+57,AL140:AM331,2,FALSE)-VLOOKUP(TRUNC(AK206/12,0)+1+57,AL140:AM331,2,FALSE))/12,4)</f>
        <v>8.9495000000000005</v>
      </c>
      <c r="AR206" s="73"/>
    </row>
    <row r="207" spans="1:44" x14ac:dyDescent="0.2">
      <c r="A207">
        <v>60</v>
      </c>
      <c r="B207" s="73">
        <v>1.5256000000000001</v>
      </c>
      <c r="D207">
        <v>67</v>
      </c>
      <c r="E207" s="73">
        <f>ROUND((E140+D207/12),4)</f>
        <v>62.583300000000001</v>
      </c>
      <c r="F207" s="73">
        <f>ROUND(VLOOKUP(TRUNC(D207/12,0)+57,E140:F331,2,FALSE)-MOD(D207,12)*(VLOOKUP(TRUNC(D207/12,0)+57,E140:F331,2,FALSE)-VLOOKUP(TRUNC(D207/12,0)+1+57,E140:F331,2,FALSE))/12,4)</f>
        <v>10.5646</v>
      </c>
      <c r="I207">
        <v>60</v>
      </c>
      <c r="J207" s="73">
        <v>1.6914</v>
      </c>
      <c r="L207">
        <v>67</v>
      </c>
      <c r="M207" s="73">
        <f>ROUND((M140+L207/12),4)</f>
        <v>62.583300000000001</v>
      </c>
      <c r="N207" s="73">
        <f>ROUND(VLOOKUP(TRUNC(L207/12,0)+57,M140:N331,2,FALSE)-MOD(L207,12)*(VLOOKUP(TRUNC(L207/12,0)+57,M140:N331,2,FALSE)-VLOOKUP(TRUNC(L207/12,0)+1+57,M140:N331,2,FALSE))/12,4)</f>
        <v>8.9316999999999993</v>
      </c>
      <c r="Q207">
        <f>VLOOKUP(S142,V140:W320,2,FALSE)</f>
        <v>11.480151809972915</v>
      </c>
      <c r="R207">
        <v>60</v>
      </c>
      <c r="S207" s="73">
        <v>1.5287999999999999</v>
      </c>
      <c r="U207">
        <v>67</v>
      </c>
      <c r="V207" s="73">
        <f>ROUND((V140+U207/12),4)</f>
        <v>62.583300000000001</v>
      </c>
      <c r="W207" s="73">
        <f>ROUND(VLOOKUP(TRUNC(U207/12,0)+57,V140:W331,2,FALSE)-MOD(U207,12)*(VLOOKUP(TRUNC(U207/12,0)+57,V140:W331,2,FALSE)-VLOOKUP(TRUNC(U207/12,0)+1+57,V140:W331,2,FALSE))/12,4)</f>
        <v>10.4079</v>
      </c>
      <c r="Z207">
        <v>60</v>
      </c>
      <c r="AA207" s="73">
        <v>1.5775999999999999</v>
      </c>
      <c r="AC207">
        <v>67</v>
      </c>
      <c r="AD207" s="73">
        <f>ROUND((AD140+AC207/12),4)</f>
        <v>62.583300000000001</v>
      </c>
      <c r="AE207" s="73">
        <f>ROUND(VLOOKUP(TRUNC(AC207/12,0)+57,AD140:AE331,2,FALSE)-MOD(AC207,12)*(VLOOKUP(TRUNC(AC207/12,0)+57,AD140:AE331,2,FALSE)-VLOOKUP(TRUNC(AC207/12,0)+1+57,AD140:AE331,2,FALSE))/12,4)</f>
        <v>10.4079</v>
      </c>
      <c r="AH207">
        <v>60</v>
      </c>
      <c r="AI207" s="73">
        <v>1.6976</v>
      </c>
      <c r="AK207">
        <v>67</v>
      </c>
      <c r="AL207" s="73">
        <f>ROUND((AL140+AK207/12),4)</f>
        <v>62.583300000000001</v>
      </c>
      <c r="AM207" s="73">
        <f>ROUND(VLOOKUP(TRUNC(AK207/12,0)+57,AL140:AM331,2,FALSE)-MOD(AK207,12)*(VLOOKUP(TRUNC(AK207/12,0)+57,AL140:AM331,2,FALSE)-VLOOKUP(TRUNC(AK207/12,0)+1+57,AL140:AM331,2,FALSE))/12,4)</f>
        <v>8.9316999999999993</v>
      </c>
      <c r="AR207" s="73"/>
    </row>
    <row r="208" spans="1:44" x14ac:dyDescent="0.2">
      <c r="A208">
        <v>61</v>
      </c>
      <c r="B208" s="73">
        <v>1.5371999999999999</v>
      </c>
      <c r="D208">
        <v>68</v>
      </c>
      <c r="E208" s="73">
        <f>ROUND((E140+D208/12),4)</f>
        <v>62.666699999999999</v>
      </c>
      <c r="F208" s="73">
        <f>ROUND(VLOOKUP(TRUNC(D208/12,0)+57,E140:F331,2,FALSE)-MOD(D208,12)*(VLOOKUP(TRUNC(D208/12,0)+57,E140:F331,2,FALSE)-VLOOKUP(TRUNC(D208/12,0)+1+57,E140:F331,2,FALSE))/12,4)</f>
        <v>10.547599999999999</v>
      </c>
      <c r="I208">
        <v>61</v>
      </c>
      <c r="J208" s="73">
        <v>1.7081</v>
      </c>
      <c r="L208">
        <v>68</v>
      </c>
      <c r="M208" s="73">
        <f>ROUND((M140+L208/12),4)</f>
        <v>62.666699999999999</v>
      </c>
      <c r="N208" s="73">
        <f>ROUND(VLOOKUP(TRUNC(L208/12,0)+57,M140:N331,2,FALSE)-MOD(L208,12)*(VLOOKUP(TRUNC(L208/12,0)+57,M140:N331,2,FALSE)-VLOOKUP(TRUNC(L208/12,0)+1+57,M140:N331,2,FALSE))/12,4)</f>
        <v>8.9138999999999999</v>
      </c>
      <c r="Q208">
        <f>VLOOKUP(S142+R207/12,V140:W320,2,FALSE)</f>
        <v>10.531884719999278</v>
      </c>
      <c r="R208">
        <v>61</v>
      </c>
      <c r="S208" s="73">
        <v>1.5405</v>
      </c>
      <c r="U208">
        <v>68</v>
      </c>
      <c r="V208" s="73">
        <f>ROUND((V140+U208/12),4)</f>
        <v>62.666699999999999</v>
      </c>
      <c r="W208" s="73">
        <f>ROUND(VLOOKUP(TRUNC(U208/12,0)+57,V140:W331,2,FALSE)-MOD(U208,12)*(VLOOKUP(TRUNC(U208/12,0)+57,V140:W331,2,FALSE)-VLOOKUP(TRUNC(U208/12,0)+1+57,V140:W331,2,FALSE))/12,4)</f>
        <v>10.3901</v>
      </c>
      <c r="Z208">
        <v>61</v>
      </c>
      <c r="AA208" s="73">
        <v>1.5907</v>
      </c>
      <c r="AC208">
        <v>68</v>
      </c>
      <c r="AD208" s="73">
        <f>ROUND((AD140+AC208/12),4)</f>
        <v>62.666699999999999</v>
      </c>
      <c r="AE208" s="73">
        <f>ROUND(VLOOKUP(TRUNC(AC208/12,0)+57,AD140:AE331,2,FALSE)-MOD(AC208,12)*(VLOOKUP(TRUNC(AC208/12,0)+57,AD140:AE331,2,FALSE)-VLOOKUP(TRUNC(AC208/12,0)+1+57,AD140:AE331,2,FALSE))/12,4)</f>
        <v>10.3901</v>
      </c>
      <c r="AH208">
        <v>61</v>
      </c>
      <c r="AI208" s="73">
        <v>1.7144999999999999</v>
      </c>
      <c r="AK208">
        <v>68</v>
      </c>
      <c r="AL208" s="73">
        <f>ROUND((AL140+AK208/12),4)</f>
        <v>62.666699999999999</v>
      </c>
      <c r="AM208" s="73">
        <f>ROUND(VLOOKUP(TRUNC(AK208/12,0)+57,AL140:AM331,2,FALSE)-MOD(AK208,12)*(VLOOKUP(TRUNC(AK208/12,0)+57,AL140:AM331,2,FALSE)-VLOOKUP(TRUNC(AK208/12,0)+1+57,AL140:AM331,2,FALSE))/12,4)</f>
        <v>8.9138999999999999</v>
      </c>
      <c r="AR208" s="73"/>
    </row>
    <row r="209" spans="1:44" x14ac:dyDescent="0.2">
      <c r="A209">
        <v>62</v>
      </c>
      <c r="B209" s="73">
        <v>1.5487</v>
      </c>
      <c r="D209">
        <v>69</v>
      </c>
      <c r="E209" s="73">
        <f>ROUND((E140+D209/12),4)</f>
        <v>62.75</v>
      </c>
      <c r="F209" s="73">
        <f>ROUND(VLOOKUP(TRUNC(D209/12,0)+57,E140:F331,2,FALSE)-MOD(D209,12)*(VLOOKUP(TRUNC(D209/12,0)+57,E140:F331,2,FALSE)-VLOOKUP(TRUNC(D209/12,0)+1+57,E140:F331,2,FALSE))/12,4)</f>
        <v>10.5305</v>
      </c>
      <c r="I209">
        <v>62</v>
      </c>
      <c r="J209" s="73">
        <v>1.7249000000000001</v>
      </c>
      <c r="L209">
        <v>69</v>
      </c>
      <c r="M209" s="73">
        <f>ROUND((M140+L209/12),4)</f>
        <v>62.75</v>
      </c>
      <c r="N209" s="73">
        <f>ROUND(VLOOKUP(TRUNC(L209/12,0)+57,M140:N331,2,FALSE)-MOD(L209,12)*(VLOOKUP(TRUNC(L209/12,0)+57,M140:N331,2,FALSE)-VLOOKUP(TRUNC(L209/12,0)+1+57,M140:N331,2,FALSE))/12,4)</f>
        <v>8.8960000000000008</v>
      </c>
      <c r="Q209" t="e">
        <f>VLOOKUP(62.3,V140:W320,2,FALSE)</f>
        <v>#N/A</v>
      </c>
      <c r="R209">
        <v>62</v>
      </c>
      <c r="S209" s="73">
        <v>1.5523</v>
      </c>
      <c r="U209">
        <v>69</v>
      </c>
      <c r="V209" s="73">
        <f>ROUND((V140+U209/12),4)</f>
        <v>62.75</v>
      </c>
      <c r="W209" s="73">
        <f>ROUND(VLOOKUP(TRUNC(U209/12,0)+57,V140:W331,2,FALSE)-MOD(U209,12)*(VLOOKUP(TRUNC(U209/12,0)+57,V140:W331,2,FALSE)-VLOOKUP(TRUNC(U209/12,0)+1+57,V140:W331,2,FALSE))/12,4)</f>
        <v>10.372400000000001</v>
      </c>
      <c r="Z209">
        <v>62</v>
      </c>
      <c r="AA209" s="73">
        <v>1.6036999999999999</v>
      </c>
      <c r="AC209">
        <v>69</v>
      </c>
      <c r="AD209" s="73">
        <f>ROUND((AD140+AC209/12),4)</f>
        <v>62.75</v>
      </c>
      <c r="AE209" s="73">
        <f>ROUND(VLOOKUP(TRUNC(AC209/12,0)+57,AD140:AE331,2,FALSE)-MOD(AC209,12)*(VLOOKUP(TRUNC(AC209/12,0)+57,AD140:AE331,2,FALSE)-VLOOKUP(TRUNC(AC209/12,0)+1+57,AD140:AE331,2,FALSE))/12,4)</f>
        <v>10.372400000000001</v>
      </c>
      <c r="AH209">
        <v>62</v>
      </c>
      <c r="AI209" s="73">
        <v>1.7315</v>
      </c>
      <c r="AK209">
        <v>69</v>
      </c>
      <c r="AL209" s="73">
        <f>ROUND((AL140+AK209/12),4)</f>
        <v>62.75</v>
      </c>
      <c r="AM209" s="73">
        <f>ROUND(VLOOKUP(TRUNC(AK209/12,0)+57,AL140:AM331,2,FALSE)-MOD(AK209,12)*(VLOOKUP(TRUNC(AK209/12,0)+57,AL140:AM331,2,FALSE)-VLOOKUP(TRUNC(AK209/12,0)+1+57,AL140:AM331,2,FALSE))/12,4)</f>
        <v>8.8960000000000008</v>
      </c>
      <c r="AR209" s="73"/>
    </row>
    <row r="210" spans="1:44" x14ac:dyDescent="0.2">
      <c r="A210">
        <v>63</v>
      </c>
      <c r="B210" s="73">
        <v>1.5603</v>
      </c>
      <c r="D210">
        <v>70</v>
      </c>
      <c r="E210" s="73">
        <f>ROUND((E140+D210/12),4)</f>
        <v>62.833300000000001</v>
      </c>
      <c r="F210" s="73">
        <f>ROUND(VLOOKUP(TRUNC(D210/12,0)+57,E140:F331,2,FALSE)-MOD(D210,12)*(VLOOKUP(TRUNC(D210/12,0)+57,E140:F331,2,FALSE)-VLOOKUP(TRUNC(D210/12,0)+1+57,E140:F331,2,FALSE))/12,4)</f>
        <v>10.513500000000001</v>
      </c>
      <c r="I210">
        <v>63</v>
      </c>
      <c r="J210" s="73">
        <v>1.7416</v>
      </c>
      <c r="L210">
        <v>70</v>
      </c>
      <c r="M210" s="73">
        <f>ROUND((M140+L210/12),4)</f>
        <v>62.833300000000001</v>
      </c>
      <c r="N210" s="73">
        <f>ROUND(VLOOKUP(TRUNC(L210/12,0)+57,M140:N331,2,FALSE)-MOD(L210,12)*(VLOOKUP(TRUNC(L210/12,0)+57,M140:N331,2,FALSE)-VLOOKUP(TRUNC(L210/12,0)+1+57,M140:N331,2,FALSE))/12,4)</f>
        <v>8.8781999999999996</v>
      </c>
      <c r="R210">
        <v>63</v>
      </c>
      <c r="S210" s="73">
        <v>1.5640000000000001</v>
      </c>
      <c r="U210">
        <v>70</v>
      </c>
      <c r="V210" s="73">
        <f>ROUND((V140+U210/12),4)</f>
        <v>62.833300000000001</v>
      </c>
      <c r="W210" s="73">
        <f>ROUND(VLOOKUP(TRUNC(U210/12,0)+57,V140:W331,2,FALSE)-MOD(U210,12)*(VLOOKUP(TRUNC(U210/12,0)+57,V140:W331,2,FALSE)-VLOOKUP(TRUNC(U210/12,0)+1+57,V140:W331,2,FALSE))/12,4)</f>
        <v>10.354699999999999</v>
      </c>
      <c r="Z210">
        <v>63</v>
      </c>
      <c r="AA210" s="73">
        <v>1.6168</v>
      </c>
      <c r="AC210">
        <v>70</v>
      </c>
      <c r="AD210" s="73">
        <f>ROUND((AD140+AC210/12),4)</f>
        <v>62.833300000000001</v>
      </c>
      <c r="AE210" s="73">
        <f>ROUND(VLOOKUP(TRUNC(AC210/12,0)+57,AD140:AE331,2,FALSE)-MOD(AC210,12)*(VLOOKUP(TRUNC(AC210/12,0)+57,AD140:AE331,2,FALSE)-VLOOKUP(TRUNC(AC210/12,0)+1+57,AD140:AE331,2,FALSE))/12,4)</f>
        <v>10.354699999999999</v>
      </c>
      <c r="AH210">
        <v>63</v>
      </c>
      <c r="AI210" s="73">
        <v>1.7484</v>
      </c>
      <c r="AK210">
        <v>70</v>
      </c>
      <c r="AL210" s="73">
        <f>ROUND((AL140+AK210/12),4)</f>
        <v>62.833300000000001</v>
      </c>
      <c r="AM210" s="73">
        <f>ROUND(VLOOKUP(TRUNC(AK210/12,0)+57,AL140:AM331,2,FALSE)-MOD(AK210,12)*(VLOOKUP(TRUNC(AK210/12,0)+57,AL140:AM331,2,FALSE)-VLOOKUP(TRUNC(AK210/12,0)+1+57,AL140:AM331,2,FALSE))/12,4)</f>
        <v>8.8781999999999996</v>
      </c>
      <c r="AR210" s="73"/>
    </row>
    <row r="211" spans="1:44" x14ac:dyDescent="0.2">
      <c r="A211">
        <v>64</v>
      </c>
      <c r="B211" s="73">
        <v>1.5718000000000001</v>
      </c>
      <c r="D211">
        <v>71</v>
      </c>
      <c r="E211" s="73">
        <f>ROUND((E140+D211/12),4)</f>
        <v>62.916699999999999</v>
      </c>
      <c r="F211" s="73">
        <f>ROUND(VLOOKUP(TRUNC(D211/12,0)+57,E140:F331,2,FALSE)-MOD(D211,12)*(VLOOKUP(TRUNC(D211/12,0)+57,E140:F331,2,FALSE)-VLOOKUP(TRUNC(D211/12,0)+1+57,E140:F331,2,FALSE))/12,4)</f>
        <v>10.496499999999999</v>
      </c>
      <c r="I211">
        <v>64</v>
      </c>
      <c r="J211" s="73">
        <v>1.7583</v>
      </c>
      <c r="L211">
        <v>71</v>
      </c>
      <c r="M211" s="73">
        <f>ROUND((M140+L211/12),4)</f>
        <v>62.916699999999999</v>
      </c>
      <c r="N211" s="73">
        <f>ROUND(VLOOKUP(TRUNC(L211/12,0)+57,M140:N331,2,FALSE)-MOD(L211,12)*(VLOOKUP(TRUNC(L211/12,0)+57,M140:N331,2,FALSE)-VLOOKUP(TRUNC(L211/12,0)+1+57,M140:N331,2,FALSE))/12,4)</f>
        <v>8.8604000000000003</v>
      </c>
      <c r="R211">
        <v>64</v>
      </c>
      <c r="S211" s="73">
        <v>1.5757000000000001</v>
      </c>
      <c r="U211">
        <v>71</v>
      </c>
      <c r="V211" s="73">
        <f>ROUND((V140+U211/12),4)</f>
        <v>62.916699999999999</v>
      </c>
      <c r="W211" s="73">
        <f>ROUND(VLOOKUP(TRUNC(U211/12,0)+57,V140:W331,2,FALSE)-MOD(U211,12)*(VLOOKUP(TRUNC(U211/12,0)+57,V140:W331,2,FALSE)-VLOOKUP(TRUNC(U211/12,0)+1+57,V140:W331,2,FALSE))/12,4)</f>
        <v>10.337</v>
      </c>
      <c r="Z211">
        <v>64</v>
      </c>
      <c r="AA211" s="73">
        <v>1.6297999999999999</v>
      </c>
      <c r="AC211">
        <v>71</v>
      </c>
      <c r="AD211" s="73">
        <f>ROUND((AD140+AC211/12),4)</f>
        <v>62.916699999999999</v>
      </c>
      <c r="AE211" s="73">
        <f>ROUND(VLOOKUP(TRUNC(AC211/12,0)+57,AD140:AE331,2,FALSE)-MOD(AC211,12)*(VLOOKUP(TRUNC(AC211/12,0)+57,AD140:AE331,2,FALSE)-VLOOKUP(TRUNC(AC211/12,0)+1+57,AD140:AE331,2,FALSE))/12,4)</f>
        <v>10.337</v>
      </c>
      <c r="AH211">
        <v>64</v>
      </c>
      <c r="AI211" s="73">
        <v>1.7654000000000001</v>
      </c>
      <c r="AK211">
        <v>71</v>
      </c>
      <c r="AL211" s="73">
        <f>ROUND((AL140+AK211/12),4)</f>
        <v>62.916699999999999</v>
      </c>
      <c r="AM211" s="73">
        <f>ROUND(VLOOKUP(TRUNC(AK211/12,0)+57,AL140:AM331,2,FALSE)-MOD(AK211,12)*(VLOOKUP(TRUNC(AK211/12,0)+57,AL140:AM331,2,FALSE)-VLOOKUP(TRUNC(AK211/12,0)+1+57,AL140:AM331,2,FALSE))/12,4)</f>
        <v>8.8604000000000003</v>
      </c>
      <c r="AR211" s="73"/>
    </row>
    <row r="212" spans="1:44" x14ac:dyDescent="0.2">
      <c r="A212">
        <v>65</v>
      </c>
      <c r="B212" s="73">
        <v>1.5833999999999999</v>
      </c>
      <c r="D212">
        <v>72</v>
      </c>
      <c r="E212" s="73">
        <f>ROUND((E140+D212/12),4)</f>
        <v>63</v>
      </c>
      <c r="F212" s="73">
        <f>[1]!NPVF("Mp","SLA","N",B140:C140,"M",E212,E212,0,0,0,0,A140,A140,"P","","")</f>
        <v>10.479477005520893</v>
      </c>
      <c r="I212">
        <v>65</v>
      </c>
      <c r="J212" s="73">
        <v>1.7750999999999999</v>
      </c>
      <c r="L212">
        <v>72</v>
      </c>
      <c r="M212" s="73">
        <f>ROUND((M140+L212/12),4)</f>
        <v>63</v>
      </c>
      <c r="N212" s="73">
        <f>[1]!NPVF("Mp","SLA","N",J140:K140,"M",M212,M212,0,0,0,0,I140,I140,"P","","")</f>
        <v>8.8425806005651779</v>
      </c>
      <c r="R212">
        <v>65</v>
      </c>
      <c r="S212" s="73">
        <v>1.5874999999999999</v>
      </c>
      <c r="U212">
        <v>72</v>
      </c>
      <c r="V212" s="73">
        <f>ROUND((V140+U212/12),4)</f>
        <v>63</v>
      </c>
      <c r="W212" s="73">
        <f>[1]!NPVF("Mp","SLA","N",S140:T140,"M",V212,V212,0,0,0,0,R140,R140,"P","","")</f>
        <v>10.319274595728857</v>
      </c>
      <c r="Z212">
        <v>65</v>
      </c>
      <c r="AA212" s="73">
        <v>1.6429</v>
      </c>
      <c r="AC212">
        <v>72</v>
      </c>
      <c r="AD212" s="73">
        <f>ROUND((AD140+AC212/12),4)</f>
        <v>63</v>
      </c>
      <c r="AE212" s="73">
        <f>[1]!NPVF("Mp","SLA","N",AA140:AB140,"M",AD212,AD212,0,0,0,0,Z140,Z140,"P","","")</f>
        <v>10.319274595728857</v>
      </c>
      <c r="AH212">
        <v>65</v>
      </c>
      <c r="AI212" s="73">
        <v>1.7823</v>
      </c>
      <c r="AK212">
        <v>72</v>
      </c>
      <c r="AL212" s="73">
        <f>ROUND((AL140+AK212/12),4)</f>
        <v>63</v>
      </c>
      <c r="AM212" s="73">
        <f>[1]!NPVF("Mp","SLA","N",AI140:AJ140,"M",AL212,AL212,0,0,0,0,AH140,AH140,"P","","")</f>
        <v>8.8425806005651779</v>
      </c>
      <c r="AR212" s="73"/>
    </row>
    <row r="213" spans="1:44" x14ac:dyDescent="0.2">
      <c r="A213">
        <v>66</v>
      </c>
      <c r="B213" s="73">
        <v>1.5949</v>
      </c>
      <c r="D213">
        <v>73</v>
      </c>
      <c r="E213" s="73">
        <f>ROUND((E140+D213/12),4)</f>
        <v>63.083300000000001</v>
      </c>
      <c r="F213" s="73">
        <f>ROUND(VLOOKUP(TRUNC(D213/12,0)+57,E140:F331,2,FALSE)-MOD(D213,12)*(VLOOKUP(TRUNC(D213/12,0)+57,E140:F331,2,FALSE)-VLOOKUP(TRUNC(D213/12,0)+1+57,E140:F331,2,FALSE))/12,4)</f>
        <v>10.4621</v>
      </c>
      <c r="I213">
        <v>66</v>
      </c>
      <c r="J213" s="73">
        <v>1.7918000000000001</v>
      </c>
      <c r="L213">
        <v>73</v>
      </c>
      <c r="M213" s="73">
        <f>ROUND((M140+L213/12),4)</f>
        <v>63.083300000000001</v>
      </c>
      <c r="N213" s="73">
        <f>ROUND(VLOOKUP(TRUNC(L213/12,0)+57,M140:N331,2,FALSE)-MOD(L213,12)*(VLOOKUP(TRUNC(L213/12,0)+57,M140:N331,2,FALSE)-VLOOKUP(TRUNC(L213/12,0)+1+57,M140:N331,2,FALSE))/12,4)</f>
        <v>8.8242999999999991</v>
      </c>
      <c r="R213">
        <v>66</v>
      </c>
      <c r="S213" s="73">
        <v>1.5992</v>
      </c>
      <c r="U213">
        <v>73</v>
      </c>
      <c r="V213" s="73">
        <f>ROUND((V140+U213/12),4)</f>
        <v>63.083300000000001</v>
      </c>
      <c r="W213" s="73">
        <f>ROUND(VLOOKUP(TRUNC(U213/12,0)+57,V140:W331,2,FALSE)-MOD(U213,12)*(VLOOKUP(TRUNC(U213/12,0)+57,V140:W331,2,FALSE)-VLOOKUP(TRUNC(U213/12,0)+1+57,V140:W331,2,FALSE))/12,4)</f>
        <v>10.301</v>
      </c>
      <c r="Z213">
        <v>66</v>
      </c>
      <c r="AA213" s="73">
        <v>1.6559999999999999</v>
      </c>
      <c r="AC213">
        <v>73</v>
      </c>
      <c r="AD213" s="73">
        <f>ROUND((AD140+AC213/12),4)</f>
        <v>63.083300000000001</v>
      </c>
      <c r="AE213" s="73">
        <f>ROUND(VLOOKUP(TRUNC(AC213/12,0)+57,AD140:AE331,2,FALSE)-MOD(AC213,12)*(VLOOKUP(TRUNC(AC213/12,0)+57,AD140:AE331,2,FALSE)-VLOOKUP(TRUNC(AC213/12,0)+1+57,AD140:AE331,2,FALSE))/12,4)</f>
        <v>10.301</v>
      </c>
      <c r="AH213">
        <v>66</v>
      </c>
      <c r="AI213" s="73">
        <v>1.7992999999999999</v>
      </c>
      <c r="AK213">
        <v>73</v>
      </c>
      <c r="AL213" s="73">
        <f>ROUND((AL140+AK213/12),4)</f>
        <v>63.083300000000001</v>
      </c>
      <c r="AM213" s="73">
        <f>ROUND(VLOOKUP(TRUNC(AK213/12,0)+57,AL140:AM331,2,FALSE)-MOD(AK213,12)*(VLOOKUP(TRUNC(AK213/12,0)+57,AL140:AM331,2,FALSE)-VLOOKUP(TRUNC(AK213/12,0)+1+57,AL140:AM331,2,FALSE))/12,4)</f>
        <v>8.8242999999999991</v>
      </c>
      <c r="AR213" s="73"/>
    </row>
    <row r="214" spans="1:44" x14ac:dyDescent="0.2">
      <c r="A214">
        <v>67</v>
      </c>
      <c r="B214" s="73">
        <v>1.6065</v>
      </c>
      <c r="D214">
        <v>74</v>
      </c>
      <c r="E214" s="73">
        <f>ROUND((E140+D214/12),4)</f>
        <v>63.166699999999999</v>
      </c>
      <c r="F214" s="73">
        <f>ROUND(VLOOKUP(TRUNC(D214/12,0)+57,E140:F331,2,FALSE)-MOD(D214,12)*(VLOOKUP(TRUNC(D214/12,0)+57,E140:F331,2,FALSE)-VLOOKUP(TRUNC(D214/12,0)+1+57,E140:F331,2,FALSE))/12,4)</f>
        <v>10.444800000000001</v>
      </c>
      <c r="I214">
        <v>67</v>
      </c>
      <c r="J214" s="73">
        <v>1.8085</v>
      </c>
      <c r="L214">
        <v>74</v>
      </c>
      <c r="M214" s="73">
        <f>ROUND((M140+L214/12),4)</f>
        <v>63.166699999999999</v>
      </c>
      <c r="N214" s="73">
        <f>ROUND(VLOOKUP(TRUNC(L214/12,0)+57,M140:N331,2,FALSE)-MOD(L214,12)*(VLOOKUP(TRUNC(L214/12,0)+57,M140:N331,2,FALSE)-VLOOKUP(TRUNC(L214/12,0)+1+57,M140:N331,2,FALSE))/12,4)</f>
        <v>8.8059999999999992</v>
      </c>
      <c r="R214">
        <v>67</v>
      </c>
      <c r="S214" s="73">
        <v>1.6109</v>
      </c>
      <c r="U214">
        <v>74</v>
      </c>
      <c r="V214" s="73">
        <f>ROUND((V140+U214/12),4)</f>
        <v>63.166699999999999</v>
      </c>
      <c r="W214" s="73">
        <f>ROUND(VLOOKUP(TRUNC(U214/12,0)+57,V140:W331,2,FALSE)-MOD(U214,12)*(VLOOKUP(TRUNC(U214/12,0)+57,V140:W331,2,FALSE)-VLOOKUP(TRUNC(U214/12,0)+1+57,V140:W331,2,FALSE))/12,4)</f>
        <v>10.2827</v>
      </c>
      <c r="Z214">
        <v>67</v>
      </c>
      <c r="AA214" s="73">
        <v>1.669</v>
      </c>
      <c r="AC214">
        <v>74</v>
      </c>
      <c r="AD214" s="73">
        <f>ROUND((AD140+AC214/12),4)</f>
        <v>63.166699999999999</v>
      </c>
      <c r="AE214" s="73">
        <f>ROUND(VLOOKUP(TRUNC(AC214/12,0)+57,AD140:AE331,2,FALSE)-MOD(AC214,12)*(VLOOKUP(TRUNC(AC214/12,0)+57,AD140:AE331,2,FALSE)-VLOOKUP(TRUNC(AC214/12,0)+1+57,AD140:AE331,2,FALSE))/12,4)</f>
        <v>10.2827</v>
      </c>
      <c r="AH214">
        <v>67</v>
      </c>
      <c r="AI214" s="73">
        <v>1.8162</v>
      </c>
      <c r="AK214">
        <v>74</v>
      </c>
      <c r="AL214" s="73">
        <f>ROUND((AL140+AK214/12),4)</f>
        <v>63.166699999999999</v>
      </c>
      <c r="AM214" s="73">
        <f>ROUND(VLOOKUP(TRUNC(AK214/12,0)+57,AL140:AM331,2,FALSE)-MOD(AK214,12)*(VLOOKUP(TRUNC(AK214/12,0)+57,AL140:AM331,2,FALSE)-VLOOKUP(TRUNC(AK214/12,0)+1+57,AL140:AM331,2,FALSE))/12,4)</f>
        <v>8.8059999999999992</v>
      </c>
      <c r="AR214" s="73"/>
    </row>
    <row r="215" spans="1:44" x14ac:dyDescent="0.2">
      <c r="A215">
        <v>68</v>
      </c>
      <c r="B215" s="73">
        <v>1.6180000000000001</v>
      </c>
      <c r="D215">
        <v>75</v>
      </c>
      <c r="E215" s="73">
        <f>ROUND((E140+D215/12),4)</f>
        <v>63.25</v>
      </c>
      <c r="F215" s="73">
        <f>ROUND(VLOOKUP(TRUNC(D215/12,0)+57,E140:F331,2,FALSE)-MOD(D215,12)*(VLOOKUP(TRUNC(D215/12,0)+57,E140:F331,2,FALSE)-VLOOKUP(TRUNC(D215/12,0)+1+57,E140:F331,2,FALSE))/12,4)</f>
        <v>10.4274</v>
      </c>
      <c r="I215">
        <v>68</v>
      </c>
      <c r="J215" s="73">
        <v>1.8252999999999999</v>
      </c>
      <c r="L215">
        <v>75</v>
      </c>
      <c r="M215" s="73">
        <f>ROUND((M140+L215/12),4)</f>
        <v>63.25</v>
      </c>
      <c r="N215" s="73">
        <f>ROUND(VLOOKUP(TRUNC(L215/12,0)+57,M140:N331,2,FALSE)-MOD(L215,12)*(VLOOKUP(TRUNC(L215/12,0)+57,M140:N331,2,FALSE)-VLOOKUP(TRUNC(L215/12,0)+1+57,M140:N331,2,FALSE))/12,4)</f>
        <v>8.7878000000000007</v>
      </c>
      <c r="R215">
        <v>68</v>
      </c>
      <c r="S215" s="73">
        <v>1.6227</v>
      </c>
      <c r="U215">
        <v>75</v>
      </c>
      <c r="V215" s="73">
        <f>ROUND((V140+U215/12),4)</f>
        <v>63.25</v>
      </c>
      <c r="W215" s="73">
        <f>ROUND(VLOOKUP(TRUNC(U215/12,0)+57,V140:W331,2,FALSE)-MOD(U215,12)*(VLOOKUP(TRUNC(U215/12,0)+57,V140:W331,2,FALSE)-VLOOKUP(TRUNC(U215/12,0)+1+57,V140:W331,2,FALSE))/12,4)</f>
        <v>10.2643</v>
      </c>
      <c r="Z215">
        <v>68</v>
      </c>
      <c r="AA215" s="73">
        <v>1.6820999999999999</v>
      </c>
      <c r="AC215">
        <v>75</v>
      </c>
      <c r="AD215" s="73">
        <f>ROUND((AD140+AC215/12),4)</f>
        <v>63.25</v>
      </c>
      <c r="AE215" s="73">
        <f>ROUND(VLOOKUP(TRUNC(AC215/12,0)+57,AD140:AE331,2,FALSE)-MOD(AC215,12)*(VLOOKUP(TRUNC(AC215/12,0)+57,AD140:AE331,2,FALSE)-VLOOKUP(TRUNC(AC215/12,0)+1+57,AD140:AE331,2,FALSE))/12,4)</f>
        <v>10.2643</v>
      </c>
      <c r="AH215">
        <v>68</v>
      </c>
      <c r="AI215" s="73">
        <v>1.8331</v>
      </c>
      <c r="AK215">
        <v>75</v>
      </c>
      <c r="AL215" s="73">
        <f>ROUND((AL140+AK215/12),4)</f>
        <v>63.25</v>
      </c>
      <c r="AM215" s="73">
        <f>ROUND(VLOOKUP(TRUNC(AK215/12,0)+57,AL140:AM331,2,FALSE)-MOD(AK215,12)*(VLOOKUP(TRUNC(AK215/12,0)+57,AL140:AM331,2,FALSE)-VLOOKUP(TRUNC(AK215/12,0)+1+57,AL140:AM331,2,FALSE))/12,4)</f>
        <v>8.7878000000000007</v>
      </c>
      <c r="AR215" s="73"/>
    </row>
    <row r="216" spans="1:44" x14ac:dyDescent="0.2">
      <c r="A216">
        <v>69</v>
      </c>
      <c r="B216" s="73">
        <v>1.6295999999999999</v>
      </c>
      <c r="D216">
        <v>76</v>
      </c>
      <c r="E216" s="73">
        <f>ROUND((E140+D216/12),4)</f>
        <v>63.333300000000001</v>
      </c>
      <c r="F216" s="73">
        <f>ROUND(VLOOKUP(TRUNC(D216/12,0)+57,E140:F331,2,FALSE)-MOD(D216,12)*(VLOOKUP(TRUNC(D216/12,0)+57,E140:F331,2,FALSE)-VLOOKUP(TRUNC(D216/12,0)+1+57,E140:F331,2,FALSE))/12,4)</f>
        <v>10.4101</v>
      </c>
      <c r="I216">
        <v>69</v>
      </c>
      <c r="J216" s="73">
        <v>1.8420000000000001</v>
      </c>
      <c r="L216">
        <v>76</v>
      </c>
      <c r="M216" s="73">
        <f>ROUND((M140+L216/12),4)</f>
        <v>63.333300000000001</v>
      </c>
      <c r="N216" s="73">
        <f>ROUND(VLOOKUP(TRUNC(L216/12,0)+57,M140:N331,2,FALSE)-MOD(L216,12)*(VLOOKUP(TRUNC(L216/12,0)+57,M140:N331,2,FALSE)-VLOOKUP(TRUNC(L216/12,0)+1+57,M140:N331,2,FALSE))/12,4)</f>
        <v>8.7695000000000007</v>
      </c>
      <c r="R216">
        <v>69</v>
      </c>
      <c r="S216" s="73">
        <v>1.6344000000000001</v>
      </c>
      <c r="U216">
        <v>76</v>
      </c>
      <c r="V216" s="73">
        <f>ROUND((V140+U216/12),4)</f>
        <v>63.333300000000001</v>
      </c>
      <c r="W216" s="73">
        <f>ROUND(VLOOKUP(TRUNC(U216/12,0)+57,V140:W331,2,FALSE)-MOD(U216,12)*(VLOOKUP(TRUNC(U216/12,0)+57,V140:W331,2,FALSE)-VLOOKUP(TRUNC(U216/12,0)+1+57,V140:W331,2,FALSE))/12,4)</f>
        <v>10.246</v>
      </c>
      <c r="Z216">
        <v>69</v>
      </c>
      <c r="AA216" s="73">
        <v>1.6951000000000001</v>
      </c>
      <c r="AC216">
        <v>76</v>
      </c>
      <c r="AD216" s="73">
        <f>ROUND((AD140+AC216/12),4)</f>
        <v>63.333300000000001</v>
      </c>
      <c r="AE216" s="73">
        <f>ROUND(VLOOKUP(TRUNC(AC216/12,0)+57,AD140:AE331,2,FALSE)-MOD(AC216,12)*(VLOOKUP(TRUNC(AC216/12,0)+57,AD140:AE331,2,FALSE)-VLOOKUP(TRUNC(AC216/12,0)+1+57,AD140:AE331,2,FALSE))/12,4)</f>
        <v>10.246</v>
      </c>
      <c r="AH216">
        <v>69</v>
      </c>
      <c r="AI216" s="73">
        <v>1.8501000000000001</v>
      </c>
      <c r="AK216">
        <v>76</v>
      </c>
      <c r="AL216" s="73">
        <f>ROUND((AL140+AK216/12),4)</f>
        <v>63.333300000000001</v>
      </c>
      <c r="AM216" s="73">
        <f>ROUND(VLOOKUP(TRUNC(AK216/12,0)+57,AL140:AM331,2,FALSE)-MOD(AK216,12)*(VLOOKUP(TRUNC(AK216/12,0)+57,AL140:AM331,2,FALSE)-VLOOKUP(TRUNC(AK216/12,0)+1+57,AL140:AM331,2,FALSE))/12,4)</f>
        <v>8.7695000000000007</v>
      </c>
      <c r="AR216" s="73"/>
    </row>
    <row r="217" spans="1:44" x14ac:dyDescent="0.2">
      <c r="A217">
        <v>70</v>
      </c>
      <c r="B217" s="73">
        <v>1.6411</v>
      </c>
      <c r="D217">
        <v>77</v>
      </c>
      <c r="E217" s="73">
        <f>ROUND((E140+D217/12),4)</f>
        <v>63.416699999999999</v>
      </c>
      <c r="F217" s="73">
        <f>ROUND(VLOOKUP(TRUNC(D217/12,0)+57,E140:F331,2,FALSE)-MOD(D217,12)*(VLOOKUP(TRUNC(D217/12,0)+57,E140:F331,2,FALSE)-VLOOKUP(TRUNC(D217/12,0)+1+57,E140:F331,2,FALSE))/12,4)</f>
        <v>10.3927</v>
      </c>
      <c r="I217">
        <v>70</v>
      </c>
      <c r="J217" s="73">
        <v>1.8587</v>
      </c>
      <c r="L217">
        <v>77</v>
      </c>
      <c r="M217" s="73">
        <f>ROUND((M140+L217/12),4)</f>
        <v>63.416699999999999</v>
      </c>
      <c r="N217" s="73">
        <f>ROUND(VLOOKUP(TRUNC(L217/12,0)+57,M140:N331,2,FALSE)-MOD(L217,12)*(VLOOKUP(TRUNC(L217/12,0)+57,M140:N331,2,FALSE)-VLOOKUP(TRUNC(L217/12,0)+1+57,M140:N331,2,FALSE))/12,4)</f>
        <v>8.7512000000000008</v>
      </c>
      <c r="R217">
        <v>70</v>
      </c>
      <c r="S217" s="73">
        <v>1.6460999999999999</v>
      </c>
      <c r="U217">
        <v>77</v>
      </c>
      <c r="V217" s="73">
        <f>ROUND((V140+U217/12),4)</f>
        <v>63.416699999999999</v>
      </c>
      <c r="W217" s="73">
        <f>ROUND(VLOOKUP(TRUNC(U217/12,0)+57,V140:W331,2,FALSE)-MOD(U217,12)*(VLOOKUP(TRUNC(U217/12,0)+57,V140:W331,2,FALSE)-VLOOKUP(TRUNC(U217/12,0)+1+57,V140:W331,2,FALSE))/12,4)</f>
        <v>10.2277</v>
      </c>
      <c r="Z217">
        <v>70</v>
      </c>
      <c r="AA217" s="73">
        <v>1.7081999999999999</v>
      </c>
      <c r="AC217">
        <v>77</v>
      </c>
      <c r="AD217" s="73">
        <f>ROUND((AD140+AC217/12),4)</f>
        <v>63.416699999999999</v>
      </c>
      <c r="AE217" s="73">
        <f>ROUND(VLOOKUP(TRUNC(AC217/12,0)+57,AD140:AE331,2,FALSE)-MOD(AC217,12)*(VLOOKUP(TRUNC(AC217/12,0)+57,AD140:AE331,2,FALSE)-VLOOKUP(TRUNC(AC217/12,0)+1+57,AD140:AE331,2,FALSE))/12,4)</f>
        <v>10.2277</v>
      </c>
      <c r="AH217">
        <v>70</v>
      </c>
      <c r="AI217" s="73">
        <v>1.867</v>
      </c>
      <c r="AK217">
        <v>77</v>
      </c>
      <c r="AL217" s="73">
        <f>ROUND((AL140+AK217/12),4)</f>
        <v>63.416699999999999</v>
      </c>
      <c r="AM217" s="73">
        <f>ROUND(VLOOKUP(TRUNC(AK217/12,0)+57,AL140:AM331,2,FALSE)-MOD(AK217,12)*(VLOOKUP(TRUNC(AK217/12,0)+57,AL140:AM331,2,FALSE)-VLOOKUP(TRUNC(AK217/12,0)+1+57,AL140:AM331,2,FALSE))/12,4)</f>
        <v>8.7512000000000008</v>
      </c>
      <c r="AR217" s="73"/>
    </row>
    <row r="218" spans="1:44" x14ac:dyDescent="0.2">
      <c r="A218">
        <v>71</v>
      </c>
      <c r="B218" s="73">
        <v>1.6527000000000001</v>
      </c>
      <c r="D218">
        <v>78</v>
      </c>
      <c r="E218" s="73">
        <f>ROUND((E140+D218/12),4)</f>
        <v>63.5</v>
      </c>
      <c r="F218" s="73">
        <f>ROUND(VLOOKUP(TRUNC(D218/12,0)+57,E140:F331,2,FALSE)-MOD(D218,12)*(VLOOKUP(TRUNC(D218/12,0)+57,E140:F331,2,FALSE)-VLOOKUP(TRUNC(D218/12,0)+1+57,E140:F331,2,FALSE))/12,4)</f>
        <v>10.375400000000001</v>
      </c>
      <c r="I218">
        <v>71</v>
      </c>
      <c r="J218" s="73">
        <v>1.8754999999999999</v>
      </c>
      <c r="L218">
        <v>78</v>
      </c>
      <c r="M218" s="73">
        <f>ROUND((M140+L218/12),4)</f>
        <v>63.5</v>
      </c>
      <c r="N218" s="73">
        <f>ROUND(VLOOKUP(TRUNC(L218/12,0)+57,M140:N331,2,FALSE)-MOD(L218,12)*(VLOOKUP(TRUNC(L218/12,0)+57,M140:N331,2,FALSE)-VLOOKUP(TRUNC(L218/12,0)+1+57,M140:N331,2,FALSE))/12,4)</f>
        <v>8.7329000000000008</v>
      </c>
      <c r="R218">
        <v>71</v>
      </c>
      <c r="S218" s="73">
        <v>1.6578999999999999</v>
      </c>
      <c r="U218">
        <v>78</v>
      </c>
      <c r="V218" s="73">
        <f>ROUND((V140+U218/12),4)</f>
        <v>63.5</v>
      </c>
      <c r="W218" s="73">
        <f>ROUND(VLOOKUP(TRUNC(U218/12,0)+57,V140:W331,2,FALSE)-MOD(U218,12)*(VLOOKUP(TRUNC(U218/12,0)+57,V140:W331,2,FALSE)-VLOOKUP(TRUNC(U218/12,0)+1+57,V140:W331,2,FALSE))/12,4)</f>
        <v>10.2094</v>
      </c>
      <c r="Z218">
        <v>71</v>
      </c>
      <c r="AA218" s="73">
        <v>1.7212000000000001</v>
      </c>
      <c r="AC218">
        <v>78</v>
      </c>
      <c r="AD218" s="73">
        <f>ROUND((AD140+AC218/12),4)</f>
        <v>63.5</v>
      </c>
      <c r="AE218" s="73">
        <f>ROUND(VLOOKUP(TRUNC(AC218/12,0)+57,AD140:AE331,2,FALSE)-MOD(AC218,12)*(VLOOKUP(TRUNC(AC218/12,0)+57,AD140:AE331,2,FALSE)-VLOOKUP(TRUNC(AC218/12,0)+1+57,AD140:AE331,2,FALSE))/12,4)</f>
        <v>10.2094</v>
      </c>
      <c r="AH218">
        <v>71</v>
      </c>
      <c r="AI218" s="73">
        <v>1.8839999999999999</v>
      </c>
      <c r="AK218">
        <v>78</v>
      </c>
      <c r="AL218" s="73">
        <f>ROUND((AL140+AK218/12),4)</f>
        <v>63.5</v>
      </c>
      <c r="AM218" s="73">
        <f>ROUND(VLOOKUP(TRUNC(AK218/12,0)+57,AL140:AM331,2,FALSE)-MOD(AK218,12)*(VLOOKUP(TRUNC(AK218/12,0)+57,AL140:AM331,2,FALSE)-VLOOKUP(TRUNC(AK218/12,0)+1+57,AL140:AM331,2,FALSE))/12,4)</f>
        <v>8.7329000000000008</v>
      </c>
      <c r="AR218" s="73"/>
    </row>
    <row r="219" spans="1:44" x14ac:dyDescent="0.2">
      <c r="A219">
        <v>72</v>
      </c>
      <c r="B219" s="73">
        <v>1.6641999999999999</v>
      </c>
      <c r="D219">
        <v>79</v>
      </c>
      <c r="E219" s="73">
        <f>ROUND((E140+D219/12),4)</f>
        <v>63.583300000000001</v>
      </c>
      <c r="F219" s="73">
        <f>ROUND(VLOOKUP(TRUNC(D219/12,0)+57,E140:F331,2,FALSE)-MOD(D219,12)*(VLOOKUP(TRUNC(D219/12,0)+57,E140:F331,2,FALSE)-VLOOKUP(TRUNC(D219/12,0)+1+57,E140:F331,2,FALSE))/12,4)</f>
        <v>10.358000000000001</v>
      </c>
      <c r="I219">
        <v>72</v>
      </c>
      <c r="J219" s="73">
        <v>1.8922000000000001</v>
      </c>
      <c r="L219">
        <v>79</v>
      </c>
      <c r="M219" s="73">
        <f>ROUND((M140+L219/12),4)</f>
        <v>63.583300000000001</v>
      </c>
      <c r="N219" s="73">
        <f>ROUND(VLOOKUP(TRUNC(L219/12,0)+57,M140:N331,2,FALSE)-MOD(L219,12)*(VLOOKUP(TRUNC(L219/12,0)+57,M140:N331,2,FALSE)-VLOOKUP(TRUNC(L219/12,0)+1+57,M140:N331,2,FALSE))/12,4)</f>
        <v>8.7147000000000006</v>
      </c>
      <c r="R219">
        <v>72</v>
      </c>
      <c r="S219" s="73">
        <v>1.6696</v>
      </c>
      <c r="U219">
        <v>79</v>
      </c>
      <c r="V219" s="73">
        <f>ROUND((V140+U219/12),4)</f>
        <v>63.583300000000001</v>
      </c>
      <c r="W219" s="73">
        <f>ROUND(VLOOKUP(TRUNC(U219/12,0)+57,V140:W331,2,FALSE)-MOD(U219,12)*(VLOOKUP(TRUNC(U219/12,0)+57,V140:W331,2,FALSE)-VLOOKUP(TRUNC(U219/12,0)+1+57,V140:W331,2,FALSE))/12,4)</f>
        <v>10.1911</v>
      </c>
      <c r="Z219">
        <v>72</v>
      </c>
      <c r="AA219" s="73">
        <v>1.7343</v>
      </c>
      <c r="AC219">
        <v>79</v>
      </c>
      <c r="AD219" s="73">
        <f>ROUND((AD140+AC219/12),4)</f>
        <v>63.583300000000001</v>
      </c>
      <c r="AE219" s="73">
        <f>ROUND(VLOOKUP(TRUNC(AC219/12,0)+57,AD140:AE331,2,FALSE)-MOD(AC219,12)*(VLOOKUP(TRUNC(AC219/12,0)+57,AD140:AE331,2,FALSE)-VLOOKUP(TRUNC(AC219/12,0)+1+57,AD140:AE331,2,FALSE))/12,4)</f>
        <v>10.1911</v>
      </c>
      <c r="AH219">
        <v>72</v>
      </c>
      <c r="AI219" s="73">
        <v>1.9009</v>
      </c>
      <c r="AK219">
        <v>79</v>
      </c>
      <c r="AL219" s="73">
        <f>ROUND((AL140+AK219/12),4)</f>
        <v>63.583300000000001</v>
      </c>
      <c r="AM219" s="73">
        <f>ROUND(VLOOKUP(TRUNC(AK219/12,0)+57,AL140:AM331,2,FALSE)-MOD(AK219,12)*(VLOOKUP(TRUNC(AK219/12,0)+57,AL140:AM331,2,FALSE)-VLOOKUP(TRUNC(AK219/12,0)+1+57,AL140:AM331,2,FALSE))/12,4)</f>
        <v>8.7147000000000006</v>
      </c>
      <c r="AR219" s="73"/>
    </row>
    <row r="220" spans="1:44" x14ac:dyDescent="0.2">
      <c r="A220">
        <v>73</v>
      </c>
      <c r="B220" s="73">
        <v>1.6769000000000001</v>
      </c>
      <c r="D220">
        <v>80</v>
      </c>
      <c r="E220" s="73">
        <f>ROUND((E140+D220/12),4)</f>
        <v>63.666699999999999</v>
      </c>
      <c r="F220" s="73">
        <f>ROUND(VLOOKUP(TRUNC(D220/12,0)+57,E140:F331,2,FALSE)-MOD(D220,12)*(VLOOKUP(TRUNC(D220/12,0)+57,E140:F331,2,FALSE)-VLOOKUP(TRUNC(D220/12,0)+1+57,E140:F331,2,FALSE))/12,4)</f>
        <v>10.3407</v>
      </c>
      <c r="I220">
        <v>73</v>
      </c>
      <c r="J220" s="73">
        <v>1.9114</v>
      </c>
      <c r="L220">
        <v>80</v>
      </c>
      <c r="M220" s="73">
        <f>ROUND((M140+L220/12),4)</f>
        <v>63.666699999999999</v>
      </c>
      <c r="N220" s="73">
        <f>ROUND(VLOOKUP(TRUNC(L220/12,0)+57,M140:N331,2,FALSE)-MOD(L220,12)*(VLOOKUP(TRUNC(L220/12,0)+57,M140:N331,2,FALSE)-VLOOKUP(TRUNC(L220/12,0)+1+57,M140:N331,2,FALSE))/12,4)</f>
        <v>8.6964000000000006</v>
      </c>
      <c r="R220">
        <v>73</v>
      </c>
      <c r="S220" s="73">
        <v>1.6826000000000001</v>
      </c>
      <c r="U220">
        <v>80</v>
      </c>
      <c r="V220" s="73">
        <f>ROUND((V140+U220/12),4)</f>
        <v>63.666699999999999</v>
      </c>
      <c r="W220" s="73">
        <f>ROUND(VLOOKUP(TRUNC(U220/12,0)+57,V140:W331,2,FALSE)-MOD(U220,12)*(VLOOKUP(TRUNC(U220/12,0)+57,V140:W331,2,FALSE)-VLOOKUP(TRUNC(U220/12,0)+1+57,V140:W331,2,FALSE))/12,4)</f>
        <v>10.172800000000001</v>
      </c>
      <c r="Z220">
        <v>73</v>
      </c>
      <c r="AA220" s="73">
        <v>1.7488999999999999</v>
      </c>
      <c r="AC220">
        <v>80</v>
      </c>
      <c r="AD220" s="73">
        <f>ROUND((AD140+AC220/12),4)</f>
        <v>63.666699999999999</v>
      </c>
      <c r="AE220" s="73">
        <f>ROUND(VLOOKUP(TRUNC(AC220/12,0)+57,AD140:AE331,2,FALSE)-MOD(AC220,12)*(VLOOKUP(TRUNC(AC220/12,0)+57,AD140:AE331,2,FALSE)-VLOOKUP(TRUNC(AC220/12,0)+1+57,AD140:AE331,2,FALSE))/12,4)</f>
        <v>10.172800000000001</v>
      </c>
      <c r="AH220">
        <v>73</v>
      </c>
      <c r="AI220" s="73">
        <v>1.9204000000000001</v>
      </c>
      <c r="AK220">
        <v>80</v>
      </c>
      <c r="AL220" s="73">
        <f>ROUND((AL140+AK220/12),4)</f>
        <v>63.666699999999999</v>
      </c>
      <c r="AM220" s="73">
        <f>ROUND(VLOOKUP(TRUNC(AK220/12,0)+57,AL140:AM331,2,FALSE)-MOD(AK220,12)*(VLOOKUP(TRUNC(AK220/12,0)+57,AL140:AM331,2,FALSE)-VLOOKUP(TRUNC(AK220/12,0)+1+57,AL140:AM331,2,FALSE))/12,4)</f>
        <v>8.6964000000000006</v>
      </c>
      <c r="AR220" s="73"/>
    </row>
    <row r="221" spans="1:44" x14ac:dyDescent="0.2">
      <c r="A221">
        <v>74</v>
      </c>
      <c r="B221" s="73">
        <v>1.6896</v>
      </c>
      <c r="D221">
        <v>81</v>
      </c>
      <c r="E221" s="73">
        <f>ROUND((E140+D221/12),4)</f>
        <v>63.75</v>
      </c>
      <c r="F221" s="73">
        <f>ROUND(VLOOKUP(TRUNC(D221/12,0)+57,E140:F331,2,FALSE)-MOD(D221,12)*(VLOOKUP(TRUNC(D221/12,0)+57,E140:F331,2,FALSE)-VLOOKUP(TRUNC(D221/12,0)+1+57,E140:F331,2,FALSE))/12,4)</f>
        <v>10.3233</v>
      </c>
      <c r="I221">
        <v>74</v>
      </c>
      <c r="J221" s="73">
        <v>1.9306000000000001</v>
      </c>
      <c r="L221">
        <v>81</v>
      </c>
      <c r="M221" s="73">
        <f>ROUND((M140+L221/12),4)</f>
        <v>63.75</v>
      </c>
      <c r="N221" s="73">
        <f>ROUND(VLOOKUP(TRUNC(L221/12,0)+57,M140:N331,2,FALSE)-MOD(L221,12)*(VLOOKUP(TRUNC(L221/12,0)+57,M140:N331,2,FALSE)-VLOOKUP(TRUNC(L221/12,0)+1+57,M140:N331,2,FALSE))/12,4)</f>
        <v>8.6781000000000006</v>
      </c>
      <c r="R221">
        <v>74</v>
      </c>
      <c r="S221" s="73">
        <v>1.6956</v>
      </c>
      <c r="U221">
        <v>81</v>
      </c>
      <c r="V221" s="73">
        <f>ROUND((V140+U221/12),4)</f>
        <v>63.75</v>
      </c>
      <c r="W221" s="73">
        <f>ROUND(VLOOKUP(TRUNC(U221/12,0)+57,V140:W331,2,FALSE)-MOD(U221,12)*(VLOOKUP(TRUNC(U221/12,0)+57,V140:W331,2,FALSE)-VLOOKUP(TRUNC(U221/12,0)+1+57,V140:W331,2,FALSE))/12,4)</f>
        <v>10.154500000000001</v>
      </c>
      <c r="Z221">
        <v>74</v>
      </c>
      <c r="AA221" s="73">
        <v>1.7634000000000001</v>
      </c>
      <c r="AC221">
        <v>81</v>
      </c>
      <c r="AD221" s="73">
        <f>ROUND((AD140+AC221/12),4)</f>
        <v>63.75</v>
      </c>
      <c r="AE221" s="73">
        <f>ROUND(VLOOKUP(TRUNC(AC221/12,0)+57,AD140:AE331,2,FALSE)-MOD(AC221,12)*(VLOOKUP(TRUNC(AC221/12,0)+57,AD140:AE331,2,FALSE)-VLOOKUP(TRUNC(AC221/12,0)+1+57,AD140:AE331,2,FALSE))/12,4)</f>
        <v>10.154500000000001</v>
      </c>
      <c r="AH221">
        <v>74</v>
      </c>
      <c r="AI221" s="73">
        <v>1.9399</v>
      </c>
      <c r="AK221">
        <v>81</v>
      </c>
      <c r="AL221" s="73">
        <f>ROUND((AL140+AK221/12),4)</f>
        <v>63.75</v>
      </c>
      <c r="AM221" s="73">
        <f>ROUND(VLOOKUP(TRUNC(AK221/12,0)+57,AL140:AM331,2,FALSE)-MOD(AK221,12)*(VLOOKUP(TRUNC(AK221/12,0)+57,AL140:AM331,2,FALSE)-VLOOKUP(TRUNC(AK221/12,0)+1+57,AL140:AM331,2,FALSE))/12,4)</f>
        <v>8.6781000000000006</v>
      </c>
      <c r="AR221" s="73"/>
    </row>
    <row r="222" spans="1:44" x14ac:dyDescent="0.2">
      <c r="A222">
        <v>75</v>
      </c>
      <c r="B222" s="73">
        <v>1.7023999999999999</v>
      </c>
      <c r="D222">
        <v>82</v>
      </c>
      <c r="E222" s="73">
        <f>ROUND((E140+D222/12),4)</f>
        <v>63.833300000000001</v>
      </c>
      <c r="F222" s="73">
        <f>ROUND(VLOOKUP(TRUNC(D222/12,0)+57,E140:F331,2,FALSE)-MOD(D222,12)*(VLOOKUP(TRUNC(D222/12,0)+57,E140:F331,2,FALSE)-VLOOKUP(TRUNC(D222/12,0)+1+57,E140:F331,2,FALSE))/12,4)</f>
        <v>10.305899999999999</v>
      </c>
      <c r="I222">
        <v>75</v>
      </c>
      <c r="J222" s="73">
        <v>1.9499</v>
      </c>
      <c r="L222">
        <v>82</v>
      </c>
      <c r="M222" s="73">
        <f>ROUND((M140+L222/12),4)</f>
        <v>63.833300000000001</v>
      </c>
      <c r="N222" s="73">
        <f>ROUND(VLOOKUP(TRUNC(L222/12,0)+57,M140:N331,2,FALSE)-MOD(L222,12)*(VLOOKUP(TRUNC(L222/12,0)+57,M140:N331,2,FALSE)-VLOOKUP(TRUNC(L222/12,0)+1+57,M140:N331,2,FALSE))/12,4)</f>
        <v>8.6598000000000006</v>
      </c>
      <c r="R222">
        <v>75</v>
      </c>
      <c r="S222" s="73">
        <v>1.7084999999999999</v>
      </c>
      <c r="U222">
        <v>82</v>
      </c>
      <c r="V222" s="73">
        <f>ROUND((V140+U222/12),4)</f>
        <v>63.833300000000001</v>
      </c>
      <c r="W222" s="73">
        <f>ROUND(VLOOKUP(TRUNC(U222/12,0)+57,V140:W331,2,FALSE)-MOD(U222,12)*(VLOOKUP(TRUNC(U222/12,0)+57,V140:W331,2,FALSE)-VLOOKUP(TRUNC(U222/12,0)+1+57,V140:W331,2,FALSE))/12,4)</f>
        <v>10.136200000000001</v>
      </c>
      <c r="Z222">
        <v>75</v>
      </c>
      <c r="AA222" s="73">
        <v>1.778</v>
      </c>
      <c r="AC222">
        <v>82</v>
      </c>
      <c r="AD222" s="73">
        <f>ROUND((AD140+AC222/12),4)</f>
        <v>63.833300000000001</v>
      </c>
      <c r="AE222" s="73">
        <f>ROUND(VLOOKUP(TRUNC(AC222/12,0)+57,AD140:AE331,2,FALSE)-MOD(AC222,12)*(VLOOKUP(TRUNC(AC222/12,0)+57,AD140:AE331,2,FALSE)-VLOOKUP(TRUNC(AC222/12,0)+1+57,AD140:AE331,2,FALSE))/12,4)</f>
        <v>10.136200000000001</v>
      </c>
      <c r="AH222">
        <v>75</v>
      </c>
      <c r="AI222" s="73">
        <v>1.9593</v>
      </c>
      <c r="AK222">
        <v>82</v>
      </c>
      <c r="AL222" s="73">
        <f>ROUND((AL140+AK222/12),4)</f>
        <v>63.833300000000001</v>
      </c>
      <c r="AM222" s="73">
        <f>ROUND(VLOOKUP(TRUNC(AK222/12,0)+57,AL140:AM331,2,FALSE)-MOD(AK222,12)*(VLOOKUP(TRUNC(AK222/12,0)+57,AL140:AM331,2,FALSE)-VLOOKUP(TRUNC(AK222/12,0)+1+57,AL140:AM331,2,FALSE))/12,4)</f>
        <v>8.6598000000000006</v>
      </c>
      <c r="AR222" s="73"/>
    </row>
    <row r="223" spans="1:44" x14ac:dyDescent="0.2">
      <c r="A223">
        <v>76</v>
      </c>
      <c r="B223" s="73">
        <v>1.7151000000000001</v>
      </c>
      <c r="D223">
        <v>83</v>
      </c>
      <c r="E223" s="73">
        <f>ROUND((E140+D223/12),4)</f>
        <v>63.916699999999999</v>
      </c>
      <c r="F223" s="73">
        <f>ROUND(VLOOKUP(TRUNC(D223/12,0)+57,E140:F331,2,FALSE)-MOD(D223,12)*(VLOOKUP(TRUNC(D223/12,0)+57,E140:F331,2,FALSE)-VLOOKUP(TRUNC(D223/12,0)+1+57,E140:F331,2,FALSE))/12,4)</f>
        <v>10.288600000000001</v>
      </c>
      <c r="I223">
        <v>76</v>
      </c>
      <c r="J223" s="73">
        <v>1.9691000000000001</v>
      </c>
      <c r="L223">
        <v>83</v>
      </c>
      <c r="M223" s="73">
        <f>ROUND((M140+L223/12),4)</f>
        <v>63.916699999999999</v>
      </c>
      <c r="N223" s="73">
        <f>ROUND(VLOOKUP(TRUNC(L223/12,0)+57,M140:N331,2,FALSE)-MOD(L223,12)*(VLOOKUP(TRUNC(L223/12,0)+57,M140:N331,2,FALSE)-VLOOKUP(TRUNC(L223/12,0)+1+57,M140:N331,2,FALSE))/12,4)</f>
        <v>8.6416000000000004</v>
      </c>
      <c r="R223">
        <v>76</v>
      </c>
      <c r="S223" s="73">
        <v>1.7215</v>
      </c>
      <c r="U223">
        <v>83</v>
      </c>
      <c r="V223" s="73">
        <f>ROUND((V140+U223/12),4)</f>
        <v>63.916699999999999</v>
      </c>
      <c r="W223" s="73">
        <f>ROUND(VLOOKUP(TRUNC(U223/12,0)+57,V140:W331,2,FALSE)-MOD(U223,12)*(VLOOKUP(TRUNC(U223/12,0)+57,V140:W331,2,FALSE)-VLOOKUP(TRUNC(U223/12,0)+1+57,V140:W331,2,FALSE))/12,4)</f>
        <v>10.117900000000001</v>
      </c>
      <c r="Z223">
        <v>76</v>
      </c>
      <c r="AA223" s="73">
        <v>1.7925</v>
      </c>
      <c r="AC223">
        <v>83</v>
      </c>
      <c r="AD223" s="73">
        <f>ROUND((AD140+AC223/12),4)</f>
        <v>63.916699999999999</v>
      </c>
      <c r="AE223" s="73">
        <f>ROUND(VLOOKUP(TRUNC(AC223/12,0)+57,AD140:AE331,2,FALSE)-MOD(AC223,12)*(VLOOKUP(TRUNC(AC223/12,0)+57,AD140:AE331,2,FALSE)-VLOOKUP(TRUNC(AC223/12,0)+1+57,AD140:AE331,2,FALSE))/12,4)</f>
        <v>10.117900000000001</v>
      </c>
      <c r="AH223">
        <v>76</v>
      </c>
      <c r="AI223" s="73">
        <v>1.9787999999999999</v>
      </c>
      <c r="AK223">
        <v>83</v>
      </c>
      <c r="AL223" s="73">
        <f>ROUND((AL140+AK223/12),4)</f>
        <v>63.916699999999999</v>
      </c>
      <c r="AM223" s="73">
        <f>ROUND(VLOOKUP(TRUNC(AK223/12,0)+57,AL140:AM331,2,FALSE)-MOD(AK223,12)*(VLOOKUP(TRUNC(AK223/12,0)+57,AL140:AM331,2,FALSE)-VLOOKUP(TRUNC(AK223/12,0)+1+57,AL140:AM331,2,FALSE))/12,4)</f>
        <v>8.6416000000000004</v>
      </c>
      <c r="AR223" s="73"/>
    </row>
    <row r="224" spans="1:44" x14ac:dyDescent="0.2">
      <c r="A224">
        <v>77</v>
      </c>
      <c r="B224" s="73">
        <v>1.7278</v>
      </c>
      <c r="D224">
        <v>84</v>
      </c>
      <c r="E224" s="73">
        <f>ROUND((E140+D224/12),4)</f>
        <v>64</v>
      </c>
      <c r="F224" s="73">
        <f>[1]!NPVF("Mp","SLA","N",B140:C140,"M",E224,E224,0,0,0,0,A140,A140,"P","","")</f>
        <v>10.271239240355779</v>
      </c>
      <c r="I224">
        <v>77</v>
      </c>
      <c r="J224" s="73">
        <v>1.9883</v>
      </c>
      <c r="L224">
        <v>84</v>
      </c>
      <c r="M224" s="73">
        <f>ROUND((M140+L224/12),4)</f>
        <v>64</v>
      </c>
      <c r="N224" s="73">
        <f>[1]!NPVF("Mp","SLA","N",J140:K140,"M",M224,M224,0,0,0,0,I140,I140,"P","","")</f>
        <v>8.6232874075688972</v>
      </c>
      <c r="R224">
        <v>77</v>
      </c>
      <c r="S224" s="73">
        <v>1.7344999999999999</v>
      </c>
      <c r="U224">
        <v>84</v>
      </c>
      <c r="V224" s="73">
        <f>ROUND((V140+U224/12),4)</f>
        <v>64</v>
      </c>
      <c r="W224" s="73">
        <f>[1]!NPVF("Mp","SLA","N",S140:T140,"M",V224,V224,0,0,0,0,R140,R140,"P","","")</f>
        <v>10.099572939722544</v>
      </c>
      <c r="Z224">
        <v>77</v>
      </c>
      <c r="AA224" s="73">
        <v>1.8070999999999999</v>
      </c>
      <c r="AC224">
        <v>84</v>
      </c>
      <c r="AD224" s="73">
        <f>ROUND((AD140+AC224/12),4)</f>
        <v>64</v>
      </c>
      <c r="AE224" s="73">
        <f>[1]!NPVF("Mp","SLA","N",AA140:AB140,"M",AD224,AD224,0,0,0,0,Z140,Z140,"P","","")</f>
        <v>10.099572939722544</v>
      </c>
      <c r="AH224">
        <v>77</v>
      </c>
      <c r="AI224" s="73">
        <v>1.9983</v>
      </c>
      <c r="AK224">
        <v>84</v>
      </c>
      <c r="AL224" s="73">
        <f>ROUND((AL140+AK224/12),4)</f>
        <v>64</v>
      </c>
      <c r="AM224" s="73">
        <f>[1]!NPVF("Mp","SLA","N",AI140:AJ140,"M",AL224,AL224,0,0,0,0,AH140,AH140,"P","","")</f>
        <v>8.6232874075688972</v>
      </c>
      <c r="AR224" s="73"/>
    </row>
    <row r="225" spans="1:44" x14ac:dyDescent="0.2">
      <c r="A225">
        <v>78</v>
      </c>
      <c r="B225" s="73">
        <v>1.7404999999999999</v>
      </c>
      <c r="D225">
        <v>85</v>
      </c>
      <c r="E225" s="73">
        <f>ROUND((E140+D225/12),4)</f>
        <v>64.083299999999994</v>
      </c>
      <c r="F225" s="73">
        <f>ROUND(VLOOKUP(TRUNC(D225/12,0)+57,E140:F331,2,FALSE)-MOD(D225,12)*(VLOOKUP(TRUNC(D225/12,0)+57,E140:F331,2,FALSE)-VLOOKUP(TRUNC(D225/12,0)+1+57,E140:F331,2,FALSE))/12,4)</f>
        <v>10.2536</v>
      </c>
      <c r="I225">
        <v>78</v>
      </c>
      <c r="J225" s="73">
        <v>2.0074999999999998</v>
      </c>
      <c r="L225">
        <v>85</v>
      </c>
      <c r="M225" s="73">
        <f>ROUND((M140+L225/12),4)</f>
        <v>64.083299999999994</v>
      </c>
      <c r="N225" s="73">
        <f>ROUND(VLOOKUP(TRUNC(L225/12,0)+57,M140:N331,2,FALSE)-MOD(L225,12)*(VLOOKUP(TRUNC(L225/12,0)+57,M140:N331,2,FALSE)-VLOOKUP(TRUNC(L225/12,0)+1+57,M140:N331,2,FALSE))/12,4)</f>
        <v>8.6045999999999996</v>
      </c>
      <c r="R225">
        <v>78</v>
      </c>
      <c r="S225" s="73">
        <v>1.7475000000000001</v>
      </c>
      <c r="U225">
        <v>85</v>
      </c>
      <c r="V225" s="73">
        <f>ROUND((V140+U225/12),4)</f>
        <v>64.083299999999994</v>
      </c>
      <c r="W225" s="73">
        <f>ROUND(VLOOKUP(TRUNC(U225/12,0)+57,V140:W331,2,FALSE)-MOD(U225,12)*(VLOOKUP(TRUNC(U225/12,0)+57,V140:W331,2,FALSE)-VLOOKUP(TRUNC(U225/12,0)+1+57,V140:W331,2,FALSE))/12,4)</f>
        <v>10.0807</v>
      </c>
      <c r="Z225">
        <v>78</v>
      </c>
      <c r="AA225" s="73">
        <v>1.8216000000000001</v>
      </c>
      <c r="AC225">
        <v>85</v>
      </c>
      <c r="AD225" s="73">
        <f>ROUND((AD140+AC225/12),4)</f>
        <v>64.083299999999994</v>
      </c>
      <c r="AE225" s="73">
        <f>ROUND(VLOOKUP(TRUNC(AC225/12,0)+57,AD140:AE331,2,FALSE)-MOD(AC225,12)*(VLOOKUP(TRUNC(AC225/12,0)+57,AD140:AE331,2,FALSE)-VLOOKUP(TRUNC(AC225/12,0)+1+57,AD140:AE331,2,FALSE))/12,4)</f>
        <v>10.0807</v>
      </c>
      <c r="AH225">
        <v>78</v>
      </c>
      <c r="AI225" s="73">
        <v>2.0177999999999998</v>
      </c>
      <c r="AK225">
        <v>85</v>
      </c>
      <c r="AL225" s="73">
        <f>ROUND((AL140+AK225/12),4)</f>
        <v>64.083299999999994</v>
      </c>
      <c r="AM225" s="73">
        <f>ROUND(VLOOKUP(TRUNC(AK225/12,0)+57,AL140:AM331,2,FALSE)-MOD(AK225,12)*(VLOOKUP(TRUNC(AK225/12,0)+57,AL140:AM331,2,FALSE)-VLOOKUP(TRUNC(AK225/12,0)+1+57,AL140:AM331,2,FALSE))/12,4)</f>
        <v>8.6045999999999996</v>
      </c>
      <c r="AR225" s="73"/>
    </row>
    <row r="226" spans="1:44" x14ac:dyDescent="0.2">
      <c r="A226">
        <v>79</v>
      </c>
      <c r="B226" s="73">
        <v>1.7532000000000001</v>
      </c>
      <c r="D226">
        <v>86</v>
      </c>
      <c r="E226" s="73">
        <f>ROUND((E140+D226/12),4)</f>
        <v>64.166700000000006</v>
      </c>
      <c r="F226" s="73">
        <f>ROUND(VLOOKUP(TRUNC(D226/12,0)+57,E140:F331,2,FALSE)-MOD(D226,12)*(VLOOKUP(TRUNC(D226/12,0)+57,E140:F331,2,FALSE)-VLOOKUP(TRUNC(D226/12,0)+1+57,E140:F331,2,FALSE))/12,4)</f>
        <v>10.235900000000001</v>
      </c>
      <c r="I226">
        <v>79</v>
      </c>
      <c r="J226" s="73">
        <v>2.0266999999999999</v>
      </c>
      <c r="L226">
        <v>86</v>
      </c>
      <c r="M226" s="73">
        <f>ROUND((M140+L226/12),4)</f>
        <v>64.166700000000006</v>
      </c>
      <c r="N226" s="73">
        <f>ROUND(VLOOKUP(TRUNC(L226/12,0)+57,M140:N331,2,FALSE)-MOD(L226,12)*(VLOOKUP(TRUNC(L226/12,0)+57,M140:N331,2,FALSE)-VLOOKUP(TRUNC(L226/12,0)+1+57,M140:N331,2,FALSE))/12,4)</f>
        <v>8.5860000000000003</v>
      </c>
      <c r="R226">
        <v>79</v>
      </c>
      <c r="S226" s="73">
        <v>1.7604</v>
      </c>
      <c r="U226">
        <v>86</v>
      </c>
      <c r="V226" s="73">
        <f>ROUND((V140+U226/12),4)</f>
        <v>64.166700000000006</v>
      </c>
      <c r="W226" s="73">
        <f>ROUND(VLOOKUP(TRUNC(U226/12,0)+57,V140:W331,2,FALSE)-MOD(U226,12)*(VLOOKUP(TRUNC(U226/12,0)+57,V140:W331,2,FALSE)-VLOOKUP(TRUNC(U226/12,0)+1+57,V140:W331,2,FALSE))/12,4)</f>
        <v>10.0619</v>
      </c>
      <c r="Z226">
        <v>79</v>
      </c>
      <c r="AA226" s="73">
        <v>1.8362000000000001</v>
      </c>
      <c r="AC226">
        <v>86</v>
      </c>
      <c r="AD226" s="73">
        <f>ROUND((AD140+AC226/12),4)</f>
        <v>64.166700000000006</v>
      </c>
      <c r="AE226" s="73">
        <f>ROUND(VLOOKUP(TRUNC(AC226/12,0)+57,AD140:AE331,2,FALSE)-MOD(AC226,12)*(VLOOKUP(TRUNC(AC226/12,0)+57,AD140:AE331,2,FALSE)-VLOOKUP(TRUNC(AC226/12,0)+1+57,AD140:AE331,2,FALSE))/12,4)</f>
        <v>10.0619</v>
      </c>
      <c r="AH226">
        <v>79</v>
      </c>
      <c r="AI226" s="73">
        <v>2.0371999999999999</v>
      </c>
      <c r="AK226">
        <v>86</v>
      </c>
      <c r="AL226" s="73">
        <f>ROUND((AL140+AK226/12),4)</f>
        <v>64.166700000000006</v>
      </c>
      <c r="AM226" s="73">
        <f>ROUND(VLOOKUP(TRUNC(AK226/12,0)+57,AL140:AM331,2,FALSE)-MOD(AK226,12)*(VLOOKUP(TRUNC(AK226/12,0)+57,AL140:AM331,2,FALSE)-VLOOKUP(TRUNC(AK226/12,0)+1+57,AL140:AM331,2,FALSE))/12,4)</f>
        <v>8.5860000000000003</v>
      </c>
      <c r="AR226" s="73"/>
    </row>
    <row r="227" spans="1:44" x14ac:dyDescent="0.2">
      <c r="A227">
        <v>80</v>
      </c>
      <c r="B227" s="73">
        <v>1.7659</v>
      </c>
      <c r="D227">
        <v>87</v>
      </c>
      <c r="E227" s="73">
        <f>ROUND((E140+D227/12),4)</f>
        <v>64.25</v>
      </c>
      <c r="F227" s="73">
        <f>ROUND(VLOOKUP(TRUNC(D227/12,0)+57,E140:F331,2,FALSE)-MOD(D227,12)*(VLOOKUP(TRUNC(D227/12,0)+57,E140:F331,2,FALSE)-VLOOKUP(TRUNC(D227/12,0)+1+57,E140:F331,2,FALSE))/12,4)</f>
        <v>10.2182</v>
      </c>
      <c r="I227">
        <v>80</v>
      </c>
      <c r="J227" s="73">
        <v>2.0459000000000001</v>
      </c>
      <c r="L227">
        <v>87</v>
      </c>
      <c r="M227" s="73">
        <f>ROUND((M140+L227/12),4)</f>
        <v>64.25</v>
      </c>
      <c r="N227" s="73">
        <f>ROUND(VLOOKUP(TRUNC(L227/12,0)+57,M140:N331,2,FALSE)-MOD(L227,12)*(VLOOKUP(TRUNC(L227/12,0)+57,M140:N331,2,FALSE)-VLOOKUP(TRUNC(L227/12,0)+1+57,M140:N331,2,FALSE))/12,4)</f>
        <v>8.5672999999999995</v>
      </c>
      <c r="R227">
        <v>80</v>
      </c>
      <c r="S227" s="73">
        <v>1.7734000000000001</v>
      </c>
      <c r="U227">
        <v>87</v>
      </c>
      <c r="V227" s="73">
        <f>ROUND((V140+U227/12),4)</f>
        <v>64.25</v>
      </c>
      <c r="W227" s="73">
        <f>ROUND(VLOOKUP(TRUNC(U227/12,0)+57,V140:W331,2,FALSE)-MOD(U227,12)*(VLOOKUP(TRUNC(U227/12,0)+57,V140:W331,2,FALSE)-VLOOKUP(TRUNC(U227/12,0)+1+57,V140:W331,2,FALSE))/12,4)</f>
        <v>10.042999999999999</v>
      </c>
      <c r="Z227">
        <v>80</v>
      </c>
      <c r="AA227" s="73">
        <v>1.8507</v>
      </c>
      <c r="AC227">
        <v>87</v>
      </c>
      <c r="AD227" s="73">
        <f>ROUND((AD140+AC227/12),4)</f>
        <v>64.25</v>
      </c>
      <c r="AE227" s="73">
        <f>ROUND(VLOOKUP(TRUNC(AC227/12,0)+57,AD140:AE331,2,FALSE)-MOD(AC227,12)*(VLOOKUP(TRUNC(AC227/12,0)+57,AD140:AE331,2,FALSE)-VLOOKUP(TRUNC(AC227/12,0)+1+57,AD140:AE331,2,FALSE))/12,4)</f>
        <v>10.042999999999999</v>
      </c>
      <c r="AH227">
        <v>80</v>
      </c>
      <c r="AI227" s="73">
        <v>2.0567000000000002</v>
      </c>
      <c r="AK227">
        <v>87</v>
      </c>
      <c r="AL227" s="73">
        <f>ROUND((AL140+AK227/12),4)</f>
        <v>64.25</v>
      </c>
      <c r="AM227" s="73">
        <f>ROUND(VLOOKUP(TRUNC(AK227/12,0)+57,AL140:AM331,2,FALSE)-MOD(AK227,12)*(VLOOKUP(TRUNC(AK227/12,0)+57,AL140:AM331,2,FALSE)-VLOOKUP(TRUNC(AK227/12,0)+1+57,AL140:AM331,2,FALSE))/12,4)</f>
        <v>8.5672999999999995</v>
      </c>
      <c r="AR227" s="73"/>
    </row>
    <row r="228" spans="1:44" x14ac:dyDescent="0.2">
      <c r="A228">
        <v>81</v>
      </c>
      <c r="B228" s="73">
        <v>1.7786999999999999</v>
      </c>
      <c r="D228">
        <v>88</v>
      </c>
      <c r="E228" s="73">
        <f>ROUND(E140+D228/12,4)</f>
        <v>64.333299999999994</v>
      </c>
      <c r="F228" s="73">
        <f>ROUND(VLOOKUP(TRUNC(D228/12,0)+57,E140:F331,2,FALSE)-MOD(D228,12)*(VLOOKUP(TRUNC(D228/12,0)+57,E140:F331,2,FALSE)-VLOOKUP(TRUNC(D228/12,0)+1+57,E140:F331,2,FALSE))/12,4)</f>
        <v>10.2005</v>
      </c>
      <c r="I228">
        <v>81</v>
      </c>
      <c r="J228" s="73">
        <v>2.0651999999999999</v>
      </c>
      <c r="L228">
        <v>88</v>
      </c>
      <c r="M228" s="73">
        <f>ROUND(M140+L228/12,4)</f>
        <v>64.333299999999994</v>
      </c>
      <c r="N228" s="73">
        <f>ROUND(VLOOKUP(TRUNC(L228/12,0)+57,M140:N331,2,FALSE)-MOD(L228,12)*(VLOOKUP(TRUNC(L228/12,0)+57,M140:N331,2,FALSE)-VLOOKUP(TRUNC(L228/12,0)+1+57,M140:N331,2,FALSE))/12,4)</f>
        <v>8.5486000000000004</v>
      </c>
      <c r="R228">
        <v>81</v>
      </c>
      <c r="S228" s="73">
        <v>1.7864</v>
      </c>
      <c r="U228">
        <v>88</v>
      </c>
      <c r="V228" s="73">
        <f>ROUND(V140+U228/12,4)</f>
        <v>64.333299999999994</v>
      </c>
      <c r="W228" s="73">
        <f>ROUND(VLOOKUP(TRUNC(U228/12,0)+57,V140:W331,2,FALSE)-MOD(U228,12)*(VLOOKUP(TRUNC(U228/12,0)+57,V140:W331,2,FALSE)-VLOOKUP(TRUNC(U228/12,0)+1+57,V140:W331,2,FALSE))/12,4)</f>
        <v>10.024100000000001</v>
      </c>
      <c r="Z228">
        <v>81</v>
      </c>
      <c r="AA228" s="73">
        <v>1.8653</v>
      </c>
      <c r="AC228">
        <v>88</v>
      </c>
      <c r="AD228" s="73">
        <f>ROUND(AD140+AC228/12,4)</f>
        <v>64.333299999999994</v>
      </c>
      <c r="AE228" s="73">
        <f>ROUND(VLOOKUP(TRUNC(AC228/12,0)+57,AD140:AE331,2,FALSE)-MOD(AC228,12)*(VLOOKUP(TRUNC(AC228/12,0)+57,AD140:AE331,2,FALSE)-VLOOKUP(TRUNC(AC228/12,0)+1+57,AD140:AE331,2,FALSE))/12,4)</f>
        <v>10.024100000000001</v>
      </c>
      <c r="AH228">
        <v>81</v>
      </c>
      <c r="AI228" s="73">
        <v>2.0762</v>
      </c>
      <c r="AK228">
        <v>88</v>
      </c>
      <c r="AL228" s="73">
        <f>ROUND(AL140+AK228/12,4)</f>
        <v>64.333299999999994</v>
      </c>
      <c r="AM228" s="73">
        <f>ROUND(VLOOKUP(TRUNC(AK228/12,0)+57,AL140:AM331,2,FALSE)-MOD(AK228,12)*(VLOOKUP(TRUNC(AK228/12,0)+57,AL140:AM331,2,FALSE)-VLOOKUP(TRUNC(AK228/12,0)+1+57,AL140:AM331,2,FALSE))/12,4)</f>
        <v>8.5486000000000004</v>
      </c>
      <c r="AR228" s="73"/>
    </row>
    <row r="229" spans="1:44" x14ac:dyDescent="0.2">
      <c r="A229">
        <v>82</v>
      </c>
      <c r="B229" s="73">
        <v>1.7914000000000001</v>
      </c>
      <c r="D229">
        <v>89</v>
      </c>
      <c r="E229" s="73">
        <f>ROUND((E140+D229/12),4)</f>
        <v>64.416700000000006</v>
      </c>
      <c r="F229" s="73">
        <f>ROUND(VLOOKUP(TRUNC(D229/12,0)+57,E140:F331,2,FALSE)-MOD(D229,12)*(VLOOKUP(TRUNC(D229/12,0)+57,E140:F331,2,FALSE)-VLOOKUP(TRUNC(D229/12,0)+1+57,E140:F331,2,FALSE))/12,4)</f>
        <v>10.1828</v>
      </c>
      <c r="I229">
        <v>82</v>
      </c>
      <c r="J229" s="73">
        <v>2.0844</v>
      </c>
      <c r="L229">
        <v>89</v>
      </c>
      <c r="M229" s="73">
        <f>ROUND((M140+L229/12),4)</f>
        <v>64.416700000000006</v>
      </c>
      <c r="N229" s="73">
        <f>ROUND(VLOOKUP(TRUNC(L229/12,0)+57,M140:N331,2,FALSE)-MOD(L229,12)*(VLOOKUP(TRUNC(L229/12,0)+57,M140:N331,2,FALSE)-VLOOKUP(TRUNC(L229/12,0)+1+57,M140:N331,2,FALSE))/12,4)</f>
        <v>8.5299999999999994</v>
      </c>
      <c r="R229">
        <v>82</v>
      </c>
      <c r="S229" s="73">
        <v>1.7994000000000001</v>
      </c>
      <c r="U229">
        <v>89</v>
      </c>
      <c r="V229" s="73">
        <f>ROUND((V140+U229/12),4)</f>
        <v>64.416700000000006</v>
      </c>
      <c r="W229" s="73">
        <f>ROUND(VLOOKUP(TRUNC(U229/12,0)+57,V140:W331,2,FALSE)-MOD(U229,12)*(VLOOKUP(TRUNC(U229/12,0)+57,V140:W331,2,FALSE)-VLOOKUP(TRUNC(U229/12,0)+1+57,V140:W331,2,FALSE))/12,4)</f>
        <v>10.0053</v>
      </c>
      <c r="Z229">
        <v>82</v>
      </c>
      <c r="AA229" s="73">
        <v>1.8797999999999999</v>
      </c>
      <c r="AC229">
        <v>89</v>
      </c>
      <c r="AD229" s="73">
        <f>ROUND((AD140+AC229/12),4)</f>
        <v>64.416700000000006</v>
      </c>
      <c r="AE229" s="73">
        <f>ROUND(VLOOKUP(TRUNC(AC229/12,0)+57,AD140:AE331,2,FALSE)-MOD(AC229,12)*(VLOOKUP(TRUNC(AC229/12,0)+57,AD140:AE331,2,FALSE)-VLOOKUP(TRUNC(AC229/12,0)+1+57,AD140:AE331,2,FALSE))/12,4)</f>
        <v>10.0053</v>
      </c>
      <c r="AH229">
        <v>82</v>
      </c>
      <c r="AI229" s="73">
        <v>2.0956999999999999</v>
      </c>
      <c r="AK229">
        <v>89</v>
      </c>
      <c r="AL229" s="73">
        <f>ROUND((AL140+AK229/12),4)</f>
        <v>64.416700000000006</v>
      </c>
      <c r="AM229" s="73">
        <f>ROUND(VLOOKUP(TRUNC(AK229/12,0)+57,AL140:AM331,2,FALSE)-MOD(AK229,12)*(VLOOKUP(TRUNC(AK229/12,0)+57,AL140:AM331,2,FALSE)-VLOOKUP(TRUNC(AK229/12,0)+1+57,AL140:AM331,2,FALSE))/12,4)</f>
        <v>8.5299999999999994</v>
      </c>
      <c r="AR229" s="73"/>
    </row>
    <row r="230" spans="1:44" x14ac:dyDescent="0.2">
      <c r="A230">
        <v>83</v>
      </c>
      <c r="B230" s="73">
        <v>1.8041</v>
      </c>
      <c r="D230">
        <v>90</v>
      </c>
      <c r="E230" s="73">
        <f>ROUND((E140+D230/12),4)</f>
        <v>64.5</v>
      </c>
      <c r="F230" s="73">
        <f>ROUND(VLOOKUP(TRUNC(D230/12,0)+57,E140:F331,2,FALSE)-MOD(D230,12)*(VLOOKUP(TRUNC(D230/12,0)+57,E140:F331,2,FALSE)-VLOOKUP(TRUNC(D230/12,0)+1+57,E140:F331,2,FALSE))/12,4)</f>
        <v>10.1652</v>
      </c>
      <c r="I230">
        <v>83</v>
      </c>
      <c r="J230" s="73">
        <v>2.1036000000000001</v>
      </c>
      <c r="L230">
        <v>90</v>
      </c>
      <c r="M230" s="73">
        <f>ROUND((M140+L230/12),4)</f>
        <v>64.5</v>
      </c>
      <c r="N230" s="73">
        <f>ROUND(VLOOKUP(TRUNC(L230/12,0)+57,M140:N331,2,FALSE)-MOD(L230,12)*(VLOOKUP(TRUNC(L230/12,0)+57,M140:N331,2,FALSE)-VLOOKUP(TRUNC(L230/12,0)+1+57,M140:N331,2,FALSE))/12,4)</f>
        <v>8.5113000000000003</v>
      </c>
      <c r="Q230">
        <f>ROUND(VLOOKUP(S142,V140:W320,2,FALSE)/(VLOOKUP(S142+R231/12,V140:W320,2,FALSE)*([1]!lx(R140,"M",S142+R231/12)/[1]!lx(R140,"M",S142))/((1+S140)^(R231/12))),4)</f>
        <v>1.9156</v>
      </c>
      <c r="R230">
        <v>83</v>
      </c>
      <c r="S230" s="73">
        <v>1.8123</v>
      </c>
      <c r="U230">
        <v>90</v>
      </c>
      <c r="V230" s="73">
        <f>ROUND((V140+U230/12),4)</f>
        <v>64.5</v>
      </c>
      <c r="W230" s="73">
        <f>ROUND(VLOOKUP(TRUNC(U230/12,0)+57,V140:W331,2,FALSE)-MOD(U230,12)*(VLOOKUP(TRUNC(U230/12,0)+57,V140:W331,2,FALSE)-VLOOKUP(TRUNC(U230/12,0)+1+57,V140:W331,2,FALSE))/12,4)</f>
        <v>9.9863999999999997</v>
      </c>
      <c r="Z230">
        <v>83</v>
      </c>
      <c r="AA230" s="73">
        <v>1.8944000000000001</v>
      </c>
      <c r="AC230">
        <v>90</v>
      </c>
      <c r="AD230" s="73">
        <f>ROUND((AD140+AC230/12),4)</f>
        <v>64.5</v>
      </c>
      <c r="AE230" s="73">
        <f>ROUND(VLOOKUP(TRUNC(AC230/12,0)+57,AD140:AE331,2,FALSE)-MOD(AC230,12)*(VLOOKUP(TRUNC(AC230/12,0)+57,AD140:AE331,2,FALSE)-VLOOKUP(TRUNC(AC230/12,0)+1+57,AD140:AE331,2,FALSE))/12,4)</f>
        <v>9.9863999999999997</v>
      </c>
      <c r="AH230">
        <v>83</v>
      </c>
      <c r="AI230" s="73">
        <v>2.1151</v>
      </c>
      <c r="AK230">
        <v>90</v>
      </c>
      <c r="AL230" s="73">
        <f>ROUND((AL140+AK230/12),4)</f>
        <v>64.5</v>
      </c>
      <c r="AM230" s="73">
        <f>ROUND(VLOOKUP(TRUNC(AK230/12,0)+57,AL140:AM331,2,FALSE)-MOD(AK230,12)*(VLOOKUP(TRUNC(AK230/12,0)+57,AL140:AM331,2,FALSE)-VLOOKUP(TRUNC(AK230/12,0)+1+57,AL140:AM331,2,FALSE))/12,4)</f>
        <v>8.5113000000000003</v>
      </c>
      <c r="AR230" s="73"/>
    </row>
    <row r="231" spans="1:44" x14ac:dyDescent="0.2">
      <c r="A231">
        <v>84</v>
      </c>
      <c r="B231" s="73">
        <v>1.8168</v>
      </c>
      <c r="D231">
        <v>91</v>
      </c>
      <c r="E231" s="73">
        <f>ROUND((E140+D231/12),4)</f>
        <v>64.583299999999994</v>
      </c>
      <c r="F231" s="73">
        <f>ROUND(VLOOKUP(TRUNC(D231/12,0)+57,E140:F331,2,FALSE)-MOD(D231,12)*(VLOOKUP(TRUNC(D231/12,0)+57,E140:F331,2,FALSE)-VLOOKUP(TRUNC(D231/12,0)+1+57,E140:F331,2,FALSE))/12,4)</f>
        <v>10.147500000000001</v>
      </c>
      <c r="I231">
        <v>84</v>
      </c>
      <c r="J231" s="73">
        <v>2.1227999999999998</v>
      </c>
      <c r="L231">
        <v>91</v>
      </c>
      <c r="M231" s="73">
        <f>ROUND((M140+L231/12),4)</f>
        <v>64.583299999999994</v>
      </c>
      <c r="N231" s="73">
        <f>ROUND(VLOOKUP(TRUNC(L231/12,0)+57,M140:N331,2,FALSE)-MOD(L231,12)*(VLOOKUP(TRUNC(L231/12,0)+57,M140:N331,2,FALSE)-VLOOKUP(TRUNC(L231/12,0)+1+57,M140:N331,2,FALSE))/12,4)</f>
        <v>8.4926999999999992</v>
      </c>
      <c r="Q231">
        <f>VLOOKUP(S142,V140:W320,2,FALSE)</f>
        <v>11.480151809972915</v>
      </c>
      <c r="R231">
        <v>84</v>
      </c>
      <c r="S231" s="73">
        <v>1.8252999999999999</v>
      </c>
      <c r="U231">
        <v>91</v>
      </c>
      <c r="V231" s="73">
        <f>ROUND((V140+U231/12),4)</f>
        <v>64.583299999999994</v>
      </c>
      <c r="W231" s="73">
        <f>ROUND(VLOOKUP(TRUNC(U231/12,0)+57,V140:W331,2,FALSE)-MOD(U231,12)*(VLOOKUP(TRUNC(U231/12,0)+57,V140:W331,2,FALSE)-VLOOKUP(TRUNC(U231/12,0)+1+57,V140:W331,2,FALSE))/12,4)</f>
        <v>9.9675999999999991</v>
      </c>
      <c r="Z231">
        <v>84</v>
      </c>
      <c r="AA231" s="73">
        <v>1.9089</v>
      </c>
      <c r="AC231">
        <v>91</v>
      </c>
      <c r="AD231" s="73">
        <f>ROUND((AD140+AC231/12),4)</f>
        <v>64.583299999999994</v>
      </c>
      <c r="AE231" s="73">
        <f>ROUND(VLOOKUP(TRUNC(AC231/12,0)+57,AD140:AE331,2,FALSE)-MOD(AC231,12)*(VLOOKUP(TRUNC(AC231/12,0)+57,AD140:AE331,2,FALSE)-VLOOKUP(TRUNC(AC231/12,0)+1+57,AD140:AE331,2,FALSE))/12,4)</f>
        <v>9.9675999999999991</v>
      </c>
      <c r="AH231">
        <v>84</v>
      </c>
      <c r="AI231" s="73">
        <v>2.1345999999999998</v>
      </c>
      <c r="AK231">
        <v>91</v>
      </c>
      <c r="AL231" s="73">
        <f>ROUND((AL140+AK231/12),4)</f>
        <v>64.583299999999994</v>
      </c>
      <c r="AM231" s="73">
        <f>ROUND(VLOOKUP(TRUNC(AK231/12,0)+57,AL140:AM331,2,FALSE)-MOD(AK231,12)*(VLOOKUP(TRUNC(AK231/12,0)+57,AL140:AM331,2,FALSE)-VLOOKUP(TRUNC(AK231/12,0)+1+57,AL140:AM331,2,FALSE))/12,4)</f>
        <v>8.4926999999999992</v>
      </c>
      <c r="AR231" s="73"/>
    </row>
    <row r="232" spans="1:44" x14ac:dyDescent="0.2">
      <c r="A232">
        <v>85</v>
      </c>
      <c r="B232" s="73">
        <v>1.8308</v>
      </c>
      <c r="D232">
        <v>92</v>
      </c>
      <c r="E232" s="73">
        <f>ROUND((E140+D232/12),4)</f>
        <v>64.666700000000006</v>
      </c>
      <c r="F232" s="73">
        <f>ROUND(VLOOKUP(TRUNC(D232/12,0)+57,E140:F331,2,FALSE)-MOD(D232,12)*(VLOOKUP(TRUNC(D232/12,0)+57,E140:F331,2,FALSE)-VLOOKUP(TRUNC(D232/12,0)+1+57,E140:F331,2,FALSE))/12,4)</f>
        <v>10.129799999999999</v>
      </c>
      <c r="I232">
        <v>85</v>
      </c>
      <c r="J232" s="73">
        <v>2.145</v>
      </c>
      <c r="L232">
        <v>92</v>
      </c>
      <c r="M232" s="73">
        <f>ROUND((M140+L232/12),4)</f>
        <v>64.666700000000006</v>
      </c>
      <c r="N232" s="73">
        <f>ROUND(VLOOKUP(TRUNC(L232/12,0)+57,M140:N331,2,FALSE)-MOD(L232,12)*(VLOOKUP(TRUNC(L232/12,0)+57,M140:N331,2,FALSE)-VLOOKUP(TRUNC(L232/12,0)+1+57,M140:N331,2,FALSE))/12,4)</f>
        <v>8.4740000000000002</v>
      </c>
      <c r="Q232">
        <f>VLOOKUP(ROUND((S142+R231/12),4),V140:W320,2,FALSE)</f>
        <v>10.099572939722544</v>
      </c>
      <c r="R232">
        <v>85</v>
      </c>
      <c r="S232" s="73">
        <v>1.8396999999999999</v>
      </c>
      <c r="U232">
        <v>92</v>
      </c>
      <c r="V232" s="73">
        <f>ROUND((V140+U232/12),4)</f>
        <v>64.666700000000006</v>
      </c>
      <c r="W232" s="73">
        <f>ROUND(VLOOKUP(TRUNC(U232/12,0)+57,V140:W331,2,FALSE)-MOD(U232,12)*(VLOOKUP(TRUNC(U232/12,0)+57,V140:W331,2,FALSE)-VLOOKUP(TRUNC(U232/12,0)+1+57,V140:W331,2,FALSE))/12,4)</f>
        <v>9.9487000000000005</v>
      </c>
      <c r="Z232">
        <v>85</v>
      </c>
      <c r="AA232" s="73">
        <v>1.9251</v>
      </c>
      <c r="AC232">
        <v>92</v>
      </c>
      <c r="AD232" s="73">
        <f>ROUND((AD140+AC232/12),4)</f>
        <v>64.666700000000006</v>
      </c>
      <c r="AE232" s="73">
        <f>ROUND(VLOOKUP(TRUNC(AC232/12,0)+57,AD140:AE331,2,FALSE)-MOD(AC232,12)*(VLOOKUP(TRUNC(AC232/12,0)+57,AD140:AE331,2,FALSE)-VLOOKUP(TRUNC(AC232/12,0)+1+57,AD140:AE331,2,FALSE))/12,4)</f>
        <v>9.9487000000000005</v>
      </c>
      <c r="AH232">
        <v>85</v>
      </c>
      <c r="AI232" s="73">
        <v>2.1570999999999998</v>
      </c>
      <c r="AK232">
        <v>92</v>
      </c>
      <c r="AL232" s="73">
        <f>ROUND((AL140+AK232/12),4)</f>
        <v>64.666700000000006</v>
      </c>
      <c r="AM232" s="73">
        <f>ROUND(VLOOKUP(TRUNC(AK232/12,0)+57,AL140:AM331,2,FALSE)-MOD(AK232,12)*(VLOOKUP(TRUNC(AK232/12,0)+57,AL140:AM331,2,FALSE)-VLOOKUP(TRUNC(AK232/12,0)+1+57,AL140:AM331,2,FALSE))/12,4)</f>
        <v>8.4740000000000002</v>
      </c>
      <c r="AR232" s="73"/>
    </row>
    <row r="233" spans="1:44" x14ac:dyDescent="0.2">
      <c r="A233">
        <v>86</v>
      </c>
      <c r="B233" s="73">
        <v>1.8448</v>
      </c>
      <c r="D233">
        <v>93</v>
      </c>
      <c r="E233" s="73">
        <f>ROUND((E140+D233/12),4)</f>
        <v>64.75</v>
      </c>
      <c r="F233" s="73">
        <f>ROUND(VLOOKUP(TRUNC(D233/12,0)+57,E140:F331,2,FALSE)-MOD(D233,12)*(VLOOKUP(TRUNC(D233/12,0)+57,E140:F331,2,FALSE)-VLOOKUP(TRUNC(D233/12,0)+1+57,E140:F331,2,FALSE))/12,4)</f>
        <v>10.1121</v>
      </c>
      <c r="I233">
        <v>86</v>
      </c>
      <c r="J233" s="73">
        <v>2.1671</v>
      </c>
      <c r="L233">
        <v>93</v>
      </c>
      <c r="M233" s="73">
        <f>ROUND((M140+L233/12),4)</f>
        <v>64.75</v>
      </c>
      <c r="N233" s="73">
        <f>ROUND(VLOOKUP(TRUNC(L233/12,0)+57,M140:N331,2,FALSE)-MOD(L233,12)*(VLOOKUP(TRUNC(L233/12,0)+57,M140:N331,2,FALSE)-VLOOKUP(TRUNC(L233/12,0)+1+57,M140:N331,2,FALSE))/12,4)</f>
        <v>8.4552999999999994</v>
      </c>
      <c r="Q233">
        <f>VLOOKUP(57+R231/12,V140:W320,2,FALSE)</f>
        <v>10.099572939722544</v>
      </c>
      <c r="R233">
        <v>86</v>
      </c>
      <c r="S233" s="73">
        <v>1.8541000000000001</v>
      </c>
      <c r="U233">
        <v>93</v>
      </c>
      <c r="V233" s="73">
        <f>ROUND((V140+U233/12),4)</f>
        <v>64.75</v>
      </c>
      <c r="W233" s="73">
        <f>ROUND(VLOOKUP(TRUNC(U233/12,0)+57,V140:W331,2,FALSE)-MOD(U233,12)*(VLOOKUP(TRUNC(U233/12,0)+57,V140:W331,2,FALSE)-VLOOKUP(TRUNC(U233/12,0)+1+57,V140:W331,2,FALSE))/12,4)</f>
        <v>9.9298000000000002</v>
      </c>
      <c r="Z233">
        <v>86</v>
      </c>
      <c r="AA233" s="73">
        <v>1.9414</v>
      </c>
      <c r="AC233">
        <v>93</v>
      </c>
      <c r="AD233" s="73">
        <f>ROUND((AD140+AC233/12),4)</f>
        <v>64.75</v>
      </c>
      <c r="AE233" s="73">
        <f>ROUND(VLOOKUP(TRUNC(AC233/12,0)+57,AD140:AE331,2,FALSE)-MOD(AC233,12)*(VLOOKUP(TRUNC(AC233/12,0)+57,AD140:AE331,2,FALSE)-VLOOKUP(TRUNC(AC233/12,0)+1+57,AD140:AE331,2,FALSE))/12,4)</f>
        <v>9.9298000000000002</v>
      </c>
      <c r="AH233">
        <v>86</v>
      </c>
      <c r="AI233" s="73">
        <v>2.1796000000000002</v>
      </c>
      <c r="AK233">
        <v>93</v>
      </c>
      <c r="AL233" s="73">
        <f>ROUND((AL140+AK233/12),4)</f>
        <v>64.75</v>
      </c>
      <c r="AM233" s="73">
        <f>ROUND(VLOOKUP(TRUNC(AK233/12,0)+57,AL140:AM331,2,FALSE)-MOD(AK233,12)*(VLOOKUP(TRUNC(AK233/12,0)+57,AL140:AM331,2,FALSE)-VLOOKUP(TRUNC(AK233/12,0)+1+57,AL140:AM331,2,FALSE))/12,4)</f>
        <v>8.4552999999999994</v>
      </c>
      <c r="AR233" s="73"/>
    </row>
    <row r="234" spans="1:44" x14ac:dyDescent="0.2">
      <c r="A234">
        <v>87</v>
      </c>
      <c r="B234" s="73">
        <v>1.8589</v>
      </c>
      <c r="D234">
        <v>94</v>
      </c>
      <c r="E234" s="73">
        <f>ROUND((E140+D234/12),4)</f>
        <v>64.833299999999994</v>
      </c>
      <c r="F234" s="73">
        <f>ROUND(VLOOKUP(TRUNC(D234/12,0)+57,E140:F331,2,FALSE)-MOD(D234,12)*(VLOOKUP(TRUNC(D234/12,0)+57,E140:F331,2,FALSE)-VLOOKUP(TRUNC(D234/12,0)+1+57,E140:F331,2,FALSE))/12,4)</f>
        <v>10.0944</v>
      </c>
      <c r="I234">
        <v>87</v>
      </c>
      <c r="J234" s="73">
        <v>2.1892999999999998</v>
      </c>
      <c r="L234">
        <v>94</v>
      </c>
      <c r="M234" s="73">
        <f>ROUND((M140+L234/12),4)</f>
        <v>64.833299999999994</v>
      </c>
      <c r="N234" s="73">
        <f>ROUND(VLOOKUP(TRUNC(L234/12,0)+57,M140:N331,2,FALSE)-MOD(L234,12)*(VLOOKUP(TRUNC(L234/12,0)+57,M140:N331,2,FALSE)-VLOOKUP(TRUNC(L234/12,0)+1+57,M140:N331,2,FALSE))/12,4)</f>
        <v>8.4367000000000001</v>
      </c>
      <c r="Q234">
        <f>VLOOKUP(64.3333,V140:W320,2,FALSE)</f>
        <v>10.024100000000001</v>
      </c>
      <c r="R234">
        <v>87</v>
      </c>
      <c r="S234" s="73">
        <v>1.8684000000000001</v>
      </c>
      <c r="U234">
        <v>94</v>
      </c>
      <c r="V234" s="73">
        <f>ROUND((V140+U234/12),4)</f>
        <v>64.833299999999994</v>
      </c>
      <c r="W234" s="73">
        <f>ROUND(VLOOKUP(TRUNC(U234/12,0)+57,V140:W331,2,FALSE)-MOD(U234,12)*(VLOOKUP(TRUNC(U234/12,0)+57,V140:W331,2,FALSE)-VLOOKUP(TRUNC(U234/12,0)+1+57,V140:W331,2,FALSE))/12,4)</f>
        <v>9.9109999999999996</v>
      </c>
      <c r="Z234">
        <v>87</v>
      </c>
      <c r="AA234" s="73">
        <v>1.9576</v>
      </c>
      <c r="AC234">
        <v>94</v>
      </c>
      <c r="AD234" s="73">
        <f>ROUND((AD140+AC234/12),4)</f>
        <v>64.833299999999994</v>
      </c>
      <c r="AE234" s="73">
        <f>ROUND(VLOOKUP(TRUNC(AC234/12,0)+57,AD140:AE331,2,FALSE)-MOD(AC234,12)*(VLOOKUP(TRUNC(AC234/12,0)+57,AD140:AE331,2,FALSE)-VLOOKUP(TRUNC(AC234/12,0)+1+57,AD140:AE331,2,FALSE))/12,4)</f>
        <v>9.9109999999999996</v>
      </c>
      <c r="AH234">
        <v>87</v>
      </c>
      <c r="AI234" s="73">
        <v>2.2021000000000002</v>
      </c>
      <c r="AK234">
        <v>94</v>
      </c>
      <c r="AL234" s="73">
        <f>ROUND((AL140+AK234/12),4)</f>
        <v>64.833299999999994</v>
      </c>
      <c r="AM234" s="73">
        <f>ROUND(VLOOKUP(TRUNC(AK234/12,0)+57,AL140:AM331,2,FALSE)-MOD(AK234,12)*(VLOOKUP(TRUNC(AK234/12,0)+57,AL140:AM331,2,FALSE)-VLOOKUP(TRUNC(AK234/12,0)+1+57,AL140:AM331,2,FALSE))/12,4)</f>
        <v>8.4367000000000001</v>
      </c>
      <c r="AR234" s="73"/>
    </row>
    <row r="235" spans="1:44" x14ac:dyDescent="0.2">
      <c r="A235">
        <v>88</v>
      </c>
      <c r="B235" s="73">
        <v>1.8729</v>
      </c>
      <c r="D235">
        <v>95</v>
      </c>
      <c r="E235" s="73">
        <f>ROUND((E140+D235/12),4)</f>
        <v>64.916700000000006</v>
      </c>
      <c r="F235" s="73">
        <f>ROUND(VLOOKUP(TRUNC(D235/12,0)+57,E140:F331,2,FALSE)-MOD(D235,12)*(VLOOKUP(TRUNC(D235/12,0)+57,E140:F331,2,FALSE)-VLOOKUP(TRUNC(D235/12,0)+1+57,E140:F331,2,FALSE))/12,4)</f>
        <v>10.0768</v>
      </c>
      <c r="I235">
        <v>88</v>
      </c>
      <c r="J235" s="73">
        <v>2.2113999999999998</v>
      </c>
      <c r="L235">
        <v>95</v>
      </c>
      <c r="M235" s="73">
        <f>ROUND((M140+L235/12),4)</f>
        <v>64.916700000000006</v>
      </c>
      <c r="N235" s="73">
        <f>ROUND(VLOOKUP(TRUNC(L235/12,0)+57,M140:N331,2,FALSE)-MOD(L235,12)*(VLOOKUP(TRUNC(L235/12,0)+57,M140:N331,2,FALSE)-VLOOKUP(TRUNC(L235/12,0)+1+57,M140:N331,2,FALSE))/12,4)</f>
        <v>8.4179999999999993</v>
      </c>
      <c r="R235">
        <v>88</v>
      </c>
      <c r="S235" s="73">
        <v>1.8828</v>
      </c>
      <c r="U235">
        <v>95</v>
      </c>
      <c r="V235" s="73">
        <f>ROUND((V140+U235/12),4)</f>
        <v>64.916700000000006</v>
      </c>
      <c r="W235" s="73">
        <f>ROUND(VLOOKUP(TRUNC(U235/12,0)+57,V140:W331,2,FALSE)-MOD(U235,12)*(VLOOKUP(TRUNC(U235/12,0)+57,V140:W331,2,FALSE)-VLOOKUP(TRUNC(U235/12,0)+1+57,V140:W331,2,FALSE))/12,4)</f>
        <v>9.8920999999999992</v>
      </c>
      <c r="Z235">
        <v>88</v>
      </c>
      <c r="AA235" s="73">
        <v>1.9738</v>
      </c>
      <c r="AC235">
        <v>95</v>
      </c>
      <c r="AD235" s="73">
        <f>ROUND((AD140+AC235/12),4)</f>
        <v>64.916700000000006</v>
      </c>
      <c r="AE235" s="73">
        <f>ROUND(VLOOKUP(TRUNC(AC235/12,0)+57,AD140:AE331,2,FALSE)-MOD(AC235,12)*(VLOOKUP(TRUNC(AC235/12,0)+57,AD140:AE331,2,FALSE)-VLOOKUP(TRUNC(AC235/12,0)+1+57,AD140:AE331,2,FALSE))/12,4)</f>
        <v>9.8920999999999992</v>
      </c>
      <c r="AH235">
        <v>88</v>
      </c>
      <c r="AI235" s="73">
        <v>2.2246000000000001</v>
      </c>
      <c r="AK235">
        <v>95</v>
      </c>
      <c r="AL235" s="73">
        <f>ROUND((AL140+AK235/12),4)</f>
        <v>64.916700000000006</v>
      </c>
      <c r="AM235" s="73">
        <f>ROUND(VLOOKUP(TRUNC(AK235/12,0)+57,AL140:AM331,2,FALSE)-MOD(AK235,12)*(VLOOKUP(TRUNC(AK235/12,0)+57,AL140:AM331,2,FALSE)-VLOOKUP(TRUNC(AK235/12,0)+1+57,AL140:AM331,2,FALSE))/12,4)</f>
        <v>8.4179999999999993</v>
      </c>
      <c r="AR235" s="73"/>
    </row>
    <row r="236" spans="1:44" x14ac:dyDescent="0.2">
      <c r="A236">
        <v>89</v>
      </c>
      <c r="B236" s="73">
        <v>1.8869</v>
      </c>
      <c r="D236">
        <v>96</v>
      </c>
      <c r="E236" s="73">
        <f>ROUND((E140+D236/12),4)</f>
        <v>65</v>
      </c>
      <c r="F236" s="73">
        <f>[1]!NPVF("Mp","SLA","N",B140:C140,"M",E236,E236,0,0,0,0,A140,A140,"P","","")</f>
        <v>10.059071496946187</v>
      </c>
      <c r="I236">
        <v>89</v>
      </c>
      <c r="J236" s="73">
        <v>2.2336</v>
      </c>
      <c r="L236">
        <v>96</v>
      </c>
      <c r="M236" s="73">
        <f>ROUND((M140+L236/12),4)</f>
        <v>65</v>
      </c>
      <c r="N236" s="73">
        <f>[1]!NPVF("Mp","SLA","N",J140:K140,"M",M236,M236,0,0,0,0,I140,I140,"P","","")</f>
        <v>8.3993434930507522</v>
      </c>
      <c r="R236">
        <v>89</v>
      </c>
      <c r="S236" s="73">
        <v>1.8972</v>
      </c>
      <c r="U236">
        <v>96</v>
      </c>
      <c r="V236" s="73">
        <f>ROUND((V140+U236/12),4)</f>
        <v>65</v>
      </c>
      <c r="W236" s="73">
        <f>[1]!NPVF("Mp","SLA","N",S140:T140,"M",V236,V236,0,0,0,0,R140,R140,"P","","")</f>
        <v>9.8732543674826179</v>
      </c>
      <c r="Z236">
        <v>89</v>
      </c>
      <c r="AA236" s="73">
        <v>1.99</v>
      </c>
      <c r="AC236">
        <v>96</v>
      </c>
      <c r="AD236" s="73">
        <f>ROUND((AD140+AC236/12),4)</f>
        <v>65</v>
      </c>
      <c r="AE236" s="73">
        <f>[1]!NPVF("Mp","SLA","N",AA140:AB140,"M",AD236,AD236,0,0,0,0,Z140,Z140,"P","","")</f>
        <v>9.8732543674826179</v>
      </c>
      <c r="AH236">
        <v>89</v>
      </c>
      <c r="AI236" s="73">
        <v>2.2471000000000001</v>
      </c>
      <c r="AK236">
        <v>96</v>
      </c>
      <c r="AL236" s="73">
        <f>ROUND((AL140+AK236/12),4)</f>
        <v>65</v>
      </c>
      <c r="AM236" s="73">
        <f>[1]!NPVF("Mp","SLA","N",AI140:AJ140,"M",AL236,AL236,0,0,0,0,AH140,AH140,"P","","")</f>
        <v>8.3993434930507522</v>
      </c>
      <c r="AR236" s="73"/>
    </row>
    <row r="237" spans="1:44" x14ac:dyDescent="0.2">
      <c r="A237">
        <v>90</v>
      </c>
      <c r="B237" s="73">
        <v>1.9009</v>
      </c>
      <c r="D237">
        <v>97</v>
      </c>
      <c r="E237" s="73">
        <f>ROUND((E140+D237/12),4)</f>
        <v>65.083299999999994</v>
      </c>
      <c r="F237" s="73">
        <f>ROUND(VLOOKUP(TRUNC(D237/12,0)+57,E140:F331,2,FALSE)-MOD(D237,12)*(VLOOKUP(TRUNC(D237/12,0)+57,E140:F331,2,FALSE)-VLOOKUP(TRUNC(D237/12,0)+1+57,E140:F331,2,FALSE))/12,4)</f>
        <v>10.0411</v>
      </c>
      <c r="I237">
        <v>90</v>
      </c>
      <c r="J237" s="73">
        <v>2.2557999999999998</v>
      </c>
      <c r="L237">
        <v>97</v>
      </c>
      <c r="M237" s="73">
        <f>ROUND((M140+L237/12),4)</f>
        <v>65.083299999999994</v>
      </c>
      <c r="N237" s="73">
        <f>ROUND(VLOOKUP(TRUNC(L237/12,0)+57,M140:N331,2,FALSE)-MOD(L237,12)*(VLOOKUP(TRUNC(L237/12,0)+57,M140:N331,2,FALSE)-VLOOKUP(TRUNC(L237/12,0)+1+57,M140:N331,2,FALSE))/12,4)</f>
        <v>8.3803999999999998</v>
      </c>
      <c r="R237">
        <v>90</v>
      </c>
      <c r="S237" s="73">
        <v>1.9116</v>
      </c>
      <c r="U237">
        <v>97</v>
      </c>
      <c r="V237" s="73">
        <f>ROUND((V140+U237/12),4)</f>
        <v>65.083299999999994</v>
      </c>
      <c r="W237" s="73">
        <f>ROUND(VLOOKUP(TRUNC(U237/12,0)+57,V140:W331,2,FALSE)-MOD(U237,12)*(VLOOKUP(TRUNC(U237/12,0)+57,V140:W331,2,FALSE)-VLOOKUP(TRUNC(U237/12,0)+1+57,V140:W331,2,FALSE))/12,4)</f>
        <v>9.8538999999999994</v>
      </c>
      <c r="Z237">
        <v>90</v>
      </c>
      <c r="AA237" s="73">
        <v>2.0063</v>
      </c>
      <c r="AC237">
        <v>97</v>
      </c>
      <c r="AD237" s="73">
        <f>ROUND((AD140+AC237/12),4)</f>
        <v>65.083299999999994</v>
      </c>
      <c r="AE237" s="73">
        <f>ROUND(VLOOKUP(TRUNC(AC237/12,0)+57,AD140:AE331,2,FALSE)-MOD(AC237,12)*(VLOOKUP(TRUNC(AC237/12,0)+57,AD140:AE331,2,FALSE)-VLOOKUP(TRUNC(AC237/12,0)+1+57,AD140:AE331,2,FALSE))/12,4)</f>
        <v>9.8538999999999994</v>
      </c>
      <c r="AH237">
        <v>90</v>
      </c>
      <c r="AI237" s="73">
        <v>2.2696000000000001</v>
      </c>
      <c r="AK237">
        <v>97</v>
      </c>
      <c r="AL237" s="73">
        <f>ROUND((AL140+AK237/12),4)</f>
        <v>65.083299999999994</v>
      </c>
      <c r="AM237" s="73">
        <f>ROUND(VLOOKUP(TRUNC(AK237/12,0)+57,AL140:AM331,2,FALSE)-MOD(AK237,12)*(VLOOKUP(TRUNC(AK237/12,0)+57,AL140:AM331,2,FALSE)-VLOOKUP(TRUNC(AK237/12,0)+1+57,AL140:AM331,2,FALSE))/12,4)</f>
        <v>8.3803999999999998</v>
      </c>
      <c r="AR237" s="73"/>
    </row>
    <row r="238" spans="1:44" x14ac:dyDescent="0.2">
      <c r="A238">
        <v>91</v>
      </c>
      <c r="B238" s="73">
        <v>1.9149</v>
      </c>
      <c r="D238">
        <v>98</v>
      </c>
      <c r="E238" s="73">
        <f>ROUND((E140+D238/12),4)</f>
        <v>65.166700000000006</v>
      </c>
      <c r="F238" s="73">
        <f>ROUND(VLOOKUP(TRUNC(D238/12,0)+57,E140:F331,2,FALSE)-MOD(D238,12)*(VLOOKUP(TRUNC(D238/12,0)+57,E140:F331,2,FALSE)-VLOOKUP(TRUNC(D238/12,0)+1+57,E140:F331,2,FALSE))/12,4)</f>
        <v>10.023099999999999</v>
      </c>
      <c r="I238">
        <v>91</v>
      </c>
      <c r="J238" s="73">
        <v>2.2778999999999998</v>
      </c>
      <c r="L238">
        <v>98</v>
      </c>
      <c r="M238" s="73">
        <f>ROUND((M140+L238/12),4)</f>
        <v>65.166700000000006</v>
      </c>
      <c r="N238" s="73">
        <f>ROUND(VLOOKUP(TRUNC(L238/12,0)+57,M140:N331,2,FALSE)-MOD(L238,12)*(VLOOKUP(TRUNC(L238/12,0)+57,M140:N331,2,FALSE)-VLOOKUP(TRUNC(L238/12,0)+1+57,M140:N331,2,FALSE))/12,4)</f>
        <v>8.3614999999999995</v>
      </c>
      <c r="R238">
        <v>91</v>
      </c>
      <c r="S238" s="73">
        <v>1.9258999999999999</v>
      </c>
      <c r="U238">
        <v>98</v>
      </c>
      <c r="V238" s="73">
        <f>ROUND((V140+U238/12),4)</f>
        <v>65.166700000000006</v>
      </c>
      <c r="W238" s="73">
        <f>ROUND(VLOOKUP(TRUNC(U238/12,0)+57,V140:W331,2,FALSE)-MOD(U238,12)*(VLOOKUP(TRUNC(U238/12,0)+57,V140:W331,2,FALSE)-VLOOKUP(TRUNC(U238/12,0)+1+57,V140:W331,2,FALSE))/12,4)</f>
        <v>9.8345000000000002</v>
      </c>
      <c r="Z238">
        <v>91</v>
      </c>
      <c r="AA238" s="73">
        <v>2.0225</v>
      </c>
      <c r="AC238">
        <v>98</v>
      </c>
      <c r="AD238" s="73">
        <f>ROUND((AD140+AC238/12),4)</f>
        <v>65.166700000000006</v>
      </c>
      <c r="AE238" s="73">
        <f>ROUND(VLOOKUP(TRUNC(AC238/12,0)+57,AD140:AE331,2,FALSE)-MOD(AC238,12)*(VLOOKUP(TRUNC(AC238/12,0)+57,AD140:AE331,2,FALSE)-VLOOKUP(TRUNC(AC238/12,0)+1+57,AD140:AE331,2,FALSE))/12,4)</f>
        <v>9.8345000000000002</v>
      </c>
      <c r="AH238">
        <v>91</v>
      </c>
      <c r="AI238" s="73">
        <v>2.2919999999999998</v>
      </c>
      <c r="AK238">
        <v>98</v>
      </c>
      <c r="AL238" s="73">
        <f>ROUND((AL140+AK238/12),4)</f>
        <v>65.166700000000006</v>
      </c>
      <c r="AM238" s="73">
        <f>ROUND(VLOOKUP(TRUNC(AK238/12,0)+57,AL140:AM331,2,FALSE)-MOD(AK238,12)*(VLOOKUP(TRUNC(AK238/12,0)+57,AL140:AM331,2,FALSE)-VLOOKUP(TRUNC(AK238/12,0)+1+57,AL140:AM331,2,FALSE))/12,4)</f>
        <v>8.3614999999999995</v>
      </c>
      <c r="AR238" s="73"/>
    </row>
    <row r="239" spans="1:44" x14ac:dyDescent="0.2">
      <c r="A239">
        <v>92</v>
      </c>
      <c r="B239" s="73">
        <v>1.9289000000000001</v>
      </c>
      <c r="D239">
        <v>99</v>
      </c>
      <c r="E239" s="73">
        <f>ROUND((E140+D239/12),4)</f>
        <v>65.25</v>
      </c>
      <c r="F239" s="73">
        <f>ROUND(VLOOKUP(TRUNC(D239/12,0)+57,E140:F331,2,FALSE)-MOD(D239,12)*(VLOOKUP(TRUNC(D239/12,0)+57,E140:F331,2,FALSE)-VLOOKUP(TRUNC(D239/12,0)+1+57,E140:F331,2,FALSE))/12,4)</f>
        <v>10.005100000000001</v>
      </c>
      <c r="I239">
        <v>92</v>
      </c>
      <c r="J239" s="73">
        <v>2.3001</v>
      </c>
      <c r="L239">
        <v>99</v>
      </c>
      <c r="M239" s="73">
        <f>ROUND((M140+L239/12),4)</f>
        <v>65.25</v>
      </c>
      <c r="N239" s="73">
        <f>ROUND(VLOOKUP(TRUNC(L239/12,0)+57,M140:N331,2,FALSE)-MOD(L239,12)*(VLOOKUP(TRUNC(L239/12,0)+57,M140:N331,2,FALSE)-VLOOKUP(TRUNC(L239/12,0)+1+57,M140:N331,2,FALSE))/12,4)</f>
        <v>8.3424999999999994</v>
      </c>
      <c r="R239">
        <v>92</v>
      </c>
      <c r="S239" s="73">
        <v>1.9402999999999999</v>
      </c>
      <c r="U239">
        <v>99</v>
      </c>
      <c r="V239" s="73">
        <f>ROUND((V140+U239/12),4)</f>
        <v>65.25</v>
      </c>
      <c r="W239" s="73">
        <f>ROUND(VLOOKUP(TRUNC(U239/12,0)+57,V140:W331,2,FALSE)-MOD(U239,12)*(VLOOKUP(TRUNC(U239/12,0)+57,V140:W331,2,FALSE)-VLOOKUP(TRUNC(U239/12,0)+1+57,V140:W331,2,FALSE))/12,4)</f>
        <v>9.8152000000000008</v>
      </c>
      <c r="Z239">
        <v>92</v>
      </c>
      <c r="AA239" s="73">
        <v>2.0387</v>
      </c>
      <c r="AC239">
        <v>99</v>
      </c>
      <c r="AD239" s="73">
        <f>ROUND((AD140+AC239/12),4)</f>
        <v>65.25</v>
      </c>
      <c r="AE239" s="73">
        <f>ROUND(VLOOKUP(TRUNC(AC239/12,0)+57,AD140:AE331,2,FALSE)-MOD(AC239,12)*(VLOOKUP(TRUNC(AC239/12,0)+57,AD140:AE331,2,FALSE)-VLOOKUP(TRUNC(AC239/12,0)+1+57,AD140:AE331,2,FALSE))/12,4)</f>
        <v>9.8152000000000008</v>
      </c>
      <c r="AH239">
        <v>92</v>
      </c>
      <c r="AI239" s="73">
        <v>2.3144999999999998</v>
      </c>
      <c r="AK239">
        <v>99</v>
      </c>
      <c r="AL239" s="73">
        <f>ROUND((AL140+AK239/12),4)</f>
        <v>65.25</v>
      </c>
      <c r="AM239" s="73">
        <f>ROUND(VLOOKUP(TRUNC(AK239/12,0)+57,AL140:AM331,2,FALSE)-MOD(AK239,12)*(VLOOKUP(TRUNC(AK239/12,0)+57,AL140:AM331,2,FALSE)-VLOOKUP(TRUNC(AK239/12,0)+1+57,AL140:AM331,2,FALSE))/12,4)</f>
        <v>8.3424999999999994</v>
      </c>
      <c r="AR239" s="73"/>
    </row>
    <row r="240" spans="1:44" x14ac:dyDescent="0.2">
      <c r="A240">
        <v>93</v>
      </c>
      <c r="B240" s="73">
        <v>1.9430000000000001</v>
      </c>
      <c r="D240">
        <v>100</v>
      </c>
      <c r="E240" s="73">
        <f>ROUND((E140+D240/12),4)</f>
        <v>65.333299999999994</v>
      </c>
      <c r="F240" s="73">
        <f>ROUND(VLOOKUP(TRUNC(D240/12,0)+57,E140:F331,2,FALSE)-MOD(D240,12)*(VLOOKUP(TRUNC(D240/12,0)+57,E140:F331,2,FALSE)-VLOOKUP(TRUNC(D240/12,0)+1+57,E140:F331,2,FALSE))/12,4)</f>
        <v>9.9870999999999999</v>
      </c>
      <c r="I240">
        <v>93</v>
      </c>
      <c r="J240" s="73">
        <v>2.3222</v>
      </c>
      <c r="L240">
        <v>100</v>
      </c>
      <c r="M240" s="73">
        <f>ROUND((M140+L240/12),4)</f>
        <v>65.333299999999994</v>
      </c>
      <c r="N240" s="73">
        <f>ROUND(VLOOKUP(TRUNC(L240/12,0)+57,M140:N331,2,FALSE)-MOD(L240,12)*(VLOOKUP(TRUNC(L240/12,0)+57,M140:N331,2,FALSE)-VLOOKUP(TRUNC(L240/12,0)+1+57,M140:N331,2,FALSE))/12,4)</f>
        <v>8.3236000000000008</v>
      </c>
      <c r="R240">
        <v>93</v>
      </c>
      <c r="S240" s="73">
        <v>1.9547000000000001</v>
      </c>
      <c r="U240">
        <v>100</v>
      </c>
      <c r="V240" s="73">
        <f>ROUND((V140+U240/12),4)</f>
        <v>65.333299999999994</v>
      </c>
      <c r="W240" s="73">
        <f>ROUND(VLOOKUP(TRUNC(U240/12,0)+57,V140:W331,2,FALSE)-MOD(U240,12)*(VLOOKUP(TRUNC(U240/12,0)+57,V140:W331,2,FALSE)-VLOOKUP(TRUNC(U240/12,0)+1+57,V140:W331,2,FALSE))/12,4)</f>
        <v>9.7957999999999998</v>
      </c>
      <c r="Z240">
        <v>93</v>
      </c>
      <c r="AA240" s="73">
        <v>2.0548999999999999</v>
      </c>
      <c r="AC240">
        <v>100</v>
      </c>
      <c r="AD240" s="73">
        <f>ROUND((AD140+AC240/12),4)</f>
        <v>65.333299999999994</v>
      </c>
      <c r="AE240" s="73">
        <f>ROUND(VLOOKUP(TRUNC(AC240/12,0)+57,AD140:AE331,2,FALSE)-MOD(AC240,12)*(VLOOKUP(TRUNC(AC240/12,0)+57,AD140:AE331,2,FALSE)-VLOOKUP(TRUNC(AC240/12,0)+1+57,AD140:AE331,2,FALSE))/12,4)</f>
        <v>9.7957999999999998</v>
      </c>
      <c r="AH240">
        <v>93</v>
      </c>
      <c r="AI240" s="73">
        <v>2.3370000000000002</v>
      </c>
      <c r="AK240">
        <v>100</v>
      </c>
      <c r="AL240" s="73">
        <f>ROUND((AL140+AK240/12),4)</f>
        <v>65.333299999999994</v>
      </c>
      <c r="AM240" s="73">
        <f>ROUND(VLOOKUP(TRUNC(AK240/12,0)+57,AL140:AM331,2,FALSE)-MOD(AK240,12)*(VLOOKUP(TRUNC(AK240/12,0)+57,AL140:AM331,2,FALSE)-VLOOKUP(TRUNC(AK240/12,0)+1+57,AL140:AM331,2,FALSE))/12,4)</f>
        <v>8.3236000000000008</v>
      </c>
      <c r="AR240" s="73"/>
    </row>
    <row r="241" spans="1:44" x14ac:dyDescent="0.2">
      <c r="A241">
        <v>94</v>
      </c>
      <c r="B241" s="73">
        <v>1.9570000000000001</v>
      </c>
      <c r="D241">
        <v>101</v>
      </c>
      <c r="E241" s="73">
        <f>ROUND((E140+D241/12),4)</f>
        <v>65.416700000000006</v>
      </c>
      <c r="F241" s="73">
        <f>ROUND(VLOOKUP(TRUNC(D241/12,0)+57,E140:F331,2,FALSE)-MOD(D241,12)*(VLOOKUP(TRUNC(D241/12,0)+57,E140:F331,2,FALSE)-VLOOKUP(TRUNC(D241/12,0)+1+57,E140:F331,2,FALSE))/12,4)</f>
        <v>9.9690999999999992</v>
      </c>
      <c r="I241">
        <v>94</v>
      </c>
      <c r="J241" s="73">
        <v>2.3443999999999998</v>
      </c>
      <c r="L241">
        <v>101</v>
      </c>
      <c r="M241" s="73">
        <f>ROUND((M140+L241/12),4)</f>
        <v>65.416700000000006</v>
      </c>
      <c r="N241" s="73">
        <f>ROUND(VLOOKUP(TRUNC(L241/12,0)+57,M140:N331,2,FALSE)-MOD(L241,12)*(VLOOKUP(TRUNC(L241/12,0)+57,M140:N331,2,FALSE)-VLOOKUP(TRUNC(L241/12,0)+1+57,M140:N331,2,FALSE))/12,4)</f>
        <v>8.3047000000000004</v>
      </c>
      <c r="R241">
        <v>94</v>
      </c>
      <c r="S241" s="73">
        <v>1.9691000000000001</v>
      </c>
      <c r="U241">
        <v>101</v>
      </c>
      <c r="V241" s="73">
        <f>ROUND((V140+U241/12),4)</f>
        <v>65.416700000000006</v>
      </c>
      <c r="W241" s="73">
        <f>ROUND(VLOOKUP(TRUNC(U241/12,0)+57,V140:W331,2,FALSE)-MOD(U241,12)*(VLOOKUP(TRUNC(U241/12,0)+57,V140:W331,2,FALSE)-VLOOKUP(TRUNC(U241/12,0)+1+57,V140:W331,2,FALSE))/12,4)</f>
        <v>9.7764000000000006</v>
      </c>
      <c r="Z241">
        <v>94</v>
      </c>
      <c r="AA241" s="73">
        <v>2.0712000000000002</v>
      </c>
      <c r="AC241">
        <v>101</v>
      </c>
      <c r="AD241" s="73">
        <f>ROUND((AD140+AC241/12),4)</f>
        <v>65.416700000000006</v>
      </c>
      <c r="AE241" s="73">
        <f>ROUND(VLOOKUP(TRUNC(AC241/12,0)+57,AD140:AE331,2,FALSE)-MOD(AC241,12)*(VLOOKUP(TRUNC(AC241/12,0)+57,AD140:AE331,2,FALSE)-VLOOKUP(TRUNC(AC241/12,0)+1+57,AD140:AE331,2,FALSE))/12,4)</f>
        <v>9.7764000000000006</v>
      </c>
      <c r="AH241">
        <v>94</v>
      </c>
      <c r="AI241" s="73">
        <v>2.3595000000000002</v>
      </c>
      <c r="AK241">
        <v>101</v>
      </c>
      <c r="AL241" s="73">
        <f>ROUND((AL140+AK241/12),4)</f>
        <v>65.416700000000006</v>
      </c>
      <c r="AM241" s="73">
        <f>ROUND(VLOOKUP(TRUNC(AK241/12,0)+57,AL140:AM331,2,FALSE)-MOD(AK241,12)*(VLOOKUP(TRUNC(AK241/12,0)+57,AL140:AM331,2,FALSE)-VLOOKUP(TRUNC(AK241/12,0)+1+57,AL140:AM331,2,FALSE))/12,4)</f>
        <v>8.3047000000000004</v>
      </c>
      <c r="AR241" s="73"/>
    </row>
    <row r="242" spans="1:44" x14ac:dyDescent="0.2">
      <c r="A242">
        <v>95</v>
      </c>
      <c r="B242" s="73">
        <v>1.9710000000000001</v>
      </c>
      <c r="D242">
        <v>102</v>
      </c>
      <c r="E242" s="73">
        <f>ROUND((E140+D242/12),4)</f>
        <v>65.5</v>
      </c>
      <c r="F242" s="73">
        <f>ROUND(VLOOKUP(TRUNC(D242/12,0)+57,E140:F331,2,FALSE)-MOD(D242,12)*(VLOOKUP(TRUNC(D242/12,0)+57,E140:F331,2,FALSE)-VLOOKUP(TRUNC(D242/12,0)+1+57,E140:F331,2,FALSE))/12,4)</f>
        <v>9.9511000000000003</v>
      </c>
      <c r="I242">
        <v>95</v>
      </c>
      <c r="J242" s="73">
        <v>2.3664999999999998</v>
      </c>
      <c r="L242">
        <v>102</v>
      </c>
      <c r="M242" s="73">
        <f>ROUND((M140+L242/12),4)</f>
        <v>65.5</v>
      </c>
      <c r="N242" s="73">
        <f>ROUND(VLOOKUP(TRUNC(L242/12,0)+57,M140:N331,2,FALSE)-MOD(L242,12)*(VLOOKUP(TRUNC(L242/12,0)+57,M140:N331,2,FALSE)-VLOOKUP(TRUNC(L242/12,0)+1+57,M140:N331,2,FALSE))/12,4)</f>
        <v>8.2857000000000003</v>
      </c>
      <c r="R242">
        <v>95</v>
      </c>
      <c r="S242" s="73">
        <v>1.9834000000000001</v>
      </c>
      <c r="U242">
        <v>102</v>
      </c>
      <c r="V242" s="73">
        <f>ROUND((V140+U242/12),4)</f>
        <v>65.5</v>
      </c>
      <c r="W242" s="73">
        <f>ROUND(VLOOKUP(TRUNC(U242/12,0)+57,V140:W331,2,FALSE)-MOD(U242,12)*(VLOOKUP(TRUNC(U242/12,0)+57,V140:W331,2,FALSE)-VLOOKUP(TRUNC(U242/12,0)+1+57,V140:W331,2,FALSE))/12,4)</f>
        <v>9.7570999999999994</v>
      </c>
      <c r="Z242">
        <v>95</v>
      </c>
      <c r="AA242" s="73">
        <v>2.0874000000000001</v>
      </c>
      <c r="AC242">
        <v>102</v>
      </c>
      <c r="AD242" s="73">
        <f>ROUND((AD140+AC242/12),4)</f>
        <v>65.5</v>
      </c>
      <c r="AE242" s="73">
        <f>ROUND(VLOOKUP(TRUNC(AC242/12,0)+57,AD140:AE331,2,FALSE)-MOD(AC242,12)*(VLOOKUP(TRUNC(AC242/12,0)+57,AD140:AE331,2,FALSE)-VLOOKUP(TRUNC(AC242/12,0)+1+57,AD140:AE331,2,FALSE))/12,4)</f>
        <v>9.7570999999999994</v>
      </c>
      <c r="AH242">
        <v>95</v>
      </c>
      <c r="AI242" s="73">
        <v>2.3820000000000001</v>
      </c>
      <c r="AK242">
        <v>102</v>
      </c>
      <c r="AL242" s="73">
        <f>ROUND((AL140+AK242/12),4)</f>
        <v>65.5</v>
      </c>
      <c r="AM242" s="73">
        <f>ROUND(VLOOKUP(TRUNC(AK242/12,0)+57,AL140:AM331,2,FALSE)-MOD(AK242,12)*(VLOOKUP(TRUNC(AK242/12,0)+57,AL140:AM331,2,FALSE)-VLOOKUP(TRUNC(AK242/12,0)+1+57,AL140:AM331,2,FALSE))/12,4)</f>
        <v>8.2857000000000003</v>
      </c>
      <c r="AR242" s="73"/>
    </row>
    <row r="243" spans="1:44" x14ac:dyDescent="0.2">
      <c r="A243">
        <v>96</v>
      </c>
      <c r="B243" s="73">
        <v>1.9850000000000001</v>
      </c>
      <c r="D243">
        <v>103</v>
      </c>
      <c r="E243" s="73">
        <f>ROUND((E140+D243/12),4)</f>
        <v>65.583299999999994</v>
      </c>
      <c r="F243" s="73">
        <f>ROUND(VLOOKUP(TRUNC(D243/12,0)+57,E140:F331,2,FALSE)-MOD(D243,12)*(VLOOKUP(TRUNC(D243/12,0)+57,E140:F331,2,FALSE)-VLOOKUP(TRUNC(D243/12,0)+1+57,E140:F331,2,FALSE))/12,4)</f>
        <v>9.9330999999999996</v>
      </c>
      <c r="I243">
        <v>96</v>
      </c>
      <c r="J243" s="73">
        <v>2.3887</v>
      </c>
      <c r="L243">
        <v>103</v>
      </c>
      <c r="M243" s="73">
        <f>ROUND((M140+L243/12),4)</f>
        <v>65.583299999999994</v>
      </c>
      <c r="N243" s="73">
        <f>ROUND(VLOOKUP(TRUNC(L243/12,0)+57,M140:N331,2,FALSE)-MOD(L243,12)*(VLOOKUP(TRUNC(L243/12,0)+57,M140:N331,2,FALSE)-VLOOKUP(TRUNC(L243/12,0)+1+57,M140:N331,2,FALSE))/12,4)</f>
        <v>8.2667999999999999</v>
      </c>
      <c r="R243">
        <v>96</v>
      </c>
      <c r="S243" s="73">
        <v>1.9978</v>
      </c>
      <c r="U243">
        <v>103</v>
      </c>
      <c r="V243" s="73">
        <f>ROUND((V140+U243/12),4)</f>
        <v>65.583299999999994</v>
      </c>
      <c r="W243" s="73">
        <f>ROUND(VLOOKUP(TRUNC(U243/12,0)+57,V140:W331,2,FALSE)-MOD(U243,12)*(VLOOKUP(TRUNC(U243/12,0)+57,V140:W331,2,FALSE)-VLOOKUP(TRUNC(U243/12,0)+1+57,V140:W331,2,FALSE))/12,4)</f>
        <v>9.7377000000000002</v>
      </c>
      <c r="Z243">
        <v>96</v>
      </c>
      <c r="AA243" s="73">
        <v>2.1036000000000001</v>
      </c>
      <c r="AC243">
        <v>103</v>
      </c>
      <c r="AD243" s="73">
        <f>ROUND((AD140+AC243/12),4)</f>
        <v>65.583299999999994</v>
      </c>
      <c r="AE243" s="73">
        <f>ROUND(VLOOKUP(TRUNC(AC243/12,0)+57,AD140:AE331,2,FALSE)-MOD(AC243,12)*(VLOOKUP(TRUNC(AC243/12,0)+57,AD140:AE331,2,FALSE)-VLOOKUP(TRUNC(AC243/12,0)+1+57,AD140:AE331,2,FALSE))/12,4)</f>
        <v>9.7377000000000002</v>
      </c>
      <c r="AH243">
        <v>96</v>
      </c>
      <c r="AI243" s="73">
        <v>2.4045000000000001</v>
      </c>
      <c r="AK243">
        <v>103</v>
      </c>
      <c r="AL243" s="73">
        <f>ROUND((AL140+AK243/12),4)</f>
        <v>65.583299999999994</v>
      </c>
      <c r="AM243" s="73">
        <f>ROUND(VLOOKUP(TRUNC(AK243/12,0)+57,AL140:AM331,2,FALSE)-MOD(AK243,12)*(VLOOKUP(TRUNC(AK243/12,0)+57,AL140:AM331,2,FALSE)-VLOOKUP(TRUNC(AK243/12,0)+1+57,AL140:AM331,2,FALSE))/12,4)</f>
        <v>8.2667999999999999</v>
      </c>
      <c r="AR243" s="73"/>
    </row>
    <row r="244" spans="1:44" x14ac:dyDescent="0.2">
      <c r="A244">
        <v>97</v>
      </c>
      <c r="B244" s="73">
        <v>2.0005000000000002</v>
      </c>
      <c r="D244">
        <v>104</v>
      </c>
      <c r="E244" s="73">
        <f>ROUND((E140+D244/12),4)</f>
        <v>65.666700000000006</v>
      </c>
      <c r="F244" s="73">
        <f>ROUND(VLOOKUP(TRUNC(D244/12,0)+57,E140:F331,2,FALSE)-MOD(D244,12)*(VLOOKUP(TRUNC(D244/12,0)+57,E140:F331,2,FALSE)-VLOOKUP(TRUNC(D244/12,0)+1+57,E140:F331,2,FALSE))/12,4)</f>
        <v>9.9151000000000007</v>
      </c>
      <c r="I244">
        <v>97</v>
      </c>
      <c r="J244" s="73">
        <v>2.4144000000000001</v>
      </c>
      <c r="L244">
        <v>104</v>
      </c>
      <c r="M244" s="73">
        <f>ROUND((M140+L244/12),4)</f>
        <v>65.666700000000006</v>
      </c>
      <c r="N244" s="73">
        <f>ROUND(VLOOKUP(TRUNC(L244/12,0)+57,M140:N331,2,FALSE)-MOD(L244,12)*(VLOOKUP(TRUNC(L244/12,0)+57,M140:N331,2,FALSE)-VLOOKUP(TRUNC(L244/12,0)+1+57,M140:N331,2,FALSE))/12,4)</f>
        <v>8.2478999999999996</v>
      </c>
      <c r="R244">
        <v>97</v>
      </c>
      <c r="S244" s="73">
        <v>2.0137999999999998</v>
      </c>
      <c r="U244">
        <v>104</v>
      </c>
      <c r="V244" s="73">
        <f>ROUND((V140+U244/12),4)</f>
        <v>65.666700000000006</v>
      </c>
      <c r="W244" s="73">
        <f>ROUND(VLOOKUP(TRUNC(U244/12,0)+57,V140:W331,2,FALSE)-MOD(U244,12)*(VLOOKUP(TRUNC(U244/12,0)+57,V140:W331,2,FALSE)-VLOOKUP(TRUNC(U244/12,0)+1+57,V140:W331,2,FALSE))/12,4)</f>
        <v>9.7182999999999993</v>
      </c>
      <c r="Z244">
        <v>97</v>
      </c>
      <c r="AA244" s="73">
        <v>2.1217000000000001</v>
      </c>
      <c r="AC244">
        <v>104</v>
      </c>
      <c r="AD244" s="73">
        <f>ROUND((AD140+AC244/12),4)</f>
        <v>65.666700000000006</v>
      </c>
      <c r="AE244" s="73">
        <f>ROUND(VLOOKUP(TRUNC(AC244/12,0)+57,AD140:AE331,2,FALSE)-MOD(AC244,12)*(VLOOKUP(TRUNC(AC244/12,0)+57,AD140:AE331,2,FALSE)-VLOOKUP(TRUNC(AC244/12,0)+1+57,AD140:AE331,2,FALSE))/12,4)</f>
        <v>9.7182999999999993</v>
      </c>
      <c r="AH244">
        <v>97</v>
      </c>
      <c r="AI244" s="73">
        <v>2.4306000000000001</v>
      </c>
      <c r="AK244">
        <v>104</v>
      </c>
      <c r="AL244" s="73">
        <f>ROUND((AL140+AK244/12),4)</f>
        <v>65.666700000000006</v>
      </c>
      <c r="AM244" s="73">
        <f>ROUND(VLOOKUP(TRUNC(AK244/12,0)+57,AL140:AM331,2,FALSE)-MOD(AK244,12)*(VLOOKUP(TRUNC(AK244/12,0)+57,AL140:AM331,2,FALSE)-VLOOKUP(TRUNC(AK244/12,0)+1+57,AL140:AM331,2,FALSE))/12,4)</f>
        <v>8.2478999999999996</v>
      </c>
      <c r="AR244" s="73"/>
    </row>
    <row r="245" spans="1:44" x14ac:dyDescent="0.2">
      <c r="A245">
        <v>98</v>
      </c>
      <c r="B245" s="73">
        <v>2.0158999999999998</v>
      </c>
      <c r="D245">
        <v>105</v>
      </c>
      <c r="E245" s="73">
        <f>ROUND((E140+D245/12),4)</f>
        <v>65.75</v>
      </c>
      <c r="F245" s="73">
        <f>ROUND(VLOOKUP(TRUNC(D245/12,0)+57,E140:F331,2,FALSE)-MOD(D245,12)*(VLOOKUP(TRUNC(D245/12,0)+57,E140:F331,2,FALSE)-VLOOKUP(TRUNC(D245/12,0)+1+57,E140:F331,2,FALSE))/12,4)</f>
        <v>9.8971</v>
      </c>
      <c r="I245">
        <v>98</v>
      </c>
      <c r="J245" s="73">
        <v>2.44</v>
      </c>
      <c r="L245">
        <v>105</v>
      </c>
      <c r="M245" s="73">
        <f>ROUND((M140+L245/12),4)</f>
        <v>65.75</v>
      </c>
      <c r="N245" s="73">
        <f>ROUND(VLOOKUP(TRUNC(L245/12,0)+57,M140:N331,2,FALSE)-MOD(L245,12)*(VLOOKUP(TRUNC(L245/12,0)+57,M140:N331,2,FALSE)-VLOOKUP(TRUNC(L245/12,0)+1+57,M140:N331,2,FALSE))/12,4)</f>
        <v>8.2289999999999992</v>
      </c>
      <c r="R245">
        <v>98</v>
      </c>
      <c r="S245" s="73">
        <v>2.0297000000000001</v>
      </c>
      <c r="U245">
        <v>105</v>
      </c>
      <c r="V245" s="73">
        <f>ROUND((V140+U245/12),4)</f>
        <v>65.75</v>
      </c>
      <c r="W245" s="73">
        <f>ROUND(VLOOKUP(TRUNC(U245/12,0)+57,V140:W331,2,FALSE)-MOD(U245,12)*(VLOOKUP(TRUNC(U245/12,0)+57,V140:W331,2,FALSE)-VLOOKUP(TRUNC(U245/12,0)+1+57,V140:W331,2,FALSE))/12,4)</f>
        <v>9.6989999999999998</v>
      </c>
      <c r="Z245">
        <v>98</v>
      </c>
      <c r="AA245" s="73">
        <v>2.1398999999999999</v>
      </c>
      <c r="AC245">
        <v>105</v>
      </c>
      <c r="AD245" s="73">
        <f>ROUND((AD140+AC245/12),4)</f>
        <v>65.75</v>
      </c>
      <c r="AE245" s="73">
        <f>ROUND(VLOOKUP(TRUNC(AC245/12,0)+57,AD140:AE331,2,FALSE)-MOD(AC245,12)*(VLOOKUP(TRUNC(AC245/12,0)+57,AD140:AE331,2,FALSE)-VLOOKUP(TRUNC(AC245/12,0)+1+57,AD140:AE331,2,FALSE))/12,4)</f>
        <v>9.6989999999999998</v>
      </c>
      <c r="AH245">
        <v>98</v>
      </c>
      <c r="AI245" s="73">
        <v>2.4567000000000001</v>
      </c>
      <c r="AK245">
        <v>105</v>
      </c>
      <c r="AL245" s="73">
        <f>ROUND((AL140+AK245/12),4)</f>
        <v>65.75</v>
      </c>
      <c r="AM245" s="73">
        <f>ROUND(VLOOKUP(TRUNC(AK245/12,0)+57,AL140:AM331,2,FALSE)-MOD(AK245,12)*(VLOOKUP(TRUNC(AK245/12,0)+57,AL140:AM331,2,FALSE)-VLOOKUP(TRUNC(AK245/12,0)+1+57,AL140:AM331,2,FALSE))/12,4)</f>
        <v>8.2289999999999992</v>
      </c>
      <c r="AR245" s="73"/>
    </row>
    <row r="246" spans="1:44" x14ac:dyDescent="0.2">
      <c r="A246">
        <v>99</v>
      </c>
      <c r="B246" s="73">
        <v>2.0314000000000001</v>
      </c>
      <c r="D246">
        <v>106</v>
      </c>
      <c r="E246" s="73">
        <f>ROUND((E140+D246/12),4)</f>
        <v>65.833299999999994</v>
      </c>
      <c r="F246" s="73">
        <f>ROUND(VLOOKUP(TRUNC(D246/12,0)+57,E140:F331,2,FALSE)-MOD(D246,12)*(VLOOKUP(TRUNC(D246/12,0)+57,E140:F331,2,FALSE)-VLOOKUP(TRUNC(D246/12,0)+1+57,E140:F331,2,FALSE))/12,4)</f>
        <v>9.8790999999999993</v>
      </c>
      <c r="I246">
        <v>99</v>
      </c>
      <c r="J246" s="73">
        <v>2.4657</v>
      </c>
      <c r="L246">
        <v>106</v>
      </c>
      <c r="M246" s="73">
        <f>ROUND((M140+L246/12),4)</f>
        <v>65.833299999999994</v>
      </c>
      <c r="N246" s="73">
        <f>ROUND(VLOOKUP(TRUNC(L246/12,0)+57,M140:N331,2,FALSE)-MOD(L246,12)*(VLOOKUP(TRUNC(L246/12,0)+57,M140:N331,2,FALSE)-VLOOKUP(TRUNC(L246/12,0)+1+57,M140:N331,2,FALSE))/12,4)</f>
        <v>8.2100000000000009</v>
      </c>
      <c r="R246">
        <v>99</v>
      </c>
      <c r="S246" s="73">
        <v>2.0457000000000001</v>
      </c>
      <c r="U246">
        <v>106</v>
      </c>
      <c r="V246" s="73">
        <f>ROUND((V140+U246/12),4)</f>
        <v>65.833299999999994</v>
      </c>
      <c r="W246" s="73">
        <f>ROUND(VLOOKUP(TRUNC(U246/12,0)+57,V140:W331,2,FALSE)-MOD(U246,12)*(VLOOKUP(TRUNC(U246/12,0)+57,V140:W331,2,FALSE)-VLOOKUP(TRUNC(U246/12,0)+1+57,V140:W331,2,FALSE))/12,4)</f>
        <v>9.6796000000000006</v>
      </c>
      <c r="Z246">
        <v>99</v>
      </c>
      <c r="AA246" s="73">
        <v>2.1579999999999999</v>
      </c>
      <c r="AC246">
        <v>106</v>
      </c>
      <c r="AD246" s="73">
        <f>ROUND((AD140+AC246/12),4)</f>
        <v>65.833299999999994</v>
      </c>
      <c r="AE246" s="73">
        <f>ROUND(VLOOKUP(TRUNC(AC246/12,0)+57,AD140:AE331,2,FALSE)-MOD(AC246,12)*(VLOOKUP(TRUNC(AC246/12,0)+57,AD140:AE331,2,FALSE)-VLOOKUP(TRUNC(AC246/12,0)+1+57,AD140:AE331,2,FALSE))/12,4)</f>
        <v>9.6796000000000006</v>
      </c>
      <c r="AH246">
        <v>99</v>
      </c>
      <c r="AI246" s="73">
        <v>2.4826999999999999</v>
      </c>
      <c r="AK246">
        <v>106</v>
      </c>
      <c r="AL246" s="73">
        <f>ROUND((AL140+AK246/12),4)</f>
        <v>65.833299999999994</v>
      </c>
      <c r="AM246" s="73">
        <f>ROUND(VLOOKUP(TRUNC(AK246/12,0)+57,AL140:AM331,2,FALSE)-MOD(AK246,12)*(VLOOKUP(TRUNC(AK246/12,0)+57,AL140:AM331,2,FALSE)-VLOOKUP(TRUNC(AK246/12,0)+1+57,AL140:AM331,2,FALSE))/12,4)</f>
        <v>8.2100000000000009</v>
      </c>
      <c r="AR246" s="73"/>
    </row>
    <row r="247" spans="1:44" x14ac:dyDescent="0.2">
      <c r="A247">
        <v>100</v>
      </c>
      <c r="B247" s="73">
        <v>2.0468999999999999</v>
      </c>
      <c r="D247">
        <v>107</v>
      </c>
      <c r="E247" s="73">
        <f>ROUND((E140+D247/12),4)</f>
        <v>65.916700000000006</v>
      </c>
      <c r="F247" s="73">
        <f>ROUND(VLOOKUP(TRUNC(D247/12,0)+57,E140:F331,2,FALSE)-MOD(D247,12)*(VLOOKUP(TRUNC(D247/12,0)+57,E140:F331,2,FALSE)-VLOOKUP(TRUNC(D247/12,0)+1+57,E140:F331,2,FALSE))/12,4)</f>
        <v>9.8611000000000004</v>
      </c>
      <c r="I247">
        <v>100</v>
      </c>
      <c r="J247" s="73">
        <v>2.4912999999999998</v>
      </c>
      <c r="L247">
        <v>107</v>
      </c>
      <c r="M247" s="73">
        <f>ROUND((M140+L247/12),4)</f>
        <v>65.916700000000006</v>
      </c>
      <c r="N247" s="73">
        <f>ROUND(VLOOKUP(TRUNC(L247/12,0)+57,M140:N331,2,FALSE)-MOD(L247,12)*(VLOOKUP(TRUNC(L247/12,0)+57,M140:N331,2,FALSE)-VLOOKUP(TRUNC(L247/12,0)+1+57,M140:N331,2,FALSE))/12,4)</f>
        <v>8.1911000000000005</v>
      </c>
      <c r="R247">
        <v>100</v>
      </c>
      <c r="S247" s="73">
        <v>2.0615999999999999</v>
      </c>
      <c r="U247">
        <v>107</v>
      </c>
      <c r="V247" s="73">
        <f>ROUND((V140+U247/12),4)</f>
        <v>65.916700000000006</v>
      </c>
      <c r="W247" s="73">
        <f>ROUND(VLOOKUP(TRUNC(U247/12,0)+57,V140:W331,2,FALSE)-MOD(U247,12)*(VLOOKUP(TRUNC(U247/12,0)+57,V140:W331,2,FALSE)-VLOOKUP(TRUNC(U247/12,0)+1+57,V140:W331,2,FALSE))/12,4)</f>
        <v>9.6601999999999997</v>
      </c>
      <c r="Z247">
        <v>100</v>
      </c>
      <c r="AA247" s="73">
        <v>2.1762000000000001</v>
      </c>
      <c r="AC247">
        <v>107</v>
      </c>
      <c r="AD247" s="73">
        <f>ROUND((AD140+AC247/12),4)</f>
        <v>65.916700000000006</v>
      </c>
      <c r="AE247" s="73">
        <f>ROUND(VLOOKUP(TRUNC(AC247/12,0)+57,AD140:AE331,2,FALSE)-MOD(AC247,12)*(VLOOKUP(TRUNC(AC247/12,0)+57,AD140:AE331,2,FALSE)-VLOOKUP(TRUNC(AC247/12,0)+1+57,AD140:AE331,2,FALSE))/12,4)</f>
        <v>9.6601999999999997</v>
      </c>
      <c r="AH247">
        <v>100</v>
      </c>
      <c r="AI247" s="73">
        <v>2.5087999999999999</v>
      </c>
      <c r="AK247">
        <v>107</v>
      </c>
      <c r="AL247" s="73">
        <f>ROUND((AL140+AK247/12),4)</f>
        <v>65.916700000000006</v>
      </c>
      <c r="AM247" s="73">
        <f>ROUND(VLOOKUP(TRUNC(AK247/12,0)+57,AL140:AM331,2,FALSE)-MOD(AK247,12)*(VLOOKUP(TRUNC(AK247/12,0)+57,AL140:AM331,2,FALSE)-VLOOKUP(TRUNC(AK247/12,0)+1+57,AL140:AM331,2,FALSE))/12,4)</f>
        <v>8.1911000000000005</v>
      </c>
      <c r="AR247" s="73"/>
    </row>
    <row r="248" spans="1:44" x14ac:dyDescent="0.2">
      <c r="A248">
        <v>101</v>
      </c>
      <c r="B248" s="73">
        <v>2.0623</v>
      </c>
      <c r="D248">
        <v>108</v>
      </c>
      <c r="E248" s="73">
        <f>ROUND((E140+D248/12),4)</f>
        <v>66</v>
      </c>
      <c r="F248" s="73">
        <f>[1]!NPVF("Mp","SLA","N",B140:C140,"M",E248,E248,0,0,0,0,A140,A140,"P","","")</f>
        <v>9.8431490955344287</v>
      </c>
      <c r="I248">
        <v>101</v>
      </c>
      <c r="J248" s="73">
        <v>2.5169999999999999</v>
      </c>
      <c r="L248">
        <v>108</v>
      </c>
      <c r="M248" s="73">
        <f>ROUND((M140+L248/12),4)</f>
        <v>66</v>
      </c>
      <c r="N248" s="73">
        <f>[1]!NPVF("Mp","SLA","N",J140:K140,"M",M248,M248,0,0,0,0,I140,I140,"P","","")</f>
        <v>8.1721534030449572</v>
      </c>
      <c r="R248">
        <v>101</v>
      </c>
      <c r="S248" s="73">
        <v>2.0775999999999999</v>
      </c>
      <c r="U248">
        <v>108</v>
      </c>
      <c r="V248" s="73">
        <f>ROUND((V140+U248/12),4)</f>
        <v>66</v>
      </c>
      <c r="W248" s="73">
        <f>[1]!NPVF("Mp","SLA","N",S140:T140,"M",V248,V248,0,0,0,0,R140,R140,"P","","")</f>
        <v>9.6408692736718749</v>
      </c>
      <c r="Z248">
        <v>101</v>
      </c>
      <c r="AA248" s="73">
        <v>2.1943000000000001</v>
      </c>
      <c r="AC248">
        <v>108</v>
      </c>
      <c r="AD248" s="73">
        <f>ROUND((AD140+AC248/12),4)</f>
        <v>66</v>
      </c>
      <c r="AE248" s="73">
        <f>[1]!NPVF("Mp","SLA","N",AA140:AB140,"M",AD248,AD248,0,0,0,0,Z140,Z140,"P","","")</f>
        <v>9.6408692736718749</v>
      </c>
      <c r="AH248">
        <v>101</v>
      </c>
      <c r="AI248" s="73">
        <v>2.5348999999999999</v>
      </c>
      <c r="AK248">
        <v>108</v>
      </c>
      <c r="AL248" s="73">
        <f>ROUND((AL140+AK248/12),4)</f>
        <v>66</v>
      </c>
      <c r="AM248" s="73">
        <f>[1]!NPVF("Mp","SLA","N",AI140:AJ140,"M",AL248,AL248,0,0,0,0,AH140,AH140,"P","","")</f>
        <v>8.1721534030449572</v>
      </c>
      <c r="AR248" s="73"/>
    </row>
    <row r="249" spans="1:44" x14ac:dyDescent="0.2">
      <c r="A249">
        <v>102</v>
      </c>
      <c r="B249" s="73">
        <v>2.0777999999999999</v>
      </c>
      <c r="D249">
        <v>109</v>
      </c>
      <c r="E249" s="73">
        <f>ROUND((E140+D249/12),4)</f>
        <v>66.083299999999994</v>
      </c>
      <c r="F249" s="73">
        <f>ROUND(VLOOKUP(TRUNC(D249/12,0)+57,E140:F331,2,FALSE)-MOD(D249,12)*(VLOOKUP(TRUNC(D249/12,0)+57,E140:F331,2,FALSE)-VLOOKUP(TRUNC(D249/12,0)+1+57,E140:F331,2,FALSE))/12,4)</f>
        <v>9.8248999999999995</v>
      </c>
      <c r="I249">
        <v>102</v>
      </c>
      <c r="J249" s="73">
        <v>2.5426000000000002</v>
      </c>
      <c r="L249">
        <v>109</v>
      </c>
      <c r="M249" s="73">
        <f>ROUND((M140+L249/12),4)</f>
        <v>66.083299999999994</v>
      </c>
      <c r="N249" s="73">
        <f>ROUND(VLOOKUP(TRUNC(L249/12,0)+57,M140:N331,2,FALSE)-MOD(L249,12)*(VLOOKUP(TRUNC(L249/12,0)+57,M140:N331,2,FALSE)-VLOOKUP(TRUNC(L249/12,0)+1+57,M140:N331,2,FALSE))/12,4)</f>
        <v>8.1531000000000002</v>
      </c>
      <c r="R249">
        <v>102</v>
      </c>
      <c r="S249" s="73">
        <v>2.0935000000000001</v>
      </c>
      <c r="U249">
        <v>109</v>
      </c>
      <c r="V249" s="73">
        <f>ROUND((V140+U249/12),4)</f>
        <v>66.083299999999994</v>
      </c>
      <c r="W249" s="73">
        <f>ROUND(VLOOKUP(TRUNC(U249/12,0)+57,V140:W331,2,FALSE)-MOD(U249,12)*(VLOOKUP(TRUNC(U249/12,0)+57,V140:W331,2,FALSE)-VLOOKUP(TRUNC(U249/12,0)+1+57,V140:W331,2,FALSE))/12,4)</f>
        <v>9.6210000000000004</v>
      </c>
      <c r="Z249">
        <v>102</v>
      </c>
      <c r="AA249" s="73">
        <v>2.2124999999999999</v>
      </c>
      <c r="AC249">
        <v>109</v>
      </c>
      <c r="AD249" s="73">
        <f>ROUND((AD140+AC249/12),4)</f>
        <v>66.083299999999994</v>
      </c>
      <c r="AE249" s="73">
        <f>ROUND(VLOOKUP(TRUNC(AC249/12,0)+57,AD140:AE331,2,FALSE)-MOD(AC249,12)*(VLOOKUP(TRUNC(AC249/12,0)+57,AD140:AE331,2,FALSE)-VLOOKUP(TRUNC(AC249/12,0)+1+57,AD140:AE331,2,FALSE))/12,4)</f>
        <v>9.6210000000000004</v>
      </c>
      <c r="AH249">
        <v>102</v>
      </c>
      <c r="AI249" s="73">
        <v>2.5609999999999999</v>
      </c>
      <c r="AK249">
        <v>109</v>
      </c>
      <c r="AL249" s="73">
        <f>ROUND((AL140+AK249/12),4)</f>
        <v>66.083299999999994</v>
      </c>
      <c r="AM249" s="73">
        <f>ROUND(VLOOKUP(TRUNC(AK249/12,0)+57,AL140:AM331,2,FALSE)-MOD(AK249,12)*(VLOOKUP(TRUNC(AK249/12,0)+57,AL140:AM331,2,FALSE)-VLOOKUP(TRUNC(AK249/12,0)+1+57,AL140:AM331,2,FALSE))/12,4)</f>
        <v>8.1531000000000002</v>
      </c>
      <c r="AR249" s="73"/>
    </row>
    <row r="250" spans="1:44" x14ac:dyDescent="0.2">
      <c r="A250">
        <v>103</v>
      </c>
      <c r="B250" s="73">
        <v>2.0933000000000002</v>
      </c>
      <c r="D250">
        <v>110</v>
      </c>
      <c r="E250" s="73">
        <f>ROUND((E140+D250/12),4)</f>
        <v>66.166700000000006</v>
      </c>
      <c r="F250" s="73">
        <f>ROUND(VLOOKUP(TRUNC(D250/12,0)+57,E140:F331,2,FALSE)-MOD(D250,12)*(VLOOKUP(TRUNC(D250/12,0)+57,E140:F331,2,FALSE)-VLOOKUP(TRUNC(D250/12,0)+1+57,E140:F331,2,FALSE))/12,4)</f>
        <v>9.8065999999999995</v>
      </c>
      <c r="I250">
        <v>103</v>
      </c>
      <c r="J250" s="73">
        <v>2.5682999999999998</v>
      </c>
      <c r="L250">
        <v>110</v>
      </c>
      <c r="M250" s="73">
        <f>ROUND((M140+L250/12),4)</f>
        <v>66.166700000000006</v>
      </c>
      <c r="N250" s="73">
        <f>ROUND(VLOOKUP(TRUNC(L250/12,0)+57,M140:N331,2,FALSE)-MOD(L250,12)*(VLOOKUP(TRUNC(L250/12,0)+57,M140:N331,2,FALSE)-VLOOKUP(TRUNC(L250/12,0)+1+57,M140:N331,2,FALSE))/12,4)</f>
        <v>8.1340000000000003</v>
      </c>
      <c r="R250">
        <v>103</v>
      </c>
      <c r="S250" s="73">
        <v>2.1095000000000002</v>
      </c>
      <c r="U250">
        <v>110</v>
      </c>
      <c r="V250" s="73">
        <f>ROUND((V140+U250/12),4)</f>
        <v>66.166700000000006</v>
      </c>
      <c r="W250" s="73">
        <f>ROUND(VLOOKUP(TRUNC(U250/12,0)+57,V140:W331,2,FALSE)-MOD(U250,12)*(VLOOKUP(TRUNC(U250/12,0)+57,V140:W331,2,FALSE)-VLOOKUP(TRUNC(U250/12,0)+1+57,V140:W331,2,FALSE))/12,4)</f>
        <v>9.6012000000000004</v>
      </c>
      <c r="Z250">
        <v>103</v>
      </c>
      <c r="AA250" s="73">
        <v>2.2305999999999999</v>
      </c>
      <c r="AC250">
        <v>110</v>
      </c>
      <c r="AD250" s="73">
        <f>ROUND((AD140+AC250/12),4)</f>
        <v>66.166700000000006</v>
      </c>
      <c r="AE250" s="73">
        <f>ROUND(VLOOKUP(TRUNC(AC250/12,0)+57,AD140:AE331,2,FALSE)-MOD(AC250,12)*(VLOOKUP(TRUNC(AC250/12,0)+57,AD140:AE331,2,FALSE)-VLOOKUP(TRUNC(AC250/12,0)+1+57,AD140:AE331,2,FALSE))/12,4)</f>
        <v>9.6012000000000004</v>
      </c>
      <c r="AH250">
        <v>103</v>
      </c>
      <c r="AI250" s="73">
        <v>2.5870000000000002</v>
      </c>
      <c r="AK250">
        <v>110</v>
      </c>
      <c r="AL250" s="73">
        <f>ROUND((AL140+AK250/12),4)</f>
        <v>66.166700000000006</v>
      </c>
      <c r="AM250" s="73">
        <f>ROUND(VLOOKUP(TRUNC(AK250/12,0)+57,AL140:AM331,2,FALSE)-MOD(AK250,12)*(VLOOKUP(TRUNC(AK250/12,0)+57,AL140:AM331,2,FALSE)-VLOOKUP(TRUNC(AK250/12,0)+1+57,AL140:AM331,2,FALSE))/12,4)</f>
        <v>8.1340000000000003</v>
      </c>
      <c r="AR250" s="73"/>
    </row>
    <row r="251" spans="1:44" x14ac:dyDescent="0.2">
      <c r="A251">
        <v>104</v>
      </c>
      <c r="B251" s="73">
        <v>2.1086999999999998</v>
      </c>
      <c r="D251">
        <v>111</v>
      </c>
      <c r="E251" s="73">
        <f>ROUND((E140+D251/12),4)</f>
        <v>66.25</v>
      </c>
      <c r="F251" s="73">
        <f>ROUND(VLOOKUP(TRUNC(D251/12,0)+57,E140:F331,2,FALSE)-MOD(D251,12)*(VLOOKUP(TRUNC(D251/12,0)+57,E140:F331,2,FALSE)-VLOOKUP(TRUNC(D251/12,0)+1+57,E140:F331,2,FALSE))/12,4)</f>
        <v>9.7883999999999993</v>
      </c>
      <c r="I251">
        <v>104</v>
      </c>
      <c r="J251" s="73">
        <v>2.5939000000000001</v>
      </c>
      <c r="L251">
        <v>111</v>
      </c>
      <c r="M251" s="73">
        <f>ROUND((M140+L251/12),4)</f>
        <v>66.25</v>
      </c>
      <c r="N251" s="73">
        <f>ROUND(VLOOKUP(TRUNC(L251/12,0)+57,M140:N331,2,FALSE)-MOD(L251,12)*(VLOOKUP(TRUNC(L251/12,0)+57,M140:N331,2,FALSE)-VLOOKUP(TRUNC(L251/12,0)+1+57,M140:N331,2,FALSE))/12,4)</f>
        <v>8.1149000000000004</v>
      </c>
      <c r="R251">
        <v>104</v>
      </c>
      <c r="S251" s="73">
        <v>2.1254</v>
      </c>
      <c r="U251">
        <v>111</v>
      </c>
      <c r="V251" s="73">
        <f>ROUND((V140+U251/12),4)</f>
        <v>66.25</v>
      </c>
      <c r="W251" s="73">
        <f>ROUND(VLOOKUP(TRUNC(U251/12,0)+57,V140:W331,2,FALSE)-MOD(U251,12)*(VLOOKUP(TRUNC(U251/12,0)+57,V140:W331,2,FALSE)-VLOOKUP(TRUNC(U251/12,0)+1+57,V140:W331,2,FALSE))/12,4)</f>
        <v>9.5814000000000004</v>
      </c>
      <c r="Z251">
        <v>104</v>
      </c>
      <c r="AA251" s="73">
        <v>2.2486999999999999</v>
      </c>
      <c r="AC251">
        <v>111</v>
      </c>
      <c r="AD251" s="73">
        <f>ROUND((AD140+AC251/12),4)</f>
        <v>66.25</v>
      </c>
      <c r="AE251" s="73">
        <f>ROUND(VLOOKUP(TRUNC(AC251/12,0)+57,AD140:AE331,2,FALSE)-MOD(AC251,12)*(VLOOKUP(TRUNC(AC251/12,0)+57,AD140:AE331,2,FALSE)-VLOOKUP(TRUNC(AC251/12,0)+1+57,AD140:AE331,2,FALSE))/12,4)</f>
        <v>9.5814000000000004</v>
      </c>
      <c r="AH251">
        <v>104</v>
      </c>
      <c r="AI251" s="73">
        <v>2.6131000000000002</v>
      </c>
      <c r="AK251">
        <v>111</v>
      </c>
      <c r="AL251" s="73">
        <f>ROUND((AL140+AK251/12),4)</f>
        <v>66.25</v>
      </c>
      <c r="AM251" s="73">
        <f>ROUND(VLOOKUP(TRUNC(AK251/12,0)+57,AL140:AM331,2,FALSE)-MOD(AK251,12)*(VLOOKUP(TRUNC(AK251/12,0)+57,AL140:AM331,2,FALSE)-VLOOKUP(TRUNC(AK251/12,0)+1+57,AL140:AM331,2,FALSE))/12,4)</f>
        <v>8.1149000000000004</v>
      </c>
      <c r="AR251" s="73"/>
    </row>
    <row r="252" spans="1:44" x14ac:dyDescent="0.2">
      <c r="A252">
        <v>105</v>
      </c>
      <c r="B252" s="73">
        <v>2.1242000000000001</v>
      </c>
      <c r="D252">
        <v>112</v>
      </c>
      <c r="E252" s="73">
        <f>ROUND((E140+D252/12),4)</f>
        <v>66.333299999999994</v>
      </c>
      <c r="F252" s="73">
        <f>ROUND(VLOOKUP(TRUNC(D252/12,0)+57,E140:F331,2,FALSE)-MOD(D252,12)*(VLOOKUP(TRUNC(D252/12,0)+57,E140:F331,2,FALSE)-VLOOKUP(TRUNC(D252/12,0)+1+57,E140:F331,2,FALSE))/12,4)</f>
        <v>9.7700999999999993</v>
      </c>
      <c r="I252">
        <v>105</v>
      </c>
      <c r="J252" s="73">
        <v>2.6196000000000002</v>
      </c>
      <c r="L252">
        <v>112</v>
      </c>
      <c r="M252" s="73">
        <f>ROUND((M140+L252/12),4)</f>
        <v>66.333299999999994</v>
      </c>
      <c r="N252" s="73">
        <f>ROUND(VLOOKUP(TRUNC(L252/12,0)+57,M140:N331,2,FALSE)-MOD(L252,12)*(VLOOKUP(TRUNC(L252/12,0)+57,M140:N331,2,FALSE)-VLOOKUP(TRUNC(L252/12,0)+1+57,M140:N331,2,FALSE))/12,4)</f>
        <v>8.0958000000000006</v>
      </c>
      <c r="R252">
        <v>105</v>
      </c>
      <c r="S252" s="73">
        <v>2.1414</v>
      </c>
      <c r="U252">
        <v>112</v>
      </c>
      <c r="V252" s="73">
        <f>ROUND((V140+U252/12),4)</f>
        <v>66.333299999999994</v>
      </c>
      <c r="W252" s="73">
        <f>ROUND(VLOOKUP(TRUNC(U252/12,0)+57,V140:W331,2,FALSE)-MOD(U252,12)*(VLOOKUP(TRUNC(U252/12,0)+57,V140:W331,2,FALSE)-VLOOKUP(TRUNC(U252/12,0)+1+57,V140:W331,2,FALSE))/12,4)</f>
        <v>9.5616000000000003</v>
      </c>
      <c r="Z252">
        <v>105</v>
      </c>
      <c r="AA252" s="73">
        <v>2.2669000000000001</v>
      </c>
      <c r="AC252">
        <v>112</v>
      </c>
      <c r="AD252" s="73">
        <f>ROUND((AD140+AC252/12),4)</f>
        <v>66.333299999999994</v>
      </c>
      <c r="AE252" s="73">
        <f>ROUND(VLOOKUP(TRUNC(AC252/12,0)+57,AD140:AE331,2,FALSE)-MOD(AC252,12)*(VLOOKUP(TRUNC(AC252/12,0)+57,AD140:AE331,2,FALSE)-VLOOKUP(TRUNC(AC252/12,0)+1+57,AD140:AE331,2,FALSE))/12,4)</f>
        <v>9.5616000000000003</v>
      </c>
      <c r="AH252">
        <v>105</v>
      </c>
      <c r="AI252" s="73">
        <v>2.6392000000000002</v>
      </c>
      <c r="AK252">
        <v>112</v>
      </c>
      <c r="AL252" s="73">
        <f>ROUND((AL140+AK252/12),4)</f>
        <v>66.333299999999994</v>
      </c>
      <c r="AM252" s="73">
        <f>ROUND(VLOOKUP(TRUNC(AK252/12,0)+57,AL140:AM331,2,FALSE)-MOD(AK252,12)*(VLOOKUP(TRUNC(AK252/12,0)+57,AL140:AM331,2,FALSE)-VLOOKUP(TRUNC(AK252/12,0)+1+57,AL140:AM331,2,FALSE))/12,4)</f>
        <v>8.0958000000000006</v>
      </c>
      <c r="AR252" s="73"/>
    </row>
    <row r="253" spans="1:44" x14ac:dyDescent="0.2">
      <c r="A253">
        <v>106</v>
      </c>
      <c r="B253" s="73">
        <v>2.1396999999999999</v>
      </c>
      <c r="D253">
        <v>113</v>
      </c>
      <c r="E253" s="73">
        <f>ROUND((E140+D253/12),4)</f>
        <v>66.416700000000006</v>
      </c>
      <c r="F253" s="73">
        <f>ROUND(VLOOKUP(TRUNC(D253/12,0)+57,E140:F331,2,FALSE)-MOD(D253,12)*(VLOOKUP(TRUNC(D253/12,0)+57,E140:F331,2,FALSE)-VLOOKUP(TRUNC(D253/12,0)+1+57,E140:F331,2,FALSE))/12,4)</f>
        <v>9.7517999999999994</v>
      </c>
      <c r="I253">
        <v>106</v>
      </c>
      <c r="J253" s="73">
        <v>2.6452</v>
      </c>
      <c r="L253">
        <v>113</v>
      </c>
      <c r="M253" s="73">
        <f>ROUND((M140+L253/12),4)</f>
        <v>66.416700000000006</v>
      </c>
      <c r="N253" s="73">
        <f>ROUND(VLOOKUP(TRUNC(L253/12,0)+57,M140:N331,2,FALSE)-MOD(L253,12)*(VLOOKUP(TRUNC(L253/12,0)+57,M140:N331,2,FALSE)-VLOOKUP(TRUNC(L253/12,0)+1+57,M140:N331,2,FALSE))/12,4)</f>
        <v>8.0767000000000007</v>
      </c>
      <c r="R253">
        <v>106</v>
      </c>
      <c r="S253" s="73">
        <v>2.1573000000000002</v>
      </c>
      <c r="U253">
        <v>113</v>
      </c>
      <c r="V253" s="73">
        <f>ROUND((V140+U253/12),4)</f>
        <v>66.416700000000006</v>
      </c>
      <c r="W253" s="73">
        <f>ROUND(VLOOKUP(TRUNC(U253/12,0)+57,V140:W331,2,FALSE)-MOD(U253,12)*(VLOOKUP(TRUNC(U253/12,0)+57,V140:W331,2,FALSE)-VLOOKUP(TRUNC(U253/12,0)+1+57,V140:W331,2,FALSE))/12,4)</f>
        <v>9.5418000000000003</v>
      </c>
      <c r="Z253">
        <v>106</v>
      </c>
      <c r="AA253" s="73">
        <v>2.2850000000000001</v>
      </c>
      <c r="AC253">
        <v>113</v>
      </c>
      <c r="AD253" s="73">
        <f>ROUND((AD140+AC253/12),4)</f>
        <v>66.416700000000006</v>
      </c>
      <c r="AE253" s="73">
        <f>ROUND(VLOOKUP(TRUNC(AC253/12,0)+57,AD140:AE331,2,FALSE)-MOD(AC253,12)*(VLOOKUP(TRUNC(AC253/12,0)+57,AD140:AE331,2,FALSE)-VLOOKUP(TRUNC(AC253/12,0)+1+57,AD140:AE331,2,FALSE))/12,4)</f>
        <v>9.5418000000000003</v>
      </c>
      <c r="AH253">
        <v>106</v>
      </c>
      <c r="AI253" s="73">
        <v>2.6652999999999998</v>
      </c>
      <c r="AK253">
        <v>113</v>
      </c>
      <c r="AL253" s="73">
        <f>ROUND((AL140+AK253/12),4)</f>
        <v>66.416700000000006</v>
      </c>
      <c r="AM253" s="73">
        <f>ROUND(VLOOKUP(TRUNC(AK253/12,0)+57,AL140:AM331,2,FALSE)-MOD(AK253,12)*(VLOOKUP(TRUNC(AK253/12,0)+57,AL140:AM331,2,FALSE)-VLOOKUP(TRUNC(AK253/12,0)+1+57,AL140:AM331,2,FALSE))/12,4)</f>
        <v>8.0767000000000007</v>
      </c>
      <c r="AR253" s="73"/>
    </row>
    <row r="254" spans="1:44" x14ac:dyDescent="0.2">
      <c r="A254">
        <v>107</v>
      </c>
      <c r="B254" s="73">
        <v>2.1551</v>
      </c>
      <c r="D254">
        <v>114</v>
      </c>
      <c r="E254" s="73">
        <f>ROUND((E140+D254/12),4)</f>
        <v>66.5</v>
      </c>
      <c r="F254" s="73">
        <f>ROUND(VLOOKUP(TRUNC(D254/12,0)+57,E140:F331,2,FALSE)-MOD(D254,12)*(VLOOKUP(TRUNC(D254/12,0)+57,E140:F331,2,FALSE)-VLOOKUP(TRUNC(D254/12,0)+1+57,E140:F331,2,FALSE))/12,4)</f>
        <v>9.7335999999999991</v>
      </c>
      <c r="I254">
        <v>107</v>
      </c>
      <c r="J254" s="73">
        <v>2.6709000000000001</v>
      </c>
      <c r="L254">
        <v>114</v>
      </c>
      <c r="M254" s="73">
        <f>ROUND((M140+L254/12),4)</f>
        <v>66.5</v>
      </c>
      <c r="N254" s="73">
        <f>ROUND(VLOOKUP(TRUNC(L254/12,0)+57,M140:N331,2,FALSE)-MOD(L254,12)*(VLOOKUP(TRUNC(L254/12,0)+57,M140:N331,2,FALSE)-VLOOKUP(TRUNC(L254/12,0)+1+57,M140:N331,2,FALSE))/12,4)</f>
        <v>8.0576000000000008</v>
      </c>
      <c r="R254">
        <v>107</v>
      </c>
      <c r="S254" s="73">
        <v>2.1732999999999998</v>
      </c>
      <c r="U254">
        <v>114</v>
      </c>
      <c r="V254" s="73">
        <f>ROUND((V140+U254/12),4)</f>
        <v>66.5</v>
      </c>
      <c r="W254" s="73">
        <f>ROUND(VLOOKUP(TRUNC(U254/12,0)+57,V140:W331,2,FALSE)-MOD(U254,12)*(VLOOKUP(TRUNC(U254/12,0)+57,V140:W331,2,FALSE)-VLOOKUP(TRUNC(U254/12,0)+1+57,V140:W331,2,FALSE))/12,4)</f>
        <v>9.5220000000000002</v>
      </c>
      <c r="Z254">
        <v>107</v>
      </c>
      <c r="AA254" s="73">
        <v>2.3031999999999999</v>
      </c>
      <c r="AC254">
        <v>114</v>
      </c>
      <c r="AD254" s="73">
        <f>ROUND((AD140+AC254/12),4)</f>
        <v>66.5</v>
      </c>
      <c r="AE254" s="73">
        <f>ROUND(VLOOKUP(TRUNC(AC254/12,0)+57,AD140:AE331,2,FALSE)-MOD(AC254,12)*(VLOOKUP(TRUNC(AC254/12,0)+57,AD140:AE331,2,FALSE)-VLOOKUP(TRUNC(AC254/12,0)+1+57,AD140:AE331,2,FALSE))/12,4)</f>
        <v>9.5220000000000002</v>
      </c>
      <c r="AH254">
        <v>107</v>
      </c>
      <c r="AI254" s="73">
        <v>2.6913</v>
      </c>
      <c r="AK254">
        <v>114</v>
      </c>
      <c r="AL254" s="73">
        <f>ROUND((AL140+AK254/12),4)</f>
        <v>66.5</v>
      </c>
      <c r="AM254" s="73">
        <f>ROUND(VLOOKUP(TRUNC(AK254/12,0)+57,AL140:AM331,2,FALSE)-MOD(AK254,12)*(VLOOKUP(TRUNC(AK254/12,0)+57,AL140:AM331,2,FALSE)-VLOOKUP(TRUNC(AK254/12,0)+1+57,AL140:AM331,2,FALSE))/12,4)</f>
        <v>8.0576000000000008</v>
      </c>
      <c r="AR254" s="73"/>
    </row>
    <row r="255" spans="1:44" x14ac:dyDescent="0.2">
      <c r="A255">
        <v>108</v>
      </c>
      <c r="B255" s="73">
        <v>2.1705999999999999</v>
      </c>
      <c r="D255">
        <v>115</v>
      </c>
      <c r="E255" s="73">
        <f>ROUND((E140+D255/12),4)</f>
        <v>66.583299999999994</v>
      </c>
      <c r="F255" s="73">
        <f>ROUND(VLOOKUP(TRUNC(D255/12,0)+57,E140:F331,2,FALSE)-MOD(D255,12)*(VLOOKUP(TRUNC(D255/12,0)+57,E140:F331,2,FALSE)-VLOOKUP(TRUNC(D255/12,0)+1+57,E140:F331,2,FALSE))/12,4)</f>
        <v>9.7152999999999992</v>
      </c>
      <c r="I255">
        <v>108</v>
      </c>
      <c r="J255" s="73">
        <v>2.6964999999999999</v>
      </c>
      <c r="L255">
        <v>115</v>
      </c>
      <c r="M255" s="73">
        <f>ROUND((M140+L255/12),4)</f>
        <v>66.583299999999994</v>
      </c>
      <c r="N255" s="73">
        <f>ROUND(VLOOKUP(TRUNC(L255/12,0)+57,M140:N331,2,FALSE)-MOD(L255,12)*(VLOOKUP(TRUNC(L255/12,0)+57,M140:N331,2,FALSE)-VLOOKUP(TRUNC(L255/12,0)+1+57,M140:N331,2,FALSE))/12,4)</f>
        <v>8.0385000000000009</v>
      </c>
      <c r="R255">
        <v>108</v>
      </c>
      <c r="S255" s="73">
        <v>2.1892</v>
      </c>
      <c r="U255">
        <v>115</v>
      </c>
      <c r="V255" s="73">
        <f>ROUND((V140+U255/12),4)</f>
        <v>66.583299999999994</v>
      </c>
      <c r="W255" s="73">
        <f>ROUND(VLOOKUP(TRUNC(U255/12,0)+57,V140:W331,2,FALSE)-MOD(U255,12)*(VLOOKUP(TRUNC(U255/12,0)+57,V140:W331,2,FALSE)-VLOOKUP(TRUNC(U255/12,0)+1+57,V140:W331,2,FALSE))/12,4)</f>
        <v>9.5021000000000004</v>
      </c>
      <c r="Z255">
        <v>108</v>
      </c>
      <c r="AA255" s="73">
        <v>2.3212999999999999</v>
      </c>
      <c r="AC255">
        <v>115</v>
      </c>
      <c r="AD255" s="73">
        <f>ROUND((AD140+AC255/12),4)</f>
        <v>66.583299999999994</v>
      </c>
      <c r="AE255" s="73">
        <f>ROUND(VLOOKUP(TRUNC(AC255/12,0)+57,AD140:AE331,2,FALSE)-MOD(AC255,12)*(VLOOKUP(TRUNC(AC255/12,0)+57,AD140:AE331,2,FALSE)-VLOOKUP(TRUNC(AC255/12,0)+1+57,AD140:AE331,2,FALSE))/12,4)</f>
        <v>9.5021000000000004</v>
      </c>
      <c r="AH255">
        <v>108</v>
      </c>
      <c r="AI255" s="73">
        <v>2.7174</v>
      </c>
      <c r="AK255">
        <v>115</v>
      </c>
      <c r="AL255" s="73">
        <f>ROUND((AL140+AK255/12),4)</f>
        <v>66.583299999999994</v>
      </c>
      <c r="AM255" s="73">
        <f>ROUND(VLOOKUP(TRUNC(AK255/12,0)+57,AL140:AM331,2,FALSE)-MOD(AK255,12)*(VLOOKUP(TRUNC(AK255/12,0)+57,AL140:AM331,2,FALSE)-VLOOKUP(TRUNC(AK255/12,0)+1+57,AL140:AM331,2,FALSE))/12,4)</f>
        <v>8.0385000000000009</v>
      </c>
      <c r="AR255" s="73"/>
    </row>
    <row r="256" spans="1:44" x14ac:dyDescent="0.2">
      <c r="A256">
        <v>109</v>
      </c>
      <c r="B256" s="320">
        <v>2.1877</v>
      </c>
      <c r="D256">
        <v>116</v>
      </c>
      <c r="E256" s="73">
        <f>ROUND((E140+D256/12),4)</f>
        <v>66.666700000000006</v>
      </c>
      <c r="F256" s="73">
        <f>ROUND(VLOOKUP(TRUNC(D256/12,0)+57,E140:F331,2,FALSE)-MOD(D256,12)*(VLOOKUP(TRUNC(D256/12,0)+57,E140:F331,2,FALSE)-VLOOKUP(TRUNC(D256/12,0)+1+57,E140:F331,2,FALSE))/12,4)</f>
        <v>9.6971000000000007</v>
      </c>
      <c r="I256">
        <v>109</v>
      </c>
      <c r="J256" s="320">
        <v>2.7263000000000002</v>
      </c>
      <c r="L256">
        <v>116</v>
      </c>
      <c r="M256" s="73">
        <f>ROUND((M140+L256/12),4)</f>
        <v>66.666700000000006</v>
      </c>
      <c r="N256" s="73">
        <f>ROUND(VLOOKUP(TRUNC(L256/12,0)+57,M140:N331,2,FALSE)-MOD(L256,12)*(VLOOKUP(TRUNC(L256/12,0)+57,M140:N331,2,FALSE)-VLOOKUP(TRUNC(L256/12,0)+1+57,M140:N331,2,FALSE))/12,4)</f>
        <v>8.0193999999999992</v>
      </c>
      <c r="Q256">
        <f>ROUND((S$267-S$255)/12*(R256-R$255)+S$255,4)</f>
        <v>2.2069000000000001</v>
      </c>
      <c r="R256">
        <v>109</v>
      </c>
      <c r="S256" s="320">
        <v>2.2069000000000001</v>
      </c>
      <c r="U256">
        <v>116</v>
      </c>
      <c r="V256" s="73">
        <f>ROUND((V140+U256/12),4)</f>
        <v>66.666700000000006</v>
      </c>
      <c r="W256" s="73">
        <f>ROUND(VLOOKUP(TRUNC(U256/12,0)+57,V140:W331,2,FALSE)-MOD(U256,12)*(VLOOKUP(TRUNC(U256/12,0)+57,V140:W331,2,FALSE)-VLOOKUP(TRUNC(U256/12,0)+1+57,V140:W331,2,FALSE))/12,4)</f>
        <v>9.4823000000000004</v>
      </c>
      <c r="AA256" s="322"/>
      <c r="AC256">
        <v>116</v>
      </c>
      <c r="AD256" s="73">
        <f>ROUND((AD140+AC256/12),4)</f>
        <v>66.666700000000006</v>
      </c>
      <c r="AE256" s="73">
        <f>ROUND(VLOOKUP(TRUNC(AC256/12,0)+57,AD140:AE331,2,FALSE)-MOD(AC256,12)*(VLOOKUP(TRUNC(AC256/12,0)+57,AD140:AE331,2,FALSE)-VLOOKUP(TRUNC(AC256/12,0)+1+57,AD140:AE331,2,FALSE))/12,4)</f>
        <v>9.4823000000000004</v>
      </c>
      <c r="AH256">
        <v>109</v>
      </c>
      <c r="AI256" s="320">
        <v>2.7477999999999998</v>
      </c>
      <c r="AK256">
        <v>116</v>
      </c>
      <c r="AL256" s="73">
        <f>ROUND((AL140+AK256/12),4)</f>
        <v>66.666700000000006</v>
      </c>
      <c r="AM256" s="73">
        <f>ROUND(VLOOKUP(TRUNC(AK256/12,0)+57,AL140:AM331,2,FALSE)-MOD(AK256,12)*(VLOOKUP(TRUNC(AK256/12,0)+57,AL140:AM331,2,FALSE)-VLOOKUP(TRUNC(AK256/12,0)+1+57,AL140:AM331,2,FALSE))/12,4)</f>
        <v>8.0193999999999992</v>
      </c>
    </row>
    <row r="257" spans="1:39" x14ac:dyDescent="0.2">
      <c r="A257">
        <v>110</v>
      </c>
      <c r="B257" s="322">
        <v>2.2046999999999999</v>
      </c>
      <c r="D257">
        <v>117</v>
      </c>
      <c r="E257" s="73">
        <f>ROUND((E140+D257/12),4)</f>
        <v>66.75</v>
      </c>
      <c r="F257" s="73">
        <f>ROUND(VLOOKUP(TRUNC(D257/12,0)+57,E140:F331,2,FALSE)-MOD(D257,12)*(VLOOKUP(TRUNC(D257/12,0)+57,E140:F331,2,FALSE)-VLOOKUP(TRUNC(D257/12,0)+1+57,E140:F331,2,FALSE))/12,4)</f>
        <v>9.6788000000000007</v>
      </c>
      <c r="I257">
        <v>110</v>
      </c>
      <c r="J257" s="322">
        <v>2.7562000000000002</v>
      </c>
      <c r="L257">
        <v>117</v>
      </c>
      <c r="M257" s="73">
        <f>ROUND((M140+L257/12),4)</f>
        <v>66.75</v>
      </c>
      <c r="N257" s="73">
        <f>ROUND(VLOOKUP(TRUNC(L257/12,0)+57,M140:N331,2,FALSE)-MOD(L257,12)*(VLOOKUP(TRUNC(L257/12,0)+57,M140:N331,2,FALSE)-VLOOKUP(TRUNC(L257/12,0)+1+57,M140:N331,2,FALSE))/12,4)</f>
        <v>8.0002999999999993</v>
      </c>
      <c r="R257">
        <v>110</v>
      </c>
      <c r="S257" s="322">
        <v>2.2246000000000001</v>
      </c>
      <c r="U257">
        <v>117</v>
      </c>
      <c r="V257" s="73">
        <f>ROUND((V140+U257/12),4)</f>
        <v>66.75</v>
      </c>
      <c r="W257" s="73">
        <f>ROUND(VLOOKUP(TRUNC(U257/12,0)+57,V140:W331,2,FALSE)-MOD(U257,12)*(VLOOKUP(TRUNC(U257/12,0)+57,V140:W331,2,FALSE)-VLOOKUP(TRUNC(U257/12,0)+1+57,V140:W331,2,FALSE))/12,4)</f>
        <v>9.4625000000000004</v>
      </c>
      <c r="AA257" s="322"/>
      <c r="AC257">
        <v>117</v>
      </c>
      <c r="AD257" s="73">
        <f>ROUND((AD140+AC257/12),4)</f>
        <v>66.75</v>
      </c>
      <c r="AE257" s="73">
        <f>ROUND(VLOOKUP(TRUNC(AC257/12,0)+57,AD140:AE331,2,FALSE)-MOD(AC257,12)*(VLOOKUP(TRUNC(AC257/12,0)+57,AD140:AE331,2,FALSE)-VLOOKUP(TRUNC(AC257/12,0)+1+57,AD140:AE331,2,FALSE))/12,4)</f>
        <v>9.4625000000000004</v>
      </c>
      <c r="AH257">
        <v>110</v>
      </c>
      <c r="AI257" s="322">
        <v>2.7782</v>
      </c>
      <c r="AK257">
        <v>117</v>
      </c>
      <c r="AL257" s="73">
        <f>ROUND((AL140+AK257/12),4)</f>
        <v>66.75</v>
      </c>
      <c r="AM257" s="73">
        <f>ROUND(VLOOKUP(TRUNC(AK257/12,0)+57,AL140:AM331,2,FALSE)-MOD(AK257,12)*(VLOOKUP(TRUNC(AK257/12,0)+57,AL140:AM331,2,FALSE)-VLOOKUP(TRUNC(AK257/12,0)+1+57,AL140:AM331,2,FALSE))/12,4)</f>
        <v>8.0002999999999993</v>
      </c>
    </row>
    <row r="258" spans="1:39" x14ac:dyDescent="0.2">
      <c r="A258">
        <v>111</v>
      </c>
      <c r="B258" s="322">
        <v>2.2218</v>
      </c>
      <c r="D258">
        <v>118</v>
      </c>
      <c r="E258" s="73">
        <f>ROUND((E140+D258/12),4)</f>
        <v>66.833299999999994</v>
      </c>
      <c r="F258" s="73">
        <f>ROUND(VLOOKUP(TRUNC(D258/12,0)+57,E140:F331,2,FALSE)-MOD(D258,12)*(VLOOKUP(TRUNC(D258/12,0)+57,E140:F331,2,FALSE)-VLOOKUP(TRUNC(D258/12,0)+1+57,E140:F331,2,FALSE))/12,4)</f>
        <v>9.6605000000000008</v>
      </c>
      <c r="I258">
        <v>111</v>
      </c>
      <c r="J258" s="322">
        <v>2.786</v>
      </c>
      <c r="L258">
        <v>118</v>
      </c>
      <c r="M258" s="73">
        <f>ROUND((M140+L258/12),4)</f>
        <v>66.833299999999994</v>
      </c>
      <c r="N258" s="73">
        <f>ROUND(VLOOKUP(TRUNC(L258/12,0)+57,M140:N331,2,FALSE)-MOD(L258,12)*(VLOOKUP(TRUNC(L258/12,0)+57,M140:N331,2,FALSE)-VLOOKUP(TRUNC(L258/12,0)+1+57,M140:N331,2,FALSE))/12,4)</f>
        <v>7.9813000000000001</v>
      </c>
      <c r="R258">
        <v>111</v>
      </c>
      <c r="S258" s="322">
        <v>2.2423000000000002</v>
      </c>
      <c r="U258">
        <v>118</v>
      </c>
      <c r="V258" s="73">
        <f>ROUND((V140+U258/12),4)</f>
        <v>66.833299999999994</v>
      </c>
      <c r="W258" s="73">
        <f>ROUND(VLOOKUP(TRUNC(U258/12,0)+57,V140:W331,2,FALSE)-MOD(U258,12)*(VLOOKUP(TRUNC(U258/12,0)+57,V140:W331,2,FALSE)-VLOOKUP(TRUNC(U258/12,0)+1+57,V140:W331,2,FALSE))/12,4)</f>
        <v>9.4427000000000003</v>
      </c>
      <c r="AA258" s="322"/>
      <c r="AC258">
        <v>118</v>
      </c>
      <c r="AD258" s="73">
        <f>ROUND((AD140+AC258/12),4)</f>
        <v>66.833299999999994</v>
      </c>
      <c r="AE258" s="73">
        <f>ROUND(VLOOKUP(TRUNC(AC258/12,0)+57,AD140:AE331,2,FALSE)-MOD(AC258,12)*(VLOOKUP(TRUNC(AC258/12,0)+57,AD140:AE331,2,FALSE)-VLOOKUP(TRUNC(AC258/12,0)+1+57,AD140:AE331,2,FALSE))/12,4)</f>
        <v>9.4427000000000003</v>
      </c>
      <c r="AH258">
        <v>111</v>
      </c>
      <c r="AI258" s="322">
        <v>2.8085</v>
      </c>
      <c r="AK258">
        <v>118</v>
      </c>
      <c r="AL258" s="73">
        <f>ROUND((AL140+AK258/12),4)</f>
        <v>66.833299999999994</v>
      </c>
      <c r="AM258" s="73">
        <f>ROUND(VLOOKUP(TRUNC(AK258/12,0)+57,AL140:AM331,2,FALSE)-MOD(AK258,12)*(VLOOKUP(TRUNC(AK258/12,0)+57,AL140:AM331,2,FALSE)-VLOOKUP(TRUNC(AK258/12,0)+1+57,AL140:AM331,2,FALSE))/12,4)</f>
        <v>7.9813000000000001</v>
      </c>
    </row>
    <row r="259" spans="1:39" x14ac:dyDescent="0.2">
      <c r="A259">
        <v>112</v>
      </c>
      <c r="B259" s="322">
        <v>2.2389000000000001</v>
      </c>
      <c r="D259">
        <v>119</v>
      </c>
      <c r="E259" s="73">
        <f>ROUND((E140+D259/12),4)</f>
        <v>66.916700000000006</v>
      </c>
      <c r="F259" s="73">
        <f>ROUND(VLOOKUP(TRUNC(D259/12,0)+57,E140:F331,2,FALSE)-MOD(D259,12)*(VLOOKUP(TRUNC(D259/12,0)+57,E140:F331,2,FALSE)-VLOOKUP(TRUNC(D259/12,0)+1+57,E140:F331,2,FALSE))/12,4)</f>
        <v>9.6423000000000005</v>
      </c>
      <c r="I259">
        <v>112</v>
      </c>
      <c r="J259" s="322">
        <v>2.8159000000000001</v>
      </c>
      <c r="L259">
        <v>119</v>
      </c>
      <c r="M259" s="73">
        <f>ROUND((M140+L259/12),4)</f>
        <v>66.916700000000006</v>
      </c>
      <c r="N259" s="73">
        <f>ROUND(VLOOKUP(TRUNC(L259/12,0)+57,M140:N331,2,FALSE)-MOD(L259,12)*(VLOOKUP(TRUNC(L259/12,0)+57,M140:N331,2,FALSE)-VLOOKUP(TRUNC(L259/12,0)+1+57,M140:N331,2,FALSE))/12,4)</f>
        <v>7.9622000000000002</v>
      </c>
      <c r="R259">
        <v>112</v>
      </c>
      <c r="S259" s="322">
        <v>2.2599999999999998</v>
      </c>
      <c r="U259">
        <v>119</v>
      </c>
      <c r="V259" s="73">
        <f>ROUND((V140+U259/12),4)</f>
        <v>66.916700000000006</v>
      </c>
      <c r="W259" s="73">
        <f>ROUND(VLOOKUP(TRUNC(U259/12,0)+57,V140:W331,2,FALSE)-MOD(U259,12)*(VLOOKUP(TRUNC(U259/12,0)+57,V140:W331,2,FALSE)-VLOOKUP(TRUNC(U259/12,0)+1+57,V140:W331,2,FALSE))/12,4)</f>
        <v>9.4229000000000003</v>
      </c>
      <c r="AA259" s="322"/>
      <c r="AC259">
        <v>119</v>
      </c>
      <c r="AD259" s="73">
        <f>ROUND((AD140+AC259/12),4)</f>
        <v>66.916700000000006</v>
      </c>
      <c r="AE259" s="73">
        <f>ROUND(VLOOKUP(TRUNC(AC259/12,0)+57,AD140:AE331,2,FALSE)-MOD(AC259,12)*(VLOOKUP(TRUNC(AC259/12,0)+57,AD140:AE331,2,FALSE)-VLOOKUP(TRUNC(AC259/12,0)+1+57,AD140:AE331,2,FALSE))/12,4)</f>
        <v>9.4229000000000003</v>
      </c>
      <c r="AH259">
        <v>112</v>
      </c>
      <c r="AI259" s="322">
        <v>2.8389000000000002</v>
      </c>
      <c r="AK259">
        <v>119</v>
      </c>
      <c r="AL259" s="73">
        <f>ROUND((AL140+AK259/12),4)</f>
        <v>66.916700000000006</v>
      </c>
      <c r="AM259" s="73">
        <f>ROUND(VLOOKUP(TRUNC(AK259/12,0)+57,AL140:AM331,2,FALSE)-MOD(AK259,12)*(VLOOKUP(TRUNC(AK259/12,0)+57,AL140:AM331,2,FALSE)-VLOOKUP(TRUNC(AK259/12,0)+1+57,AL140:AM331,2,FALSE))/12,4)</f>
        <v>7.9622000000000002</v>
      </c>
    </row>
    <row r="260" spans="1:39" x14ac:dyDescent="0.2">
      <c r="A260">
        <v>113</v>
      </c>
      <c r="B260" s="322">
        <v>2.2559</v>
      </c>
      <c r="D260">
        <v>120</v>
      </c>
      <c r="E260" s="73">
        <f>ROUND((E140+D260/12),4)</f>
        <v>67</v>
      </c>
      <c r="F260" s="73">
        <f>[1]!NPVF("Mp","SLA","N",B140:C140,"M",E260,E260,0,0,0,0,A140,A140,"P","","")</f>
        <v>9.6240126584696633</v>
      </c>
      <c r="I260">
        <v>113</v>
      </c>
      <c r="J260" s="322">
        <v>2.8456999999999999</v>
      </c>
      <c r="L260">
        <v>120</v>
      </c>
      <c r="M260" s="73">
        <f>ROUND((M140+L260/12),4)</f>
        <v>67</v>
      </c>
      <c r="N260" s="73">
        <f>[1]!NPVF("Mp","SLA","N",J140:K140,"M",M260,M260,0,0,0,0,I140,I140,"P","","")</f>
        <v>7.9430743911021642</v>
      </c>
      <c r="R260">
        <v>113</v>
      </c>
      <c r="S260" s="322">
        <v>2.2776999999999998</v>
      </c>
      <c r="U260">
        <v>120</v>
      </c>
      <c r="V260" s="73">
        <f>ROUND((V140+U260/12),4)</f>
        <v>67</v>
      </c>
      <c r="W260" s="73">
        <f>[1]!NPVF("Mp","SLA","N",S140:T140,"M",V260,V260,0,0,0,0,R140,R140,"P","","")</f>
        <v>9.4030330869672127</v>
      </c>
      <c r="AA260" s="322"/>
      <c r="AC260">
        <v>120</v>
      </c>
      <c r="AD260" s="73">
        <f>ROUND((AD140+AC260/12),4)</f>
        <v>67</v>
      </c>
      <c r="AE260" s="73">
        <f>[1]!NPVF("Mp","SLA","N",AA140:AB140,"M",AD260,AD260,0,0,0,0,Z140,Z140,"P","","")</f>
        <v>9.4030330869672127</v>
      </c>
      <c r="AH260">
        <v>113</v>
      </c>
      <c r="AI260" s="322">
        <v>2.8693</v>
      </c>
      <c r="AK260">
        <v>120</v>
      </c>
      <c r="AL260" s="73">
        <f>ROUND((AL140+AK260/12),4)</f>
        <v>67</v>
      </c>
      <c r="AM260" s="73">
        <f>[1]!NPVF("Mp","SLA","N",AI140:AJ140,"M",AL260,AL260,0,0,0,0,AH140,AH140,"P","","")</f>
        <v>7.9430743911021642</v>
      </c>
    </row>
    <row r="261" spans="1:39" x14ac:dyDescent="0.2">
      <c r="A261">
        <v>114</v>
      </c>
      <c r="B261" s="322">
        <v>2.2730000000000001</v>
      </c>
      <c r="D261">
        <v>121</v>
      </c>
      <c r="E261" s="73">
        <f>ROUND((E140+D261/12),4)</f>
        <v>67.083299999999994</v>
      </c>
      <c r="F261" s="73">
        <f>ROUND(VLOOKUP(TRUNC(D261/12,0)+57,E140:F331,2,FALSE)-MOD(D261,12)*(VLOOKUP(TRUNC(D261/12,0)+57,E140:F331,2,FALSE)-VLOOKUP(TRUNC(D261/12,0)+1+57,E140:F331,2,FALSE))/12,4)</f>
        <v>9.6053999999999995</v>
      </c>
      <c r="I261">
        <v>114</v>
      </c>
      <c r="J261" s="322">
        <v>2.8755999999999999</v>
      </c>
      <c r="L261">
        <v>121</v>
      </c>
      <c r="M261" s="73">
        <f>ROUND((M140+L261/12),4)</f>
        <v>67.083299999999994</v>
      </c>
      <c r="N261" s="73">
        <f>ROUND(VLOOKUP(TRUNC(L261/12,0)+57,M140:N331,2,FALSE)-MOD(L261,12)*(VLOOKUP(TRUNC(L261/12,0)+57,M140:N331,2,FALSE)-VLOOKUP(TRUNC(L261/12,0)+1+57,M140:N331,2,FALSE))/12,4)</f>
        <v>7.9238999999999997</v>
      </c>
      <c r="R261">
        <v>114</v>
      </c>
      <c r="S261" s="322">
        <v>2.2955000000000001</v>
      </c>
      <c r="U261">
        <v>121</v>
      </c>
      <c r="V261" s="73">
        <f>ROUND((V140+U261/12),4)</f>
        <v>67.083299999999994</v>
      </c>
      <c r="W261" s="73">
        <f>ROUND(VLOOKUP(TRUNC(U261/12,0)+57,V140:W331,2,FALSE)-MOD(U261,12)*(VLOOKUP(TRUNC(U261/12,0)+57,V140:W331,2,FALSE)-VLOOKUP(TRUNC(U261/12,0)+1+57,V140:W331,2,FALSE))/12,4)</f>
        <v>9.3827999999999996</v>
      </c>
      <c r="AA261" s="322"/>
      <c r="AC261">
        <v>121</v>
      </c>
      <c r="AD261" s="73">
        <f>ROUND((AD140+AC261/12),4)</f>
        <v>67.083299999999994</v>
      </c>
      <c r="AE261" s="73">
        <f>ROUND(VLOOKUP(TRUNC(AC261/12,0)+57,AD140:AE331,2,FALSE)-MOD(AC261,12)*(VLOOKUP(TRUNC(AC261/12,0)+57,AD140:AE331,2,FALSE)-VLOOKUP(TRUNC(AC261/12,0)+1+57,AD140:AE331,2,FALSE))/12,4)</f>
        <v>9.3827999999999996</v>
      </c>
      <c r="AH261">
        <v>114</v>
      </c>
      <c r="AI261" s="322">
        <v>2.8997000000000002</v>
      </c>
      <c r="AK261">
        <v>121</v>
      </c>
      <c r="AL261" s="73">
        <f>ROUND((AL140+AK261/12),4)</f>
        <v>67.083299999999994</v>
      </c>
      <c r="AM261" s="73">
        <f>ROUND(VLOOKUP(TRUNC(AK261/12,0)+57,AL140:AM331,2,FALSE)-MOD(AK261,12)*(VLOOKUP(TRUNC(AK261/12,0)+57,AL140:AM331,2,FALSE)-VLOOKUP(TRUNC(AK261/12,0)+1+57,AL140:AM331,2,FALSE))/12,4)</f>
        <v>7.9238999999999997</v>
      </c>
    </row>
    <row r="262" spans="1:39" x14ac:dyDescent="0.2">
      <c r="A262">
        <v>115</v>
      </c>
      <c r="B262" s="322">
        <v>2.2900999999999998</v>
      </c>
      <c r="D262">
        <v>122</v>
      </c>
      <c r="E262" s="73">
        <f>ROUND((E140+D262/12),4)</f>
        <v>67.166700000000006</v>
      </c>
      <c r="F262" s="73">
        <f>ROUND(VLOOKUP(TRUNC(D262/12,0)+57,E140:F331,2,FALSE)-MOD(D262,12)*(VLOOKUP(TRUNC(D262/12,0)+57,E140:F331,2,FALSE)-VLOOKUP(TRUNC(D262/12,0)+1+57,E140:F331,2,FALSE))/12,4)</f>
        <v>9.5868000000000002</v>
      </c>
      <c r="I262">
        <v>115</v>
      </c>
      <c r="J262" s="322">
        <v>2.9054000000000002</v>
      </c>
      <c r="L262">
        <v>122</v>
      </c>
      <c r="M262" s="73">
        <f>ROUND((M140+L262/12),4)</f>
        <v>67.166700000000006</v>
      </c>
      <c r="N262" s="73">
        <f>ROUND(VLOOKUP(TRUNC(L262/12,0)+57,M140:N331,2,FALSE)-MOD(L262,12)*(VLOOKUP(TRUNC(L262/12,0)+57,M140:N331,2,FALSE)-VLOOKUP(TRUNC(L262/12,0)+1+57,M140:N331,2,FALSE))/12,4)</f>
        <v>7.9047999999999998</v>
      </c>
      <c r="R262">
        <v>115</v>
      </c>
      <c r="S262" s="322">
        <v>2.3132000000000001</v>
      </c>
      <c r="U262">
        <v>122</v>
      </c>
      <c r="V262" s="73">
        <f>ROUND((V140+U262/12),4)</f>
        <v>67.166700000000006</v>
      </c>
      <c r="W262" s="73">
        <f>ROUND(VLOOKUP(TRUNC(U262/12,0)+57,V140:W331,2,FALSE)-MOD(U262,12)*(VLOOKUP(TRUNC(U262/12,0)+57,V140:W331,2,FALSE)-VLOOKUP(TRUNC(U262/12,0)+1+57,V140:W331,2,FALSE))/12,4)</f>
        <v>9.3626000000000005</v>
      </c>
      <c r="AA262" s="322"/>
      <c r="AC262">
        <v>122</v>
      </c>
      <c r="AD262" s="73">
        <f>ROUND((AD140+AC262/12),4)</f>
        <v>67.166700000000006</v>
      </c>
      <c r="AE262" s="73">
        <f>ROUND(VLOOKUP(TRUNC(AC262/12,0)+57,AD140:AE331,2,FALSE)-MOD(AC262,12)*(VLOOKUP(TRUNC(AC262/12,0)+57,AD140:AE331,2,FALSE)-VLOOKUP(TRUNC(AC262/12,0)+1+57,AD140:AE331,2,FALSE))/12,4)</f>
        <v>9.3626000000000005</v>
      </c>
      <c r="AH262">
        <v>115</v>
      </c>
      <c r="AI262" s="322">
        <v>2.93</v>
      </c>
      <c r="AK262">
        <v>122</v>
      </c>
      <c r="AL262" s="73">
        <f>ROUND((AL140+AK262/12),4)</f>
        <v>67.166700000000006</v>
      </c>
      <c r="AM262" s="73">
        <f>ROUND(VLOOKUP(TRUNC(AK262/12,0)+57,AL140:AM331,2,FALSE)-MOD(AK262,12)*(VLOOKUP(TRUNC(AK262/12,0)+57,AL140:AM331,2,FALSE)-VLOOKUP(TRUNC(AK262/12,0)+1+57,AL140:AM331,2,FALSE))/12,4)</f>
        <v>7.9047999999999998</v>
      </c>
    </row>
    <row r="263" spans="1:39" x14ac:dyDescent="0.2">
      <c r="A263">
        <v>116</v>
      </c>
      <c r="B263" s="322">
        <v>2.3071000000000002</v>
      </c>
      <c r="D263">
        <v>123</v>
      </c>
      <c r="E263" s="73">
        <f>ROUND((E140+D263/12),4)</f>
        <v>67.25</v>
      </c>
      <c r="F263" s="73">
        <f>ROUND(VLOOKUP(TRUNC(D263/12,0)+57,E140:F331,2,FALSE)-MOD(D263,12)*(VLOOKUP(TRUNC(D263/12,0)+57,E140:F331,2,FALSE)-VLOOKUP(TRUNC(D263/12,0)+1+57,E140:F331,2,FALSE))/12,4)</f>
        <v>9.5681999999999992</v>
      </c>
      <c r="I263">
        <v>116</v>
      </c>
      <c r="J263" s="322">
        <v>2.9352</v>
      </c>
      <c r="L263">
        <v>123</v>
      </c>
      <c r="M263" s="73">
        <f>ROUND((M140+L263/12),4)</f>
        <v>67.25</v>
      </c>
      <c r="N263" s="73">
        <f>ROUND(VLOOKUP(TRUNC(L263/12,0)+57,M140:N331,2,FALSE)-MOD(L263,12)*(VLOOKUP(TRUNC(L263/12,0)+57,M140:N331,2,FALSE)-VLOOKUP(TRUNC(L263/12,0)+1+57,M140:N331,2,FALSE))/12,4)</f>
        <v>7.8856000000000002</v>
      </c>
      <c r="R263">
        <v>116</v>
      </c>
      <c r="S263" s="322">
        <v>2.3309000000000002</v>
      </c>
      <c r="U263">
        <v>123</v>
      </c>
      <c r="V263" s="73">
        <f>ROUND((V140+U263/12),4)</f>
        <v>67.25</v>
      </c>
      <c r="W263" s="73">
        <f>ROUND(VLOOKUP(TRUNC(U263/12,0)+57,V140:W331,2,FALSE)-MOD(U263,12)*(VLOOKUP(TRUNC(U263/12,0)+57,V140:W331,2,FALSE)-VLOOKUP(TRUNC(U263/12,0)+1+57,V140:W331,2,FALSE))/12,4)</f>
        <v>9.3423999999999996</v>
      </c>
      <c r="AA263" s="322"/>
      <c r="AC263">
        <v>123</v>
      </c>
      <c r="AD263" s="73">
        <f>ROUND((AD140+AC263/12),4)</f>
        <v>67.25</v>
      </c>
      <c r="AE263" s="73">
        <f>ROUND(VLOOKUP(TRUNC(AC263/12,0)+57,AD140:AE331,2,FALSE)-MOD(AC263,12)*(VLOOKUP(TRUNC(AC263/12,0)+57,AD140:AE331,2,FALSE)-VLOOKUP(TRUNC(AC263/12,0)+1+57,AD140:AE331,2,FALSE))/12,4)</f>
        <v>9.3423999999999996</v>
      </c>
      <c r="AH263">
        <v>116</v>
      </c>
      <c r="AI263" s="322">
        <v>2.9603999999999999</v>
      </c>
      <c r="AK263">
        <v>123</v>
      </c>
      <c r="AL263" s="73">
        <f>ROUND((AL140+AK263/12),4)</f>
        <v>67.25</v>
      </c>
      <c r="AM263" s="73">
        <f>ROUND(VLOOKUP(TRUNC(AK263/12,0)+57,AL140:AM331,2,FALSE)-MOD(AK263,12)*(VLOOKUP(TRUNC(AK263/12,0)+57,AL140:AM331,2,FALSE)-VLOOKUP(TRUNC(AK263/12,0)+1+57,AL140:AM331,2,FALSE))/12,4)</f>
        <v>7.8856000000000002</v>
      </c>
    </row>
    <row r="264" spans="1:39" x14ac:dyDescent="0.2">
      <c r="A264">
        <v>117</v>
      </c>
      <c r="B264" s="322">
        <v>2.3241999999999998</v>
      </c>
      <c r="D264">
        <v>124</v>
      </c>
      <c r="E264" s="73">
        <f>ROUND((E140+D264/12),4)</f>
        <v>67.333299999999994</v>
      </c>
      <c r="F264" s="73">
        <f>ROUND(VLOOKUP(TRUNC(D264/12,0)+57,E140:F331,2,FALSE)-MOD(D264,12)*(VLOOKUP(TRUNC(D264/12,0)+57,E140:F331,2,FALSE)-VLOOKUP(TRUNC(D264/12,0)+1+57,E140:F331,2,FALSE))/12,4)</f>
        <v>9.5495999999999999</v>
      </c>
      <c r="I264">
        <v>117</v>
      </c>
      <c r="J264" s="322">
        <v>2.9651000000000001</v>
      </c>
      <c r="L264">
        <v>124</v>
      </c>
      <c r="M264" s="73">
        <f>ROUND((M140+L264/12),4)</f>
        <v>67.333299999999994</v>
      </c>
      <c r="N264" s="73">
        <f>ROUND(VLOOKUP(TRUNC(L264/12,0)+57,M140:N331,2,FALSE)-MOD(L264,12)*(VLOOKUP(TRUNC(L264/12,0)+57,M140:N331,2,FALSE)-VLOOKUP(TRUNC(L264/12,0)+1+57,M140:N331,2,FALSE))/12,4)</f>
        <v>7.8665000000000003</v>
      </c>
      <c r="R264">
        <v>117</v>
      </c>
      <c r="S264" s="322">
        <v>2.3485999999999998</v>
      </c>
      <c r="U264">
        <v>124</v>
      </c>
      <c r="V264" s="73">
        <f>ROUND((V140+U264/12),4)</f>
        <v>67.333299999999994</v>
      </c>
      <c r="W264" s="73">
        <f>ROUND(VLOOKUP(TRUNC(U264/12,0)+57,V140:W331,2,FALSE)-MOD(U264,12)*(VLOOKUP(TRUNC(U264/12,0)+57,V140:W331,2,FALSE)-VLOOKUP(TRUNC(U264/12,0)+1+57,V140:W331,2,FALSE))/12,4)</f>
        <v>9.3221000000000007</v>
      </c>
      <c r="AA264" s="322"/>
      <c r="AC264">
        <v>124</v>
      </c>
      <c r="AD264" s="73">
        <f>ROUND((AD140+AC264/12),4)</f>
        <v>67.333299999999994</v>
      </c>
      <c r="AE264" s="73">
        <f>ROUND(VLOOKUP(TRUNC(AC264/12,0)+57,AD140:AE331,2,FALSE)-MOD(AC264,12)*(VLOOKUP(TRUNC(AC264/12,0)+57,AD140:AE331,2,FALSE)-VLOOKUP(TRUNC(AC264/12,0)+1+57,AD140:AE331,2,FALSE))/12,4)</f>
        <v>9.3221000000000007</v>
      </c>
      <c r="AH264">
        <v>117</v>
      </c>
      <c r="AI264" s="322">
        <v>2.9908000000000001</v>
      </c>
      <c r="AK264">
        <v>124</v>
      </c>
      <c r="AL264" s="73">
        <f>ROUND((AL140+AK264/12),4)</f>
        <v>67.333299999999994</v>
      </c>
      <c r="AM264" s="73">
        <f>ROUND(VLOOKUP(TRUNC(AK264/12,0)+57,AL140:AM331,2,FALSE)-MOD(AK264,12)*(VLOOKUP(TRUNC(AK264/12,0)+57,AL140:AM331,2,FALSE)-VLOOKUP(TRUNC(AK264/12,0)+1+57,AL140:AM331,2,FALSE))/12,4)</f>
        <v>7.8665000000000003</v>
      </c>
    </row>
    <row r="265" spans="1:39" x14ac:dyDescent="0.2">
      <c r="A265">
        <v>118</v>
      </c>
      <c r="B265" s="322">
        <v>2.3412999999999999</v>
      </c>
      <c r="D265">
        <v>125</v>
      </c>
      <c r="E265" s="73">
        <f>ROUND((E140+D265/12),4)</f>
        <v>67.416700000000006</v>
      </c>
      <c r="F265" s="73">
        <f>ROUND(VLOOKUP(TRUNC(D265/12,0)+57,E140:F331,2,FALSE)-MOD(D265,12)*(VLOOKUP(TRUNC(D265/12,0)+57,E140:F331,2,FALSE)-VLOOKUP(TRUNC(D265/12,0)+1+57,E140:F331,2,FALSE))/12,4)</f>
        <v>9.5310000000000006</v>
      </c>
      <c r="I265">
        <v>118</v>
      </c>
      <c r="J265" s="322">
        <v>2.9948999999999999</v>
      </c>
      <c r="L265">
        <v>125</v>
      </c>
      <c r="M265" s="73">
        <f>ROUND((M140+L265/12),4)</f>
        <v>67.416700000000006</v>
      </c>
      <c r="N265" s="73">
        <f>ROUND(VLOOKUP(TRUNC(L265/12,0)+57,M140:N331,2,FALSE)-MOD(L265,12)*(VLOOKUP(TRUNC(L265/12,0)+57,M140:N331,2,FALSE)-VLOOKUP(TRUNC(L265/12,0)+1+57,M140:N331,2,FALSE))/12,4)</f>
        <v>7.8472999999999997</v>
      </c>
      <c r="R265">
        <v>118</v>
      </c>
      <c r="S265" s="322">
        <v>2.3662999999999998</v>
      </c>
      <c r="U265">
        <v>125</v>
      </c>
      <c r="V265" s="73">
        <f>ROUND((V140+U265/12),4)</f>
        <v>67.416700000000006</v>
      </c>
      <c r="W265" s="73">
        <f>ROUND(VLOOKUP(TRUNC(U265/12,0)+57,V140:W331,2,FALSE)-MOD(U265,12)*(VLOOKUP(TRUNC(U265/12,0)+57,V140:W331,2,FALSE)-VLOOKUP(TRUNC(U265/12,0)+1+57,V140:W331,2,FALSE))/12,4)</f>
        <v>9.3018999999999998</v>
      </c>
      <c r="AA265" s="322"/>
      <c r="AC265">
        <v>125</v>
      </c>
      <c r="AD265" s="73">
        <f>ROUND((AD140+AC265/12),4)</f>
        <v>67.416700000000006</v>
      </c>
      <c r="AE265" s="73">
        <f>ROUND(VLOOKUP(TRUNC(AC265/12,0)+57,AD140:AE331,2,FALSE)-MOD(AC265,12)*(VLOOKUP(TRUNC(AC265/12,0)+57,AD140:AE331,2,FALSE)-VLOOKUP(TRUNC(AC265/12,0)+1+57,AD140:AE331,2,FALSE))/12,4)</f>
        <v>9.3018999999999998</v>
      </c>
      <c r="AH265">
        <v>118</v>
      </c>
      <c r="AI265" s="322">
        <v>3.0211999999999999</v>
      </c>
      <c r="AK265">
        <v>125</v>
      </c>
      <c r="AL265" s="73">
        <f>ROUND((AL140+AK265/12),4)</f>
        <v>67.416700000000006</v>
      </c>
      <c r="AM265" s="73">
        <f>ROUND(VLOOKUP(TRUNC(AK265/12,0)+57,AL140:AM331,2,FALSE)-MOD(AK265,12)*(VLOOKUP(TRUNC(AK265/12,0)+57,AL140:AM331,2,FALSE)-VLOOKUP(TRUNC(AK265/12,0)+1+57,AL140:AM331,2,FALSE))/12,4)</f>
        <v>7.8472999999999997</v>
      </c>
    </row>
    <row r="266" spans="1:39" x14ac:dyDescent="0.2">
      <c r="A266">
        <v>119</v>
      </c>
      <c r="B266" s="322">
        <v>2.3582999999999998</v>
      </c>
      <c r="D266">
        <v>126</v>
      </c>
      <c r="E266" s="73">
        <f>ROUND((E140+D266/12),4)</f>
        <v>67.5</v>
      </c>
      <c r="F266" s="73">
        <f>ROUND(VLOOKUP(TRUNC(D266/12,0)+57,E140:F331,2,FALSE)-MOD(D266,12)*(VLOOKUP(TRUNC(D266/12,0)+57,E140:F331,2,FALSE)-VLOOKUP(TRUNC(D266/12,0)+1+57,E140:F331,2,FALSE))/12,4)</f>
        <v>9.5122999999999998</v>
      </c>
      <c r="I266">
        <v>119</v>
      </c>
      <c r="J266" s="322">
        <v>3.0247999999999999</v>
      </c>
      <c r="L266">
        <v>126</v>
      </c>
      <c r="M266" s="73">
        <f>ROUND((M140+L266/12),4)</f>
        <v>67.5</v>
      </c>
      <c r="N266" s="73">
        <f>ROUND(VLOOKUP(TRUNC(L266/12,0)+57,M140:N331,2,FALSE)-MOD(L266,12)*(VLOOKUP(TRUNC(L266/12,0)+57,M140:N331,2,FALSE)-VLOOKUP(TRUNC(L266/12,0)+1+57,M140:N331,2,FALSE))/12,4)</f>
        <v>7.8281000000000001</v>
      </c>
      <c r="R266">
        <v>119</v>
      </c>
      <c r="S266" s="322">
        <v>2.3839999999999999</v>
      </c>
      <c r="U266">
        <v>126</v>
      </c>
      <c r="V266" s="73">
        <f>ROUND((V140+U266/12),4)</f>
        <v>67.5</v>
      </c>
      <c r="W266" s="73">
        <f>ROUND(VLOOKUP(TRUNC(U266/12,0)+57,V140:W331,2,FALSE)-MOD(U266,12)*(VLOOKUP(TRUNC(U266/12,0)+57,V140:W331,2,FALSE)-VLOOKUP(TRUNC(U266/12,0)+1+57,V140:W331,2,FALSE))/12,4)</f>
        <v>9.2817000000000007</v>
      </c>
      <c r="Y266">
        <f>ROUND(VLOOKUP(AA142,AD140:AE320,2,FALSE)/(VLOOKUP(ROUND((AA142+Z267/12),4),AD140:AE320,2,FALSE)*([1]!lx(Z140,"M",AA142+Z267/12)/[1]!lx(Z140,"M",AA142))/((1+AA140)^(Z267/12))),4)</f>
        <v>1</v>
      </c>
      <c r="AA266" s="322"/>
      <c r="AC266">
        <v>126</v>
      </c>
      <c r="AD266" s="73">
        <f>ROUND((AD140+AC266/12),4)</f>
        <v>67.5</v>
      </c>
      <c r="AE266" s="73">
        <f>ROUND(VLOOKUP(TRUNC(AC266/12,0)+57,AD140:AE331,2,FALSE)-MOD(AC266,12)*(VLOOKUP(TRUNC(AC266/12,0)+57,AD140:AE331,2,FALSE)-VLOOKUP(TRUNC(AC266/12,0)+1+57,AD140:AE331,2,FALSE))/12,4)</f>
        <v>9.2817000000000007</v>
      </c>
      <c r="AH266">
        <v>119</v>
      </c>
      <c r="AI266" s="322">
        <v>3.0514999999999999</v>
      </c>
      <c r="AK266">
        <v>126</v>
      </c>
      <c r="AL266" s="73">
        <f>ROUND((AL140+AK266/12),4)</f>
        <v>67.5</v>
      </c>
      <c r="AM266" s="73">
        <f>ROUND(VLOOKUP(TRUNC(AK266/12,0)+57,AL140:AM331,2,FALSE)-MOD(AK266,12)*(VLOOKUP(TRUNC(AK266/12,0)+57,AL140:AM331,2,FALSE)-VLOOKUP(TRUNC(AK266/12,0)+1+57,AL140:AM331,2,FALSE))/12,4)</f>
        <v>7.8281000000000001</v>
      </c>
    </row>
    <row r="267" spans="1:39" x14ac:dyDescent="0.2">
      <c r="A267">
        <v>120</v>
      </c>
      <c r="B267" s="73">
        <v>2.3754</v>
      </c>
      <c r="D267">
        <v>127</v>
      </c>
      <c r="E267" s="73">
        <f>ROUND((E140+D267/12),4)</f>
        <v>67.583299999999994</v>
      </c>
      <c r="F267" s="73">
        <f>ROUND(VLOOKUP(TRUNC(D267/12,0)+57,E140:F331,2,FALSE)-MOD(D267,12)*(VLOOKUP(TRUNC(D267/12,0)+57,E140:F331,2,FALSE)-VLOOKUP(TRUNC(D267/12,0)+1+57,E140:F331,2,FALSE))/12,4)</f>
        <v>9.4937000000000005</v>
      </c>
      <c r="I267">
        <v>120</v>
      </c>
      <c r="J267" s="73">
        <v>3.0546000000000002</v>
      </c>
      <c r="L267">
        <v>127</v>
      </c>
      <c r="M267" s="73">
        <f>ROUND((M140+L267/12),4)</f>
        <v>67.583299999999994</v>
      </c>
      <c r="N267" s="73">
        <f>ROUND(VLOOKUP(TRUNC(L267/12,0)+57,M140:N331,2,FALSE)-MOD(L267,12)*(VLOOKUP(TRUNC(L267/12,0)+57,M140:N331,2,FALSE)-VLOOKUP(TRUNC(L267/12,0)+1+57,M140:N331,2,FALSE))/12,4)</f>
        <v>7.8090000000000002</v>
      </c>
      <c r="R267">
        <v>120</v>
      </c>
      <c r="S267" s="73">
        <v>2.4016999999999999</v>
      </c>
      <c r="U267">
        <v>127</v>
      </c>
      <c r="V267" s="73">
        <f>ROUND((V140+U267/12),4)</f>
        <v>67.583299999999994</v>
      </c>
      <c r="W267" s="73">
        <f>ROUND(VLOOKUP(TRUNC(U267/12,0)+57,V140:W331,2,FALSE)-MOD(U267,12)*(VLOOKUP(TRUNC(U267/12,0)+57,V140:W331,2,FALSE)-VLOOKUP(TRUNC(U267/12,0)+1+57,V140:W331,2,FALSE))/12,4)</f>
        <v>9.2614000000000001</v>
      </c>
      <c r="Y267">
        <f>ROUND(VLOOKUP(AA142,AD140:AE320,2,FALSE)/(VLOOKUP(ROUND((AA142+Z267/12),4),AD140:AE320,2,FALSE)*([1]!lx(Z140,"M",AA142+Z267/12)/[1]!lx(Z140,"M",AA142))/((1+AA140)^(Z267/12))),4)</f>
        <v>1</v>
      </c>
      <c r="AA267" s="73"/>
      <c r="AC267">
        <v>127</v>
      </c>
      <c r="AD267" s="73">
        <f>ROUND((AD140+AC267/12),4)</f>
        <v>67.583299999999994</v>
      </c>
      <c r="AE267" s="73">
        <f>ROUND(VLOOKUP(TRUNC(AC267/12,0)+57,AD140:AE331,2,FALSE)-MOD(AC267,12)*(VLOOKUP(TRUNC(AC267/12,0)+57,AD140:AE331,2,FALSE)-VLOOKUP(TRUNC(AC267/12,0)+1+57,AD140:AE331,2,FALSE))/12,4)</f>
        <v>9.2614000000000001</v>
      </c>
      <c r="AH267">
        <v>120</v>
      </c>
      <c r="AI267" s="73">
        <v>3.0819000000000001</v>
      </c>
      <c r="AK267">
        <v>127</v>
      </c>
      <c r="AL267" s="73">
        <f>ROUND((AL140+AK267/12),4)</f>
        <v>67.583299999999994</v>
      </c>
      <c r="AM267" s="73">
        <f>ROUND(VLOOKUP(TRUNC(AK267/12,0)+57,AL140:AM331,2,FALSE)-MOD(AK267,12)*(VLOOKUP(TRUNC(AK267/12,0)+57,AL140:AM331,2,FALSE)-VLOOKUP(TRUNC(AK267/12,0)+1+57,AL140:AM331,2,FALSE))/12,4)</f>
        <v>7.8090000000000002</v>
      </c>
    </row>
    <row r="268" spans="1:39" x14ac:dyDescent="0.2">
      <c r="A268">
        <v>121</v>
      </c>
      <c r="B268" s="73">
        <v>2.3942999999999999</v>
      </c>
      <c r="D268">
        <v>128</v>
      </c>
      <c r="E268" s="73">
        <f>ROUND(E140+D268/12,4)</f>
        <v>67.666700000000006</v>
      </c>
      <c r="F268" s="73">
        <f>ROUND(VLOOKUP(TRUNC(D268/12,0)+57,E140:F331,2,FALSE)-MOD(D268,12)*(VLOOKUP(TRUNC(D268/12,0)+57,E140:F331,2,FALSE)-VLOOKUP(TRUNC(D268/12,0)+1+57,E140:F331,2,FALSE))/12,4)</f>
        <v>9.4750999999999994</v>
      </c>
      <c r="I268">
        <v>121</v>
      </c>
      <c r="J268" s="73">
        <v>3.0895000000000001</v>
      </c>
      <c r="L268">
        <v>128</v>
      </c>
      <c r="M268" s="73">
        <f>ROUND(M140+L268/12,4)</f>
        <v>67.666700000000006</v>
      </c>
      <c r="N268" s="73">
        <f>ROUND(VLOOKUP(TRUNC(L268/12,0)+57,M140:N331,2,FALSE)-MOD(L268,12)*(VLOOKUP(TRUNC(L268/12,0)+57,M140:N331,2,FALSE)-VLOOKUP(TRUNC(L268/12,0)+1+57,M140:N331,2,FALSE))/12,4)</f>
        <v>7.7897999999999996</v>
      </c>
      <c r="R268">
        <v>121</v>
      </c>
      <c r="S268" s="73">
        <v>2.4214000000000002</v>
      </c>
      <c r="U268">
        <v>128</v>
      </c>
      <c r="V268" s="73">
        <f>ROUND(V140+U268/12,4)</f>
        <v>67.666700000000006</v>
      </c>
      <c r="W268" s="73">
        <f>ROUND(VLOOKUP(TRUNC(U268/12,0)+57,V140:W331,2,FALSE)-MOD(U268,12)*(VLOOKUP(TRUNC(U268/12,0)+57,V140:W331,2,FALSE)-VLOOKUP(TRUNC(U268/12,0)+1+57,V140:W331,2,FALSE))/12,4)</f>
        <v>9.2411999999999992</v>
      </c>
      <c r="Y268">
        <f>VLOOKUP(AA142,AD140:AE320,2,FALSE)</f>
        <v>10.372400000000001</v>
      </c>
      <c r="AA268" s="73"/>
      <c r="AC268">
        <v>128</v>
      </c>
      <c r="AD268" s="73">
        <f>ROUND(AD140+AC268/12,4)</f>
        <v>67.666700000000006</v>
      </c>
      <c r="AE268" s="73">
        <f>ROUND(VLOOKUP(TRUNC(AC268/12,0)+57,AD140:AE331,2,FALSE)-MOD(AC268,12)*(VLOOKUP(TRUNC(AC268/12,0)+57,AD140:AE331,2,FALSE)-VLOOKUP(TRUNC(AC268/12,0)+1+57,AD140:AE331,2,FALSE))/12,4)</f>
        <v>9.2411999999999992</v>
      </c>
      <c r="AH268">
        <v>121</v>
      </c>
      <c r="AI268" s="73">
        <v>3.1173999999999999</v>
      </c>
      <c r="AK268">
        <v>128</v>
      </c>
      <c r="AL268" s="73">
        <f>ROUND(AL140+AK268/12,4)</f>
        <v>67.666700000000006</v>
      </c>
      <c r="AM268" s="73">
        <f>ROUND(VLOOKUP(TRUNC(AK268/12,0)+57,AL140:AM331,2,FALSE)-MOD(AK268,12)*(VLOOKUP(TRUNC(AK268/12,0)+57,AL140:AM331,2,FALSE)-VLOOKUP(TRUNC(AK268/12,0)+1+57,AL140:AM331,2,FALSE))/12,4)</f>
        <v>7.7897999999999996</v>
      </c>
    </row>
    <row r="269" spans="1:39" x14ac:dyDescent="0.2">
      <c r="A269">
        <v>122</v>
      </c>
      <c r="B269" s="73">
        <v>2.4131999999999998</v>
      </c>
      <c r="D269">
        <v>129</v>
      </c>
      <c r="E269" s="73">
        <f>ROUND((E140+D269/12),4)</f>
        <v>67.75</v>
      </c>
      <c r="F269" s="73">
        <f>ROUND(VLOOKUP(TRUNC(D269/12,0)+57,E140:F331,2,FALSE)-MOD(D269,12)*(VLOOKUP(TRUNC(D269/12,0)+57,E140:F331,2,FALSE)-VLOOKUP(TRUNC(D269/12,0)+1+57,E140:F331,2,FALSE))/12,4)</f>
        <v>9.4565000000000001</v>
      </c>
      <c r="I269">
        <v>122</v>
      </c>
      <c r="J269" s="73">
        <v>3.1242999999999999</v>
      </c>
      <c r="L269">
        <v>129</v>
      </c>
      <c r="M269" s="73">
        <f>ROUND((M140+L269/12),4)</f>
        <v>67.75</v>
      </c>
      <c r="N269" s="73">
        <f>ROUND(VLOOKUP(TRUNC(L269/12,0)+57,M140:N331,2,FALSE)-MOD(L269,12)*(VLOOKUP(TRUNC(L269/12,0)+57,M140:N331,2,FALSE)-VLOOKUP(TRUNC(L269/12,0)+1+57,M140:N331,2,FALSE))/12,4)</f>
        <v>7.7706999999999997</v>
      </c>
      <c r="R269">
        <v>122</v>
      </c>
      <c r="S269" s="73">
        <v>2.4411</v>
      </c>
      <c r="U269">
        <v>129</v>
      </c>
      <c r="V269" s="73">
        <f>ROUND((V140+U269/12),4)</f>
        <v>67.75</v>
      </c>
      <c r="W269" s="73">
        <f>ROUND(VLOOKUP(TRUNC(U269/12,0)+57,V140:W331,2,FALSE)-MOD(U269,12)*(VLOOKUP(TRUNC(U269/12,0)+57,V140:W331,2,FALSE)-VLOOKUP(TRUNC(U269/12,0)+1+57,V140:W331,2,FALSE))/12,4)</f>
        <v>9.2210000000000001</v>
      </c>
      <c r="Y269">
        <f>VLOOKUP(ROUND((AA142+Z267/12),4),AD140:AE320,2,FALSE)</f>
        <v>10.372400000000001</v>
      </c>
      <c r="AA269" s="73"/>
      <c r="AC269">
        <v>129</v>
      </c>
      <c r="AD269" s="73">
        <f>ROUND((AD140+AC269/12),4)</f>
        <v>67.75</v>
      </c>
      <c r="AE269" s="73">
        <f>ROUND(VLOOKUP(TRUNC(AC269/12,0)+57,AD140:AE331,2,FALSE)-MOD(AC269,12)*(VLOOKUP(TRUNC(AC269/12,0)+57,AD140:AE331,2,FALSE)-VLOOKUP(TRUNC(AC269/12,0)+1+57,AD140:AE331,2,FALSE))/12,4)</f>
        <v>9.2210000000000001</v>
      </c>
      <c r="AH269">
        <v>122</v>
      </c>
      <c r="AI269" s="73">
        <v>3.153</v>
      </c>
      <c r="AK269">
        <v>129</v>
      </c>
      <c r="AL269" s="73">
        <f>ROUND((AL140+AK269/12),4)</f>
        <v>67.75</v>
      </c>
      <c r="AM269" s="73">
        <f>ROUND(VLOOKUP(TRUNC(AK269/12,0)+57,AL140:AM331,2,FALSE)-MOD(AK269,12)*(VLOOKUP(TRUNC(AK269/12,0)+57,AL140:AM331,2,FALSE)-VLOOKUP(TRUNC(AK269/12,0)+1+57,AL140:AM331,2,FALSE))/12,4)</f>
        <v>7.7706999999999997</v>
      </c>
    </row>
    <row r="270" spans="1:39" x14ac:dyDescent="0.2">
      <c r="A270">
        <v>123</v>
      </c>
      <c r="B270" s="73">
        <v>2.4321000000000002</v>
      </c>
      <c r="D270">
        <v>130</v>
      </c>
      <c r="E270" s="73">
        <f>ROUND((E140+D270/12),4)</f>
        <v>67.833299999999994</v>
      </c>
      <c r="F270" s="73">
        <f>ROUND(VLOOKUP(TRUNC(D270/12,0)+57,E140:F331,2,FALSE)-MOD(D270,12)*(VLOOKUP(TRUNC(D270/12,0)+57,E140:F331,2,FALSE)-VLOOKUP(TRUNC(D270/12,0)+1+57,E140:F331,2,FALSE))/12,4)</f>
        <v>9.4379000000000008</v>
      </c>
      <c r="I270">
        <v>123</v>
      </c>
      <c r="J270" s="73">
        <v>3.1591999999999998</v>
      </c>
      <c r="L270">
        <v>130</v>
      </c>
      <c r="M270" s="73">
        <f>ROUND((M140+L270/12),4)</f>
        <v>67.833299999999994</v>
      </c>
      <c r="N270" s="73">
        <f>ROUND(VLOOKUP(TRUNC(L270/12,0)+57,M140:N331,2,FALSE)-MOD(L270,12)*(VLOOKUP(TRUNC(L270/12,0)+57,M140:N331,2,FALSE)-VLOOKUP(TRUNC(L270/12,0)+1+57,M140:N331,2,FALSE))/12,4)</f>
        <v>7.7515000000000001</v>
      </c>
      <c r="R270">
        <v>123</v>
      </c>
      <c r="S270" s="73">
        <v>2.4607999999999999</v>
      </c>
      <c r="U270">
        <v>130</v>
      </c>
      <c r="V270" s="73">
        <f>ROUND((V140+U270/12),4)</f>
        <v>67.833299999999994</v>
      </c>
      <c r="W270" s="73">
        <f>ROUND(VLOOKUP(TRUNC(U270/12,0)+57,V140:W331,2,FALSE)-MOD(U270,12)*(VLOOKUP(TRUNC(U270/12,0)+57,V140:W331,2,FALSE)-VLOOKUP(TRUNC(U270/12,0)+1+57,V140:W331,2,FALSE))/12,4)</f>
        <v>9.2007999999999992</v>
      </c>
      <c r="AA270" s="73"/>
      <c r="AC270">
        <v>130</v>
      </c>
      <c r="AD270" s="73">
        <f>ROUND((AD140+AC270/12),4)</f>
        <v>67.833299999999994</v>
      </c>
      <c r="AE270" s="73">
        <f>ROUND(VLOOKUP(TRUNC(AC270/12,0)+57,AD140:AE331,2,FALSE)-MOD(AC270,12)*(VLOOKUP(TRUNC(AC270/12,0)+57,AD140:AE331,2,FALSE)-VLOOKUP(TRUNC(AC270/12,0)+1+57,AD140:AE331,2,FALSE))/12,4)</f>
        <v>9.2007999999999992</v>
      </c>
      <c r="AH270">
        <v>123</v>
      </c>
      <c r="AI270" s="73">
        <v>3.1884999999999999</v>
      </c>
      <c r="AK270">
        <v>130</v>
      </c>
      <c r="AL270" s="73">
        <f>ROUND((AL140+AK270/12),4)</f>
        <v>67.833299999999994</v>
      </c>
      <c r="AM270" s="73">
        <f>ROUND(VLOOKUP(TRUNC(AK270/12,0)+57,AL140:AM331,2,FALSE)-MOD(AK270,12)*(VLOOKUP(TRUNC(AK270/12,0)+57,AL140:AM331,2,FALSE)-VLOOKUP(TRUNC(AK270/12,0)+1+57,AL140:AM331,2,FALSE))/12,4)</f>
        <v>7.7515000000000001</v>
      </c>
    </row>
    <row r="271" spans="1:39" x14ac:dyDescent="0.2">
      <c r="A271">
        <v>124</v>
      </c>
      <c r="B271" s="73">
        <v>2.4508999999999999</v>
      </c>
      <c r="D271">
        <v>131</v>
      </c>
      <c r="E271" s="73">
        <f>ROUND((E140+D271/12),4)</f>
        <v>67.916700000000006</v>
      </c>
      <c r="F271" s="73">
        <f>ROUND(VLOOKUP(TRUNC(D271/12,0)+57,E140:F331,2,FALSE)-MOD(D271,12)*(VLOOKUP(TRUNC(D271/12,0)+57,E140:F331,2,FALSE)-VLOOKUP(TRUNC(D271/12,0)+1+57,E140:F331,2,FALSE))/12,4)</f>
        <v>9.4192999999999998</v>
      </c>
      <c r="I271">
        <v>124</v>
      </c>
      <c r="J271" s="73">
        <v>3.194</v>
      </c>
      <c r="L271">
        <v>131</v>
      </c>
      <c r="M271" s="73">
        <f>ROUND((M140+L271/12),4)</f>
        <v>67.916700000000006</v>
      </c>
      <c r="N271" s="73">
        <f>ROUND(VLOOKUP(TRUNC(L271/12,0)+57,M140:N331,2,FALSE)-MOD(L271,12)*(VLOOKUP(TRUNC(L271/12,0)+57,M140:N331,2,FALSE)-VLOOKUP(TRUNC(L271/12,0)+1+57,M140:N331,2,FALSE))/12,4)</f>
        <v>7.7324000000000002</v>
      </c>
      <c r="R271">
        <v>124</v>
      </c>
      <c r="S271" s="73">
        <v>2.4803999999999999</v>
      </c>
      <c r="U271">
        <v>131</v>
      </c>
      <c r="V271" s="73">
        <f>ROUND((V140+U271/12),4)</f>
        <v>67.916700000000006</v>
      </c>
      <c r="W271" s="73">
        <f>ROUND(VLOOKUP(TRUNC(U271/12,0)+57,V140:W331,2,FALSE)-MOD(U271,12)*(VLOOKUP(TRUNC(U271/12,0)+57,V140:W331,2,FALSE)-VLOOKUP(TRUNC(U271/12,0)+1+57,V140:W331,2,FALSE))/12,4)</f>
        <v>9.1805000000000003</v>
      </c>
      <c r="AA271" s="73"/>
      <c r="AC271">
        <v>131</v>
      </c>
      <c r="AD271" s="73">
        <f>ROUND((AD140+AC271/12),4)</f>
        <v>67.916700000000006</v>
      </c>
      <c r="AE271" s="73">
        <f>ROUND(VLOOKUP(TRUNC(AC271/12,0)+57,AD140:AE331,2,FALSE)-MOD(AC271,12)*(VLOOKUP(TRUNC(AC271/12,0)+57,AD140:AE331,2,FALSE)-VLOOKUP(TRUNC(AC271/12,0)+1+57,AD140:AE331,2,FALSE))/12,4)</f>
        <v>9.1805000000000003</v>
      </c>
      <c r="AH271">
        <v>124</v>
      </c>
      <c r="AI271" s="73">
        <v>3.2241</v>
      </c>
      <c r="AK271">
        <v>131</v>
      </c>
      <c r="AL271" s="73">
        <f>ROUND((AL140+AK271/12),4)</f>
        <v>67.916700000000006</v>
      </c>
      <c r="AM271" s="73">
        <f>ROUND(VLOOKUP(TRUNC(AK271/12,0)+57,AL140:AM331,2,FALSE)-MOD(AK271,12)*(VLOOKUP(TRUNC(AK271/12,0)+57,AL140:AM331,2,FALSE)-VLOOKUP(TRUNC(AK271/12,0)+1+57,AL140:AM331,2,FALSE))/12,4)</f>
        <v>7.7324000000000002</v>
      </c>
    </row>
    <row r="272" spans="1:39" x14ac:dyDescent="0.2">
      <c r="A272">
        <v>125</v>
      </c>
      <c r="B272" s="73">
        <v>2.4698000000000002</v>
      </c>
      <c r="D272">
        <v>132</v>
      </c>
      <c r="E272" s="73">
        <f>ROUND((E140+D272/12),4)</f>
        <v>68</v>
      </c>
      <c r="F272" s="73">
        <f>[1]!NPVF("Mp","SLA","N",B140:C140,"M",E272,E272,0,0,0,0,A140,A140,"P","","")</f>
        <v>9.4006719219998374</v>
      </c>
      <c r="I272">
        <v>125</v>
      </c>
      <c r="J272" s="73">
        <v>3.2288999999999999</v>
      </c>
      <c r="L272">
        <v>132</v>
      </c>
      <c r="M272" s="73">
        <f>ROUND((M140+L272/12),4)</f>
        <v>68</v>
      </c>
      <c r="N272" s="73">
        <f>[1]!NPVF("Mp","SLA","N",J140:K140,"M",M272,M272,0,0,0,0,I140,I140,"P","","")</f>
        <v>7.7132226373595865</v>
      </c>
      <c r="R272">
        <v>125</v>
      </c>
      <c r="S272" s="73">
        <v>2.5001000000000002</v>
      </c>
      <c r="U272">
        <v>132</v>
      </c>
      <c r="V272" s="73">
        <f>ROUND((V140+U272/12),4)</f>
        <v>68</v>
      </c>
      <c r="W272" s="73">
        <f>[1]!NPVF("Mp","SLA","N",S140:T140,"M",V272,V272,0,0,0,0,R140,R140,"P","","")</f>
        <v>9.1603175624459325</v>
      </c>
      <c r="AA272" s="73"/>
      <c r="AC272">
        <v>132</v>
      </c>
      <c r="AD272" s="73">
        <f>ROUND((AD140+AC272/12),4)</f>
        <v>68</v>
      </c>
      <c r="AE272" s="73">
        <f>[1]!NPVF("Mp","SLA","N",AA140:AB140,"M",AD272,AD272,0,0,0,0,Z140,Z140,"P","","")</f>
        <v>9.1603175624459325</v>
      </c>
      <c r="AH272">
        <v>125</v>
      </c>
      <c r="AI272" s="73">
        <v>3.2595999999999998</v>
      </c>
      <c r="AK272">
        <v>132</v>
      </c>
      <c r="AL272" s="73">
        <f>ROUND((AL140+AK272/12),4)</f>
        <v>68</v>
      </c>
      <c r="AM272" s="73">
        <f>[1]!NPVF("Mp","SLA","N",AI140:AJ140,"M",AL272,AL272,0,0,0,0,AH140,AH140,"P","","")</f>
        <v>7.7132226373595865</v>
      </c>
    </row>
    <row r="273" spans="1:39" x14ac:dyDescent="0.2">
      <c r="A273">
        <v>126</v>
      </c>
      <c r="B273" s="73">
        <v>2.4887000000000001</v>
      </c>
      <c r="D273">
        <v>133</v>
      </c>
      <c r="E273" s="73">
        <f>ROUND((E140+D273/12),4)</f>
        <v>68.083299999999994</v>
      </c>
      <c r="F273" s="73">
        <f>ROUND(VLOOKUP(TRUNC(D273/12,0)+57,E140:F331,2,FALSE)-MOD(D273,12)*(VLOOKUP(TRUNC(D273/12,0)+57,E140:F331,2,FALSE)-VLOOKUP(TRUNC(D273/12,0)+1+57,E140:F331,2,FALSE))/12,4)</f>
        <v>9.3815000000000008</v>
      </c>
      <c r="I273">
        <v>126</v>
      </c>
      <c r="J273" s="73">
        <v>3.2637999999999998</v>
      </c>
      <c r="L273">
        <v>133</v>
      </c>
      <c r="M273" s="73">
        <f>ROUND((M140+L273/12),4)</f>
        <v>68.083299999999994</v>
      </c>
      <c r="N273" s="73">
        <f>ROUND(VLOOKUP(TRUNC(L273/12,0)+57,M140:N331,2,FALSE)-MOD(L273,12)*(VLOOKUP(TRUNC(L273/12,0)+57,M140:N331,2,FALSE)-VLOOKUP(TRUNC(L273/12,0)+1+57,M140:N331,2,FALSE))/12,4)</f>
        <v>7.694</v>
      </c>
      <c r="R273">
        <v>126</v>
      </c>
      <c r="S273" s="73">
        <v>2.5198</v>
      </c>
      <c r="U273">
        <v>133</v>
      </c>
      <c r="V273" s="73">
        <f>ROUND((V140+U273/12),4)</f>
        <v>68.083299999999994</v>
      </c>
      <c r="W273" s="73">
        <f>ROUND(VLOOKUP(TRUNC(U273/12,0)+57,V140:W331,2,FALSE)-MOD(U273,12)*(VLOOKUP(TRUNC(U273/12,0)+57,V140:W331,2,FALSE)-VLOOKUP(TRUNC(U273/12,0)+1+57,V140:W331,2,FALSE))/12,4)</f>
        <v>9.1396999999999995</v>
      </c>
      <c r="AA273" s="73"/>
      <c r="AC273">
        <v>133</v>
      </c>
      <c r="AD273" s="73">
        <f>ROUND((AD140+AC273/12),4)</f>
        <v>68.083299999999994</v>
      </c>
      <c r="AE273" s="73">
        <f>ROUND(VLOOKUP(TRUNC(AC273/12,0)+57,AD140:AE331,2,FALSE)-MOD(AC273,12)*(VLOOKUP(TRUNC(AC273/12,0)+57,AD140:AE331,2,FALSE)-VLOOKUP(TRUNC(AC273/12,0)+1+57,AD140:AE331,2,FALSE))/12,4)</f>
        <v>9.1396999999999995</v>
      </c>
      <c r="AH273">
        <v>126</v>
      </c>
      <c r="AI273" s="73">
        <v>3.2951999999999999</v>
      </c>
      <c r="AK273">
        <v>133</v>
      </c>
      <c r="AL273" s="73">
        <f>ROUND((AL140+AK273/12),4)</f>
        <v>68.083299999999994</v>
      </c>
      <c r="AM273" s="73">
        <f>ROUND(VLOOKUP(TRUNC(AK273/12,0)+57,AL140:AM331,2,FALSE)-MOD(AK273,12)*(VLOOKUP(TRUNC(AK273/12,0)+57,AL140:AM331,2,FALSE)-VLOOKUP(TRUNC(AK273/12,0)+1+57,AL140:AM331,2,FALSE))/12,4)</f>
        <v>7.694</v>
      </c>
    </row>
    <row r="274" spans="1:39" x14ac:dyDescent="0.2">
      <c r="A274">
        <v>127</v>
      </c>
      <c r="B274" s="73">
        <v>2.5076000000000001</v>
      </c>
      <c r="D274">
        <v>134</v>
      </c>
      <c r="E274" s="73">
        <f>ROUND((E140+D274/12),4)</f>
        <v>68.166700000000006</v>
      </c>
      <c r="F274" s="73">
        <f>ROUND(VLOOKUP(TRUNC(D274/12,0)+57,E140:F331,2,FALSE)-MOD(D274,12)*(VLOOKUP(TRUNC(D274/12,0)+57,E140:F331,2,FALSE)-VLOOKUP(TRUNC(D274/12,0)+1+57,E140:F331,2,FALSE))/12,4)</f>
        <v>9.3623999999999992</v>
      </c>
      <c r="I274">
        <v>127</v>
      </c>
      <c r="J274" s="73">
        <v>3.2986</v>
      </c>
      <c r="L274">
        <v>134</v>
      </c>
      <c r="M274" s="73">
        <f>ROUND((M140+L274/12),4)</f>
        <v>68.166700000000006</v>
      </c>
      <c r="N274" s="73">
        <f>ROUND(VLOOKUP(TRUNC(L274/12,0)+57,M140:N331,2,FALSE)-MOD(L274,12)*(VLOOKUP(TRUNC(L274/12,0)+57,M140:N331,2,FALSE)-VLOOKUP(TRUNC(L274/12,0)+1+57,M140:N331,2,FALSE))/12,4)</f>
        <v>7.6748000000000003</v>
      </c>
      <c r="R274">
        <v>127</v>
      </c>
      <c r="S274" s="73">
        <v>2.5394999999999999</v>
      </c>
      <c r="U274">
        <v>134</v>
      </c>
      <c r="V274" s="73">
        <f>ROUND((V140+U274/12),4)</f>
        <v>68.166700000000006</v>
      </c>
      <c r="W274" s="73">
        <f>ROUND(VLOOKUP(TRUNC(U274/12,0)+57,V140:W331,2,FALSE)-MOD(U274,12)*(VLOOKUP(TRUNC(U274/12,0)+57,V140:W331,2,FALSE)-VLOOKUP(TRUNC(U274/12,0)+1+57,V140:W331,2,FALSE))/12,4)</f>
        <v>9.1190999999999995</v>
      </c>
      <c r="AA274" s="73"/>
      <c r="AC274">
        <v>134</v>
      </c>
      <c r="AD274" s="73">
        <f>ROUND((AD140+AC274/12),4)</f>
        <v>68.166700000000006</v>
      </c>
      <c r="AE274" s="73">
        <f>ROUND(VLOOKUP(TRUNC(AC274/12,0)+57,AD140:AE331,2,FALSE)-MOD(AC274,12)*(VLOOKUP(TRUNC(AC274/12,0)+57,AD140:AE331,2,FALSE)-VLOOKUP(TRUNC(AC274/12,0)+1+57,AD140:AE331,2,FALSE))/12,4)</f>
        <v>9.1190999999999995</v>
      </c>
      <c r="AH274">
        <v>127</v>
      </c>
      <c r="AI274" s="73">
        <v>3.3307000000000002</v>
      </c>
      <c r="AK274">
        <v>134</v>
      </c>
      <c r="AL274" s="73">
        <f>ROUND((AL140+AK274/12),4)</f>
        <v>68.166700000000006</v>
      </c>
      <c r="AM274" s="73">
        <f>ROUND(VLOOKUP(TRUNC(AK274/12,0)+57,AL140:AM331,2,FALSE)-MOD(AK274,12)*(VLOOKUP(TRUNC(AK274/12,0)+57,AL140:AM331,2,FALSE)-VLOOKUP(TRUNC(AK274/12,0)+1+57,AL140:AM331,2,FALSE))/12,4)</f>
        <v>7.6748000000000003</v>
      </c>
    </row>
    <row r="275" spans="1:39" x14ac:dyDescent="0.2">
      <c r="A275">
        <v>128</v>
      </c>
      <c r="B275" s="73">
        <v>2.5265</v>
      </c>
      <c r="D275">
        <v>135</v>
      </c>
      <c r="E275" s="73">
        <f>ROUND((E140+D275/12),4)</f>
        <v>68.25</v>
      </c>
      <c r="F275" s="73">
        <f>ROUND(VLOOKUP(TRUNC(D275/12,0)+57,E140:F331,2,FALSE)-MOD(D275,12)*(VLOOKUP(TRUNC(D275/12,0)+57,E140:F331,2,FALSE)-VLOOKUP(TRUNC(D275/12,0)+1+57,E140:F331,2,FALSE))/12,4)</f>
        <v>9.3432999999999993</v>
      </c>
      <c r="I275">
        <v>128</v>
      </c>
      <c r="J275" s="73">
        <v>3.3334999999999999</v>
      </c>
      <c r="L275">
        <v>135</v>
      </c>
      <c r="M275" s="73">
        <f>ROUND((M140+L275/12),4)</f>
        <v>68.25</v>
      </c>
      <c r="N275" s="73">
        <f>ROUND(VLOOKUP(TRUNC(L275/12,0)+57,M140:N331,2,FALSE)-MOD(L275,12)*(VLOOKUP(TRUNC(L275/12,0)+57,M140:N331,2,FALSE)-VLOOKUP(TRUNC(L275/12,0)+1+57,M140:N331,2,FALSE))/12,4)</f>
        <v>7.6555999999999997</v>
      </c>
      <c r="R275">
        <v>128</v>
      </c>
      <c r="S275" s="73">
        <v>2.5592000000000001</v>
      </c>
      <c r="U275">
        <v>135</v>
      </c>
      <c r="V275" s="73">
        <f>ROUND((V140+U275/12),4)</f>
        <v>68.25</v>
      </c>
      <c r="W275" s="73">
        <f>ROUND(VLOOKUP(TRUNC(U275/12,0)+57,V140:W331,2,FALSE)-MOD(U275,12)*(VLOOKUP(TRUNC(U275/12,0)+57,V140:W331,2,FALSE)-VLOOKUP(TRUNC(U275/12,0)+1+57,V140:W331,2,FALSE))/12,4)</f>
        <v>9.0985999999999994</v>
      </c>
      <c r="AA275" s="73"/>
      <c r="AC275">
        <v>135</v>
      </c>
      <c r="AD275" s="73">
        <f>ROUND((AD140+AC275/12),4)</f>
        <v>68.25</v>
      </c>
      <c r="AE275" s="73">
        <f>ROUND(VLOOKUP(TRUNC(AC275/12,0)+57,AD140:AE331,2,FALSE)-MOD(AC275,12)*(VLOOKUP(TRUNC(AC275/12,0)+57,AD140:AE331,2,FALSE)-VLOOKUP(TRUNC(AC275/12,0)+1+57,AD140:AE331,2,FALSE))/12,4)</f>
        <v>9.0985999999999994</v>
      </c>
      <c r="AH275">
        <v>128</v>
      </c>
      <c r="AI275" s="73">
        <v>3.3662000000000001</v>
      </c>
      <c r="AK275">
        <v>135</v>
      </c>
      <c r="AL275" s="73">
        <f>ROUND((AL140+AK275/12),4)</f>
        <v>68.25</v>
      </c>
      <c r="AM275" s="73">
        <f>ROUND(VLOOKUP(TRUNC(AK275/12,0)+57,AL140:AM331,2,FALSE)-MOD(AK275,12)*(VLOOKUP(TRUNC(AK275/12,0)+57,AL140:AM331,2,FALSE)-VLOOKUP(TRUNC(AK275/12,0)+1+57,AL140:AM331,2,FALSE))/12,4)</f>
        <v>7.6555999999999997</v>
      </c>
    </row>
    <row r="276" spans="1:39" x14ac:dyDescent="0.2">
      <c r="A276">
        <v>129</v>
      </c>
      <c r="B276" s="73">
        <v>2.5453999999999999</v>
      </c>
      <c r="D276">
        <v>136</v>
      </c>
      <c r="E276" s="73">
        <f>ROUND((E140+D276/12),4)</f>
        <v>68.333299999999994</v>
      </c>
      <c r="F276" s="73">
        <f>ROUND(VLOOKUP(TRUNC(D276/12,0)+57,E140:F331,2,FALSE)-MOD(D276,12)*(VLOOKUP(TRUNC(D276/12,0)+57,E140:F331,2,FALSE)-VLOOKUP(TRUNC(D276/12,0)+1+57,E140:F331,2,FALSE))/12,4)</f>
        <v>9.3241999999999994</v>
      </c>
      <c r="I276">
        <v>129</v>
      </c>
      <c r="J276" s="73">
        <v>3.3683000000000001</v>
      </c>
      <c r="L276">
        <v>136</v>
      </c>
      <c r="M276" s="73">
        <f>ROUND((M140+L276/12),4)</f>
        <v>68.333299999999994</v>
      </c>
      <c r="N276" s="73">
        <f>ROUND(VLOOKUP(TRUNC(L276/12,0)+57,M140:N331,2,FALSE)-MOD(L276,12)*(VLOOKUP(TRUNC(L276/12,0)+57,M140:N331,2,FALSE)-VLOOKUP(TRUNC(L276/12,0)+1+57,M140:N331,2,FALSE))/12,4)</f>
        <v>7.6364000000000001</v>
      </c>
      <c r="R276">
        <v>129</v>
      </c>
      <c r="S276" s="73">
        <v>2.5789</v>
      </c>
      <c r="U276">
        <v>136</v>
      </c>
      <c r="V276" s="73">
        <f>ROUND((V140+U276/12),4)</f>
        <v>68.333299999999994</v>
      </c>
      <c r="W276" s="73">
        <f>ROUND(VLOOKUP(TRUNC(U276/12,0)+57,V140:W331,2,FALSE)-MOD(U276,12)*(VLOOKUP(TRUNC(U276/12,0)+57,V140:W331,2,FALSE)-VLOOKUP(TRUNC(U276/12,0)+1+57,V140:W331,2,FALSE))/12,4)</f>
        <v>9.0779999999999994</v>
      </c>
      <c r="AA276" s="73"/>
      <c r="AC276">
        <v>136</v>
      </c>
      <c r="AD276" s="73">
        <f>ROUND((AD140+AC276/12),4)</f>
        <v>68.333299999999994</v>
      </c>
      <c r="AE276" s="73">
        <f>ROUND(VLOOKUP(TRUNC(AC276/12,0)+57,AD140:AE331,2,FALSE)-MOD(AC276,12)*(VLOOKUP(TRUNC(AC276/12,0)+57,AD140:AE331,2,FALSE)-VLOOKUP(TRUNC(AC276/12,0)+1+57,AD140:AE331,2,FALSE))/12,4)</f>
        <v>9.0779999999999994</v>
      </c>
      <c r="AH276">
        <v>129</v>
      </c>
      <c r="AI276" s="73">
        <v>3.4018000000000002</v>
      </c>
      <c r="AK276">
        <v>136</v>
      </c>
      <c r="AL276" s="73">
        <f>ROUND((AL140+AK276/12),4)</f>
        <v>68.333299999999994</v>
      </c>
      <c r="AM276" s="73">
        <f>ROUND(VLOOKUP(TRUNC(AK276/12,0)+57,AL140:AM331,2,FALSE)-MOD(AK276,12)*(VLOOKUP(TRUNC(AK276/12,0)+57,AL140:AM331,2,FALSE)-VLOOKUP(TRUNC(AK276/12,0)+1+57,AL140:AM331,2,FALSE))/12,4)</f>
        <v>7.6364000000000001</v>
      </c>
    </row>
    <row r="277" spans="1:39" x14ac:dyDescent="0.2">
      <c r="A277">
        <v>130</v>
      </c>
      <c r="B277" s="73">
        <v>2.5642</v>
      </c>
      <c r="D277">
        <v>137</v>
      </c>
      <c r="E277" s="73">
        <f>ROUND((E140+D277/12),4)</f>
        <v>68.416700000000006</v>
      </c>
      <c r="F277" s="73">
        <f>ROUND(VLOOKUP(TRUNC(D277/12,0)+57,E140:F331,2,FALSE)-MOD(D277,12)*(VLOOKUP(TRUNC(D277/12,0)+57,E140:F331,2,FALSE)-VLOOKUP(TRUNC(D277/12,0)+1+57,E140:F331,2,FALSE))/12,4)</f>
        <v>9.3049999999999997</v>
      </c>
      <c r="I277">
        <v>130</v>
      </c>
      <c r="J277" s="73">
        <v>3.4032</v>
      </c>
      <c r="L277">
        <v>137</v>
      </c>
      <c r="M277" s="73">
        <f>ROUND((M140+L277/12),4)</f>
        <v>68.416700000000006</v>
      </c>
      <c r="N277" s="73">
        <f>ROUND(VLOOKUP(TRUNC(L277/12,0)+57,M140:N331,2,FALSE)-MOD(L277,12)*(VLOOKUP(TRUNC(L277/12,0)+57,M140:N331,2,FALSE)-VLOOKUP(TRUNC(L277/12,0)+1+57,M140:N331,2,FALSE))/12,4)</f>
        <v>7.6172000000000004</v>
      </c>
      <c r="R277">
        <v>130</v>
      </c>
      <c r="S277" s="73">
        <v>2.5985</v>
      </c>
      <c r="U277">
        <v>137</v>
      </c>
      <c r="V277" s="73">
        <f>ROUND((V140+U277/12),4)</f>
        <v>68.416700000000006</v>
      </c>
      <c r="W277" s="73">
        <f>ROUND(VLOOKUP(TRUNC(U277/12,0)+57,V140:W331,2,FALSE)-MOD(U277,12)*(VLOOKUP(TRUNC(U277/12,0)+57,V140:W331,2,FALSE)-VLOOKUP(TRUNC(U277/12,0)+1+57,V140:W331,2,FALSE))/12,4)</f>
        <v>9.0573999999999995</v>
      </c>
      <c r="AA277" s="73"/>
      <c r="AC277">
        <v>137</v>
      </c>
      <c r="AD277" s="73">
        <f>ROUND((AD140+AC277/12),4)</f>
        <v>68.416700000000006</v>
      </c>
      <c r="AE277" s="73">
        <f>ROUND(VLOOKUP(TRUNC(AC277/12,0)+57,AD140:AE331,2,FALSE)-MOD(AC277,12)*(VLOOKUP(TRUNC(AC277/12,0)+57,AD140:AE331,2,FALSE)-VLOOKUP(TRUNC(AC277/12,0)+1+57,AD140:AE331,2,FALSE))/12,4)</f>
        <v>9.0573999999999995</v>
      </c>
      <c r="AH277">
        <v>130</v>
      </c>
      <c r="AI277" s="73">
        <v>3.4373</v>
      </c>
      <c r="AK277">
        <v>137</v>
      </c>
      <c r="AL277" s="73">
        <f>ROUND((AL140+AK277/12),4)</f>
        <v>68.416700000000006</v>
      </c>
      <c r="AM277" s="73">
        <f>ROUND(VLOOKUP(TRUNC(AK277/12,0)+57,AL140:AM331,2,FALSE)-MOD(AK277,12)*(VLOOKUP(TRUNC(AK277/12,0)+57,AL140:AM331,2,FALSE)-VLOOKUP(TRUNC(AK277/12,0)+1+57,AL140:AM331,2,FALSE))/12,4)</f>
        <v>7.6172000000000004</v>
      </c>
    </row>
    <row r="278" spans="1:39" x14ac:dyDescent="0.2">
      <c r="A278">
        <v>131</v>
      </c>
      <c r="B278" s="73">
        <v>2.5831</v>
      </c>
      <c r="D278">
        <v>138</v>
      </c>
      <c r="E278" s="73">
        <f>ROUND(E140+D278/12,4)</f>
        <v>68.5</v>
      </c>
      <c r="F278" s="73">
        <f>ROUND(VLOOKUP(TRUNC(D278/12,0)+57,E140:F331,2,FALSE)-MOD(D278,12)*(VLOOKUP(TRUNC(D278/12,0)+57,E140:F331,2,FALSE)-VLOOKUP(TRUNC(D278/12,0)+1+57,E140:F331,2,FALSE))/12,4)</f>
        <v>9.2858999999999998</v>
      </c>
      <c r="I278">
        <v>131</v>
      </c>
      <c r="J278" s="73">
        <v>3.4380000000000002</v>
      </c>
      <c r="L278">
        <v>138</v>
      </c>
      <c r="M278" s="73">
        <f>ROUND(M140+L278/12,4)</f>
        <v>68.5</v>
      </c>
      <c r="N278" s="73">
        <f>ROUND(VLOOKUP(TRUNC(L278/12,0)+57,M140:N331,2,FALSE)-MOD(L278,12)*(VLOOKUP(TRUNC(L278/12,0)+57,M140:N331,2,FALSE)-VLOOKUP(TRUNC(L278/12,0)+1+57,M140:N331,2,FALSE))/12,4)</f>
        <v>7.5980999999999996</v>
      </c>
      <c r="R278">
        <v>131</v>
      </c>
      <c r="S278" s="73">
        <v>2.6181999999999999</v>
      </c>
      <c r="U278">
        <v>138</v>
      </c>
      <c r="V278" s="73">
        <f>ROUND(V140+U278/12,4)</f>
        <v>68.5</v>
      </c>
      <c r="W278" s="73">
        <f>ROUND(VLOOKUP(TRUNC(U278/12,0)+57,V140:W331,2,FALSE)-MOD(U278,12)*(VLOOKUP(TRUNC(U278/12,0)+57,V140:W331,2,FALSE)-VLOOKUP(TRUNC(U278/12,0)+1+57,V140:W331,2,FALSE))/12,4)</f>
        <v>9.0367999999999995</v>
      </c>
      <c r="AA278" s="73"/>
      <c r="AC278">
        <v>138</v>
      </c>
      <c r="AD278" s="73">
        <f>ROUND(AD140+AC278/12,4)</f>
        <v>68.5</v>
      </c>
      <c r="AE278" s="73">
        <f>ROUND(VLOOKUP(TRUNC(AC278/12,0)+57,AD140:AE331,2,FALSE)-MOD(AC278,12)*(VLOOKUP(TRUNC(AC278/12,0)+57,AD140:AE331,2,FALSE)-VLOOKUP(TRUNC(AC278/12,0)+1+57,AD140:AE331,2,FALSE))/12,4)</f>
        <v>9.0367999999999995</v>
      </c>
      <c r="AH278">
        <v>131</v>
      </c>
      <c r="AI278" s="73">
        <v>3.4729000000000001</v>
      </c>
      <c r="AK278">
        <v>138</v>
      </c>
      <c r="AL278" s="73">
        <f>ROUND(AL140+AK278/12,4)</f>
        <v>68.5</v>
      </c>
      <c r="AM278" s="73">
        <f>ROUND(VLOOKUP(TRUNC(AK278/12,0)+57,AL140:AM331,2,FALSE)-MOD(AK278,12)*(VLOOKUP(TRUNC(AK278/12,0)+57,AL140:AM331,2,FALSE)-VLOOKUP(TRUNC(AK278/12,0)+1+57,AL140:AM331,2,FALSE))/12,4)</f>
        <v>7.5980999999999996</v>
      </c>
    </row>
    <row r="279" spans="1:39" x14ac:dyDescent="0.2">
      <c r="A279">
        <v>132</v>
      </c>
      <c r="B279" s="73">
        <v>2.6019999999999999</v>
      </c>
      <c r="D279">
        <v>139</v>
      </c>
      <c r="E279" s="73">
        <f>ROUND((E140+D279/12),4)</f>
        <v>68.583299999999994</v>
      </c>
      <c r="F279" s="73">
        <f>ROUND(VLOOKUP(TRUNC(D279/12,0)+57,E140:F331,2,FALSE)-MOD(D279,12)*(VLOOKUP(TRUNC(D279/12,0)+57,E140:F331,2,FALSE)-VLOOKUP(TRUNC(D279/12,0)+1+57,E140:F331,2,FALSE))/12,4)</f>
        <v>9.2667999999999999</v>
      </c>
      <c r="I279">
        <v>132</v>
      </c>
      <c r="J279" s="73">
        <v>3.4729000000000001</v>
      </c>
      <c r="L279">
        <v>139</v>
      </c>
      <c r="M279" s="73">
        <f>ROUND((M140+L279/12),4)</f>
        <v>68.583299999999994</v>
      </c>
      <c r="N279" s="73">
        <f>ROUND(VLOOKUP(TRUNC(L279/12,0)+57,M140:N331,2,FALSE)-MOD(L279,12)*(VLOOKUP(TRUNC(L279/12,0)+57,M140:N331,2,FALSE)-VLOOKUP(TRUNC(L279/12,0)+1+57,M140:N331,2,FALSE))/12,4)</f>
        <v>7.5789</v>
      </c>
      <c r="R279">
        <v>132</v>
      </c>
      <c r="S279" s="73">
        <v>2.6379000000000001</v>
      </c>
      <c r="U279">
        <v>139</v>
      </c>
      <c r="V279" s="73">
        <f>ROUND((V140+U279/12),4)</f>
        <v>68.583299999999994</v>
      </c>
      <c r="W279" s="73">
        <f>ROUND(VLOOKUP(TRUNC(U279/12,0)+57,V140:W331,2,FALSE)-MOD(U279,12)*(VLOOKUP(TRUNC(U279/12,0)+57,V140:W331,2,FALSE)-VLOOKUP(TRUNC(U279/12,0)+1+57,V140:W331,2,FALSE))/12,4)</f>
        <v>9.0161999999999995</v>
      </c>
      <c r="AA279" s="73"/>
      <c r="AC279">
        <v>139</v>
      </c>
      <c r="AD279" s="73">
        <f>ROUND((AD140+AC279/12),4)</f>
        <v>68.583299999999994</v>
      </c>
      <c r="AE279" s="73">
        <f>ROUND(VLOOKUP(TRUNC(AC279/12,0)+57,AD140:AE331,2,FALSE)-MOD(AC279,12)*(VLOOKUP(TRUNC(AC279/12,0)+57,AD140:AE331,2,FALSE)-VLOOKUP(TRUNC(AC279/12,0)+1+57,AD140:AE331,2,FALSE))/12,4)</f>
        <v>9.0161999999999995</v>
      </c>
      <c r="AH279">
        <v>132</v>
      </c>
      <c r="AI279" s="73">
        <v>3.5084</v>
      </c>
      <c r="AK279">
        <v>139</v>
      </c>
      <c r="AL279" s="73">
        <f>ROUND((AL140+AK279/12),4)</f>
        <v>68.583299999999994</v>
      </c>
      <c r="AM279" s="73">
        <f>ROUND(VLOOKUP(TRUNC(AK279/12,0)+57,AL140:AM331,2,FALSE)-MOD(AK279,12)*(VLOOKUP(TRUNC(AK279/12,0)+57,AL140:AM331,2,FALSE)-VLOOKUP(TRUNC(AK279/12,0)+1+57,AL140:AM331,2,FALSE))/12,4)</f>
        <v>7.5789</v>
      </c>
    </row>
    <row r="280" spans="1:39" x14ac:dyDescent="0.2">
      <c r="A280">
        <v>133</v>
      </c>
      <c r="B280" s="73">
        <v>2.6230000000000002</v>
      </c>
      <c r="D280">
        <v>140</v>
      </c>
      <c r="E280" s="73">
        <f>ROUND(E140+D280/12,4)</f>
        <v>68.666700000000006</v>
      </c>
      <c r="F280" s="73">
        <f>ROUND(VLOOKUP(TRUNC(D280/12,0)+57,E140:F331,2,FALSE)-MOD(D280,12)*(VLOOKUP(TRUNC(D280/12,0)+57,E140:F331,2,FALSE)-VLOOKUP(TRUNC(D280/12,0)+1+57,E140:F331,2,FALSE))/12,4)</f>
        <v>9.2477</v>
      </c>
      <c r="I280">
        <v>133</v>
      </c>
      <c r="J280" s="73">
        <v>3.5137999999999998</v>
      </c>
      <c r="L280">
        <v>140</v>
      </c>
      <c r="M280" s="73">
        <f>ROUND(M140+L280/12,4)</f>
        <v>68.666700000000006</v>
      </c>
      <c r="N280" s="73">
        <f>ROUND(VLOOKUP(TRUNC(L280/12,0)+57,M140:N331,2,FALSE)-MOD(L280,12)*(VLOOKUP(TRUNC(L280/12,0)+57,M140:N331,2,FALSE)-VLOOKUP(TRUNC(L280/12,0)+1+57,M140:N331,2,FALSE))/12,4)</f>
        <v>7.5597000000000003</v>
      </c>
      <c r="R280">
        <v>133</v>
      </c>
      <c r="S280" s="73">
        <v>2.6598000000000002</v>
      </c>
      <c r="U280">
        <v>140</v>
      </c>
      <c r="V280" s="73">
        <f>ROUND(V140+U280/12,4)</f>
        <v>68.666700000000006</v>
      </c>
      <c r="W280" s="73">
        <f>ROUND(VLOOKUP(TRUNC(U280/12,0)+57,V140:W331,2,FALSE)-MOD(U280,12)*(VLOOKUP(TRUNC(U280/12,0)+57,V140:W331,2,FALSE)-VLOOKUP(TRUNC(U280/12,0)+1+57,V140:W331,2,FALSE))/12,4)</f>
        <v>8.9955999999999996</v>
      </c>
      <c r="AA280" s="73"/>
      <c r="AC280">
        <v>140</v>
      </c>
      <c r="AD280" s="73">
        <f>ROUND(AD140+AC280/12,4)</f>
        <v>68.666700000000006</v>
      </c>
      <c r="AE280" s="73">
        <f>ROUND(VLOOKUP(TRUNC(AC280/12,0)+57,AD140:AE331,2,FALSE)-MOD(AC280,12)*(VLOOKUP(TRUNC(AC280/12,0)+57,AD140:AE331,2,FALSE)-VLOOKUP(TRUNC(AC280/12,0)+1+57,AD140:AE331,2,FALSE))/12,4)</f>
        <v>8.9955999999999996</v>
      </c>
      <c r="AH280">
        <v>133</v>
      </c>
      <c r="AI280" s="73">
        <v>3.5501999999999998</v>
      </c>
      <c r="AK280">
        <v>140</v>
      </c>
      <c r="AL280" s="73">
        <f>ROUND(AL140+AK280/12,4)</f>
        <v>68.666700000000006</v>
      </c>
      <c r="AM280" s="73">
        <f>ROUND(VLOOKUP(TRUNC(AK280/12,0)+57,AL140:AM331,2,FALSE)-MOD(AK280,12)*(VLOOKUP(TRUNC(AK280/12,0)+57,AL140:AM331,2,FALSE)-VLOOKUP(TRUNC(AK280/12,0)+1+57,AL140:AM331,2,FALSE))/12,4)</f>
        <v>7.5597000000000003</v>
      </c>
    </row>
    <row r="281" spans="1:39" x14ac:dyDescent="0.2">
      <c r="A281">
        <v>134</v>
      </c>
      <c r="B281" s="73">
        <v>2.6440000000000001</v>
      </c>
      <c r="D281">
        <v>141</v>
      </c>
      <c r="E281" s="73">
        <f>ROUND(E140+D281/12,4)</f>
        <v>68.75</v>
      </c>
      <c r="F281" s="73">
        <f>ROUND(VLOOKUP(TRUNC(D281/12,0)+57,E140:F331,2,FALSE)-MOD(D281,12)*(VLOOKUP(TRUNC(D281/12,0)+57,E140:F331,2,FALSE)-VLOOKUP(TRUNC(D281/12,0)+1+57,E140:F331,2,FALSE))/12,4)</f>
        <v>9.2285000000000004</v>
      </c>
      <c r="I281">
        <v>134</v>
      </c>
      <c r="J281" s="73">
        <v>3.5548000000000002</v>
      </c>
      <c r="L281">
        <v>141</v>
      </c>
      <c r="M281" s="73">
        <f>ROUND(M140+L281/12,4)</f>
        <v>68.75</v>
      </c>
      <c r="N281" s="73">
        <f>ROUND(VLOOKUP(TRUNC(L281/12,0)+57,M140:N331,2,FALSE)-MOD(L281,12)*(VLOOKUP(TRUNC(L281/12,0)+57,M140:N331,2,FALSE)-VLOOKUP(TRUNC(L281/12,0)+1+57,M140:N331,2,FALSE))/12,4)</f>
        <v>7.5404999999999998</v>
      </c>
      <c r="R281">
        <v>134</v>
      </c>
      <c r="S281" s="73">
        <v>2.6817000000000002</v>
      </c>
      <c r="U281">
        <v>141</v>
      </c>
      <c r="V281" s="73">
        <f>ROUND(V140+U281/12,4)</f>
        <v>68.75</v>
      </c>
      <c r="W281" s="73">
        <f>ROUND(VLOOKUP(TRUNC(U281/12,0)+57,V140:W331,2,FALSE)-MOD(U281,12)*(VLOOKUP(TRUNC(U281/12,0)+57,V140:W331,2,FALSE)-VLOOKUP(TRUNC(U281/12,0)+1+57,V140:W331,2,FALSE))/12,4)</f>
        <v>8.9749999999999996</v>
      </c>
      <c r="AA281" s="73"/>
      <c r="AC281">
        <v>141</v>
      </c>
      <c r="AD281" s="73">
        <f>ROUND(AD140+AC281/12,4)</f>
        <v>68.75</v>
      </c>
      <c r="AE281" s="73">
        <f>ROUND(VLOOKUP(TRUNC(AC281/12,0)+57,AD140:AE331,2,FALSE)-MOD(AC281,12)*(VLOOKUP(TRUNC(AC281/12,0)+57,AD140:AE331,2,FALSE)-VLOOKUP(TRUNC(AC281/12,0)+1+57,AD140:AE331,2,FALSE))/12,4)</f>
        <v>8.9749999999999996</v>
      </c>
      <c r="AH281">
        <v>134</v>
      </c>
      <c r="AI281" s="73">
        <v>3.5920000000000001</v>
      </c>
      <c r="AK281">
        <v>141</v>
      </c>
      <c r="AL281" s="73">
        <f>ROUND(AL140+AK281/12,4)</f>
        <v>68.75</v>
      </c>
      <c r="AM281" s="73">
        <f>ROUND(VLOOKUP(TRUNC(AK281/12,0)+57,AL140:AM331,2,FALSE)-MOD(AK281,12)*(VLOOKUP(TRUNC(AK281/12,0)+57,AL140:AM331,2,FALSE)-VLOOKUP(TRUNC(AK281/12,0)+1+57,AL140:AM331,2,FALSE))/12,4)</f>
        <v>7.5404999999999998</v>
      </c>
    </row>
    <row r="282" spans="1:39" x14ac:dyDescent="0.2">
      <c r="A282">
        <v>135</v>
      </c>
      <c r="B282" s="73">
        <v>2.665</v>
      </c>
      <c r="D282">
        <v>142</v>
      </c>
      <c r="E282" s="73">
        <f>ROUND(E140+D282/12,4)</f>
        <v>68.833299999999994</v>
      </c>
      <c r="F282" s="73">
        <f>ROUND(VLOOKUP(TRUNC(D282/12,0)+57,E140:F331,2,FALSE)-MOD(D282,12)*(VLOOKUP(TRUNC(D282/12,0)+57,E140:F331,2,FALSE)-VLOOKUP(TRUNC(D282/12,0)+1+57,E140:F331,2,FALSE))/12,4)</f>
        <v>9.2094000000000005</v>
      </c>
      <c r="I282">
        <v>135</v>
      </c>
      <c r="J282" s="73">
        <v>3.5956999999999999</v>
      </c>
      <c r="L282">
        <v>142</v>
      </c>
      <c r="M282" s="73">
        <f>ROUND(M140+L282/12,4)</f>
        <v>68.833299999999994</v>
      </c>
      <c r="N282" s="73">
        <f>ROUND(VLOOKUP(TRUNC(L282/12,0)+57,M140:N331,2,FALSE)-MOD(L282,12)*(VLOOKUP(TRUNC(L282/12,0)+57,M140:N331,2,FALSE)-VLOOKUP(TRUNC(L282/12,0)+1+57,M140:N331,2,FALSE))/12,4)</f>
        <v>7.5213000000000001</v>
      </c>
      <c r="R282">
        <v>135</v>
      </c>
      <c r="S282" s="73">
        <v>2.7035999999999998</v>
      </c>
      <c r="U282">
        <v>142</v>
      </c>
      <c r="V282" s="73">
        <f>ROUND(V140+U282/12,4)</f>
        <v>68.833299999999994</v>
      </c>
      <c r="W282" s="73">
        <f>ROUND(VLOOKUP(TRUNC(U282/12,0)+57,V140:W331,2,FALSE)-MOD(U282,12)*(VLOOKUP(TRUNC(U282/12,0)+57,V140:W331,2,FALSE)-VLOOKUP(TRUNC(U282/12,0)+1+57,V140:W331,2,FALSE))/12,4)</f>
        <v>8.9543999999999997</v>
      </c>
      <c r="AA282" s="73"/>
      <c r="AC282">
        <v>142</v>
      </c>
      <c r="AD282" s="73">
        <f>ROUND(AD140+AC282/12,4)</f>
        <v>68.833299999999994</v>
      </c>
      <c r="AE282" s="73">
        <f>ROUND(VLOOKUP(TRUNC(AC282/12,0)+57,AD140:AE331,2,FALSE)-MOD(AC282,12)*(VLOOKUP(TRUNC(AC282/12,0)+57,AD140:AE331,2,FALSE)-VLOOKUP(TRUNC(AC282/12,0)+1+57,AD140:AE331,2,FALSE))/12,4)</f>
        <v>8.9543999999999997</v>
      </c>
      <c r="AH282">
        <v>135</v>
      </c>
      <c r="AI282" s="73">
        <v>3.6337999999999999</v>
      </c>
      <c r="AK282">
        <v>142</v>
      </c>
      <c r="AL282" s="73">
        <f>ROUND(AL140+AK282/12,4)</f>
        <v>68.833299999999994</v>
      </c>
      <c r="AM282" s="73">
        <f>ROUND(VLOOKUP(TRUNC(AK282/12,0)+57,AL140:AM331,2,FALSE)-MOD(AK282,12)*(VLOOKUP(TRUNC(AK282/12,0)+57,AL140:AM331,2,FALSE)-VLOOKUP(TRUNC(AK282/12,0)+1+57,AL140:AM331,2,FALSE))/12,4)</f>
        <v>7.5213000000000001</v>
      </c>
    </row>
    <row r="283" spans="1:39" x14ac:dyDescent="0.2">
      <c r="A283">
        <v>136</v>
      </c>
      <c r="B283" s="73">
        <v>2.6859999999999999</v>
      </c>
      <c r="D283">
        <v>143</v>
      </c>
      <c r="E283" s="73">
        <f>ROUND(E140+D283/12,4)</f>
        <v>68.916700000000006</v>
      </c>
      <c r="F283" s="73">
        <f>ROUND(VLOOKUP(TRUNC(D283/12,0)+57,E140:F331,2,FALSE)-MOD(D283,12)*(VLOOKUP(TRUNC(D283/12,0)+57,E140:F331,2,FALSE)-VLOOKUP(TRUNC(D283/12,0)+1+57,E140:F331,2,FALSE))/12,4)</f>
        <v>9.1903000000000006</v>
      </c>
      <c r="I283">
        <v>136</v>
      </c>
      <c r="J283" s="73">
        <v>3.6366000000000001</v>
      </c>
      <c r="L283">
        <v>143</v>
      </c>
      <c r="M283" s="73">
        <f>ROUND(M140+L283/12,4)</f>
        <v>68.916700000000006</v>
      </c>
      <c r="N283" s="73">
        <f>ROUND(VLOOKUP(TRUNC(L283/12,0)+57,M140:N331,2,FALSE)-MOD(L283,12)*(VLOOKUP(TRUNC(L283/12,0)+57,M140:N331,2,FALSE)-VLOOKUP(TRUNC(L283/12,0)+1+57,M140:N331,2,FALSE))/12,4)</f>
        <v>7.5021000000000004</v>
      </c>
      <c r="R283">
        <v>136</v>
      </c>
      <c r="S283" s="73">
        <v>2.7254999999999998</v>
      </c>
      <c r="U283">
        <v>143</v>
      </c>
      <c r="V283" s="73">
        <f>ROUND(V140+U283/12,4)</f>
        <v>68.916700000000006</v>
      </c>
      <c r="W283" s="73">
        <f>ROUND(VLOOKUP(TRUNC(U283/12,0)+57,V140:W331,2,FALSE)-MOD(U283,12)*(VLOOKUP(TRUNC(U283/12,0)+57,V140:W331,2,FALSE)-VLOOKUP(TRUNC(U283/12,0)+1+57,V140:W331,2,FALSE))/12,4)</f>
        <v>8.9337999999999997</v>
      </c>
      <c r="AA283" s="73"/>
      <c r="AC283">
        <v>143</v>
      </c>
      <c r="AD283" s="73">
        <f>ROUND(AD140+AC283/12,4)</f>
        <v>68.916700000000006</v>
      </c>
      <c r="AE283" s="73">
        <f>ROUND(VLOOKUP(TRUNC(AC283/12,0)+57,AD140:AE331,2,FALSE)-MOD(AC283,12)*(VLOOKUP(TRUNC(AC283/12,0)+57,AD140:AE331,2,FALSE)-VLOOKUP(TRUNC(AC283/12,0)+1+57,AD140:AE331,2,FALSE))/12,4)</f>
        <v>8.9337999999999997</v>
      </c>
      <c r="AH283">
        <v>136</v>
      </c>
      <c r="AI283" s="73">
        <v>3.6755</v>
      </c>
      <c r="AK283">
        <v>143</v>
      </c>
      <c r="AL283" s="73">
        <f>ROUND(AL140+AK283/12,4)</f>
        <v>68.916700000000006</v>
      </c>
      <c r="AM283" s="73">
        <f>ROUND(VLOOKUP(TRUNC(AK283/12,0)+57,AL140:AM331,2,FALSE)-MOD(AK283,12)*(VLOOKUP(TRUNC(AK283/12,0)+57,AL140:AM331,2,FALSE)-VLOOKUP(TRUNC(AK283/12,0)+1+57,AL140:AM331,2,FALSE))/12,4)</f>
        <v>7.5021000000000004</v>
      </c>
    </row>
    <row r="284" spans="1:39" x14ac:dyDescent="0.2">
      <c r="A284">
        <v>137</v>
      </c>
      <c r="B284" s="73">
        <v>2.7069999999999999</v>
      </c>
      <c r="D284">
        <v>144</v>
      </c>
      <c r="E284" s="73">
        <f>ROUND(E140+D284/12,4)</f>
        <v>69</v>
      </c>
      <c r="F284" s="73">
        <f>[1]!NPVF("Mp","SLA","N",B140:C140,"M",E284,E284,0,0,0,0,A140,A140,"P","","")</f>
        <v>9.1711571543478048</v>
      </c>
      <c r="I284">
        <v>137</v>
      </c>
      <c r="J284" s="73">
        <v>3.6775000000000002</v>
      </c>
      <c r="L284">
        <v>144</v>
      </c>
      <c r="M284" s="73">
        <f>ROUND(M140+L284/12,4)</f>
        <v>69</v>
      </c>
      <c r="N284" s="73">
        <f>[1]!NPVF("Mp","SLA","N",J140:K140,"M",M284,M284,0,0,0,0,I140,I140,"P","","")</f>
        <v>7.4828773938670832</v>
      </c>
      <c r="R284">
        <v>137</v>
      </c>
      <c r="S284" s="73">
        <v>2.7473999999999998</v>
      </c>
      <c r="U284">
        <v>144</v>
      </c>
      <c r="V284" s="73">
        <f>ROUND(V140+U284/12,4)</f>
        <v>69</v>
      </c>
      <c r="W284" s="73">
        <f>[1]!NPVF("Mp","SLA","N",S140:T140,"M",V284,V284,0,0,0,0,R140,R140,"P","","")</f>
        <v>8.9132498218054135</v>
      </c>
      <c r="AA284" s="73"/>
      <c r="AC284">
        <v>144</v>
      </c>
      <c r="AD284" s="73">
        <f>ROUND(AD140+AC284/12,4)</f>
        <v>69</v>
      </c>
      <c r="AE284" s="73">
        <f>[1]!NPVF("Mp","SLA","N",AA140:AB140,"M",AD284,AD284,0,0,0,0,Z140,Z140,"P","","")</f>
        <v>8.9132498218054135</v>
      </c>
      <c r="AH284">
        <v>137</v>
      </c>
      <c r="AI284" s="73">
        <v>3.7172999999999998</v>
      </c>
      <c r="AK284">
        <v>144</v>
      </c>
      <c r="AL284" s="73">
        <f>ROUND(AL140+AK284/12,4)</f>
        <v>69</v>
      </c>
      <c r="AM284" s="73">
        <f>[1]!NPVF("Mp","SLA","N",AI140:AJ140,"M",AL284,AL284,0,0,0,0,AH140,AH140,"P","","")</f>
        <v>7.4828773938670832</v>
      </c>
    </row>
    <row r="285" spans="1:39" x14ac:dyDescent="0.2">
      <c r="A285">
        <v>138</v>
      </c>
      <c r="B285" s="73">
        <v>2.7280000000000002</v>
      </c>
      <c r="D285">
        <v>145</v>
      </c>
      <c r="E285" s="73">
        <f>ROUND(E140+D285/12,4)</f>
        <v>69.083299999999994</v>
      </c>
      <c r="F285" s="73">
        <f>ROUND(VLOOKUP(TRUNC(D285/12,0)+57,E140:F331,2,FALSE)-MOD(D285,12)*(VLOOKUP(TRUNC(D285/12,0)+57,E140:F331,2,FALSE)-VLOOKUP(TRUNC(D285/12,0)+1+57,E140:F331,2,FALSE))/12,4)</f>
        <v>9.1515000000000004</v>
      </c>
      <c r="I285">
        <v>138</v>
      </c>
      <c r="J285" s="73">
        <v>3.7185000000000001</v>
      </c>
      <c r="L285">
        <v>145</v>
      </c>
      <c r="M285" s="73">
        <f>ROUND(M140+L285/12,4)</f>
        <v>69.083299999999994</v>
      </c>
      <c r="N285" s="73">
        <f>ROUND(VLOOKUP(TRUNC(L285/12,0)+57,M140:N331,2,FALSE)-MOD(L285,12)*(VLOOKUP(TRUNC(L285/12,0)+57,M140:N331,2,FALSE)-VLOOKUP(TRUNC(L285/12,0)+1+57,M140:N331,2,FALSE))/12,4)</f>
        <v>7.4638</v>
      </c>
      <c r="R285">
        <v>138</v>
      </c>
      <c r="S285" s="73">
        <v>2.7694000000000001</v>
      </c>
      <c r="U285">
        <v>145</v>
      </c>
      <c r="V285" s="73">
        <f>ROUND(V140+U285/12,4)</f>
        <v>69.083299999999994</v>
      </c>
      <c r="W285" s="73">
        <f>ROUND(VLOOKUP(TRUNC(U285/12,0)+57,V140:W331,2,FALSE)-MOD(U285,12)*(VLOOKUP(TRUNC(U285/12,0)+57,V140:W331,2,FALSE)-VLOOKUP(TRUNC(U285/12,0)+1+57,V140:W331,2,FALSE))/12,4)</f>
        <v>8.8923000000000005</v>
      </c>
      <c r="AA285" s="73"/>
      <c r="AC285">
        <v>145</v>
      </c>
      <c r="AD285" s="73">
        <f>ROUND(AD140+AC285/12,4)</f>
        <v>69.083299999999994</v>
      </c>
      <c r="AE285" s="73">
        <f>ROUND(VLOOKUP(TRUNC(AC285/12,0)+57,AD140:AE331,2,FALSE)-MOD(AC285,12)*(VLOOKUP(TRUNC(AC285/12,0)+57,AD140:AE331,2,FALSE)-VLOOKUP(TRUNC(AC285/12,0)+1+57,AD140:AE331,2,FALSE))/12,4)</f>
        <v>8.8923000000000005</v>
      </c>
      <c r="AH285">
        <v>138</v>
      </c>
      <c r="AI285" s="73">
        <v>3.7591000000000001</v>
      </c>
      <c r="AK285">
        <v>145</v>
      </c>
      <c r="AL285" s="73">
        <f>ROUND(AL140+AK285/12,4)</f>
        <v>69.083299999999994</v>
      </c>
      <c r="AM285" s="73">
        <f>ROUND(VLOOKUP(TRUNC(AK285/12,0)+57,AL140:AM331,2,FALSE)-MOD(AK285,12)*(VLOOKUP(TRUNC(AK285/12,0)+57,AL140:AM331,2,FALSE)-VLOOKUP(TRUNC(AK285/12,0)+1+57,AL140:AM331,2,FALSE))/12,4)</f>
        <v>7.4638</v>
      </c>
    </row>
    <row r="286" spans="1:39" x14ac:dyDescent="0.2">
      <c r="A286">
        <v>139</v>
      </c>
      <c r="B286" s="73">
        <v>2.7488999999999999</v>
      </c>
      <c r="D286">
        <v>146</v>
      </c>
      <c r="E286" s="73">
        <f>ROUND(E140+D286/12,4)</f>
        <v>69.166700000000006</v>
      </c>
      <c r="F286" s="73">
        <f>ROUND(VLOOKUP(TRUNC(D286/12,0)+57,E140:F331,2,FALSE)-MOD(D286,12)*(VLOOKUP(TRUNC(D286/12,0)+57,E140:F331,2,FALSE)-VLOOKUP(TRUNC(D286/12,0)+1+57,E140:F331,2,FALSE))/12,4)</f>
        <v>9.1318000000000001</v>
      </c>
      <c r="I286">
        <v>139</v>
      </c>
      <c r="J286" s="73">
        <v>3.7593999999999999</v>
      </c>
      <c r="L286">
        <v>146</v>
      </c>
      <c r="M286" s="73">
        <f>ROUND(M140+L286/12,4)</f>
        <v>69.166700000000006</v>
      </c>
      <c r="N286" s="73">
        <f>ROUND(VLOOKUP(TRUNC(L286/12,0)+57,M140:N331,2,FALSE)-MOD(L286,12)*(VLOOKUP(TRUNC(L286/12,0)+57,M140:N331,2,FALSE)-VLOOKUP(TRUNC(L286/12,0)+1+57,M140:N331,2,FALSE))/12,4)</f>
        <v>7.4447000000000001</v>
      </c>
      <c r="R286">
        <v>139</v>
      </c>
      <c r="S286" s="73">
        <v>2.7913000000000001</v>
      </c>
      <c r="U286">
        <v>146</v>
      </c>
      <c r="V286" s="73">
        <f>ROUND(V140+U286/12,4)</f>
        <v>69.166700000000006</v>
      </c>
      <c r="W286" s="73">
        <f>ROUND(VLOOKUP(TRUNC(U286/12,0)+57,V140:W331,2,FALSE)-MOD(U286,12)*(VLOOKUP(TRUNC(U286/12,0)+57,V140:W331,2,FALSE)-VLOOKUP(TRUNC(U286/12,0)+1+57,V140:W331,2,FALSE))/12,4)</f>
        <v>8.8713999999999995</v>
      </c>
      <c r="AA286" s="73"/>
      <c r="AC286">
        <v>146</v>
      </c>
      <c r="AD286" s="73">
        <f>ROUND(AD140+AC286/12,4)</f>
        <v>69.166700000000006</v>
      </c>
      <c r="AE286" s="73">
        <f>ROUND(VLOOKUP(TRUNC(AC286/12,0)+57,AD140:AE331,2,FALSE)-MOD(AC286,12)*(VLOOKUP(TRUNC(AC286/12,0)+57,AD140:AE331,2,FALSE)-VLOOKUP(TRUNC(AC286/12,0)+1+57,AD140:AE331,2,FALSE))/12,4)</f>
        <v>8.8713999999999995</v>
      </c>
      <c r="AH286">
        <v>139</v>
      </c>
      <c r="AI286" s="73">
        <v>3.8008999999999999</v>
      </c>
      <c r="AK286">
        <v>146</v>
      </c>
      <c r="AL286" s="73">
        <f>ROUND(AL140+AK286/12,4)</f>
        <v>69.166700000000006</v>
      </c>
      <c r="AM286" s="73">
        <f>ROUND(VLOOKUP(TRUNC(AK286/12,0)+57,AL140:AM331,2,FALSE)-MOD(AK286,12)*(VLOOKUP(TRUNC(AK286/12,0)+57,AL140:AM331,2,FALSE)-VLOOKUP(TRUNC(AK286/12,0)+1+57,AL140:AM331,2,FALSE))/12,4)</f>
        <v>7.4447000000000001</v>
      </c>
    </row>
    <row r="287" spans="1:39" x14ac:dyDescent="0.2">
      <c r="A287">
        <v>140</v>
      </c>
      <c r="B287" s="73">
        <v>2.7698999999999998</v>
      </c>
      <c r="D287">
        <v>147</v>
      </c>
      <c r="E287" s="73">
        <f>ROUND(E140+D287/12,40)</f>
        <v>69.25</v>
      </c>
      <c r="F287" s="73">
        <f>ROUND(VLOOKUP(TRUNC(D287/12,0)+57,E140:F331,2,FALSE)-MOD(D287,12)*(VLOOKUP(TRUNC(D287/12,0)+57,E140:F331,2,FALSE)-VLOOKUP(TRUNC(D287/12,0)+1+57,E140:F331,2,FALSE))/12,4)</f>
        <v>9.1120999999999999</v>
      </c>
      <c r="I287">
        <v>140</v>
      </c>
      <c r="J287" s="73">
        <v>3.8003</v>
      </c>
      <c r="L287">
        <v>147</v>
      </c>
      <c r="M287" s="73">
        <f>ROUND(M140+L287/12,40)</f>
        <v>69.25</v>
      </c>
      <c r="N287" s="73">
        <f>ROUND(VLOOKUP(TRUNC(L287/12,0)+57,M140:N331,2,FALSE)-MOD(L287,12)*(VLOOKUP(TRUNC(L287/12,0)+57,M140:N331,2,FALSE)-VLOOKUP(TRUNC(L287/12,0)+1+57,M140:N331,2,FALSE))/12,4)</f>
        <v>7.4256000000000002</v>
      </c>
      <c r="R287">
        <v>140</v>
      </c>
      <c r="S287" s="73">
        <v>2.8132000000000001</v>
      </c>
      <c r="U287">
        <v>147</v>
      </c>
      <c r="V287" s="73">
        <f>ROUND(V140+U287/12,40)</f>
        <v>69.25</v>
      </c>
      <c r="W287" s="73">
        <f>ROUND(VLOOKUP(TRUNC(U287/12,0)+57,V140:W331,2,FALSE)-MOD(U287,12)*(VLOOKUP(TRUNC(U287/12,0)+57,V140:W331,2,FALSE)-VLOOKUP(TRUNC(U287/12,0)+1+57,V140:W331,2,FALSE))/12,4)</f>
        <v>8.8505000000000003</v>
      </c>
      <c r="AA287" s="73"/>
      <c r="AC287">
        <v>147</v>
      </c>
      <c r="AD287" s="73">
        <f>ROUND(AD140+AC287/12,40)</f>
        <v>69.25</v>
      </c>
      <c r="AE287" s="73">
        <f>ROUND(VLOOKUP(TRUNC(AC287/12,0)+57,AD140:AE331,2,FALSE)-MOD(AC287,12)*(VLOOKUP(TRUNC(AC287/12,0)+57,AD140:AE331,2,FALSE)-VLOOKUP(TRUNC(AC287/12,0)+1+57,AD140:AE331,2,FALSE))/12,4)</f>
        <v>8.8505000000000003</v>
      </c>
      <c r="AH287">
        <v>140</v>
      </c>
      <c r="AI287" s="73">
        <v>3.8426999999999998</v>
      </c>
      <c r="AK287">
        <v>147</v>
      </c>
      <c r="AL287" s="73">
        <f>ROUND(AL140+AK287/12,40)</f>
        <v>69.25</v>
      </c>
      <c r="AM287" s="73">
        <f>ROUND(VLOOKUP(TRUNC(AK287/12,0)+57,AL140:AM331,2,FALSE)-MOD(AK287,12)*(VLOOKUP(TRUNC(AK287/12,0)+57,AL140:AM331,2,FALSE)-VLOOKUP(TRUNC(AK287/12,0)+1+57,AL140:AM331,2,FALSE))/12,4)</f>
        <v>7.4256000000000002</v>
      </c>
    </row>
    <row r="288" spans="1:39" x14ac:dyDescent="0.2">
      <c r="A288">
        <v>141</v>
      </c>
      <c r="B288" s="73">
        <v>2.7909000000000002</v>
      </c>
      <c r="D288">
        <v>148</v>
      </c>
      <c r="E288" s="73">
        <f>ROUND(E140+D288/12,4)</f>
        <v>69.333299999999994</v>
      </c>
      <c r="F288" s="73">
        <f>ROUND(VLOOKUP(TRUNC(D288/12,0)+57,E140:F331,2,FALSE)-MOD(D288,12)*(VLOOKUP(TRUNC(D288/12,0)+57,E140:F331,2,FALSE)-VLOOKUP(TRUNC(D288/12,0)+1+57,E140:F331,2,FALSE))/12,4)</f>
        <v>9.0923999999999996</v>
      </c>
      <c r="I288">
        <v>141</v>
      </c>
      <c r="J288" s="73">
        <v>3.8412000000000002</v>
      </c>
      <c r="L288">
        <v>148</v>
      </c>
      <c r="M288" s="73">
        <f>ROUND(M140+L288/12,4)</f>
        <v>69.333299999999994</v>
      </c>
      <c r="N288" s="73">
        <f>ROUND(VLOOKUP(TRUNC(L288/12,0)+57,M140:N331,2,FALSE)-MOD(L288,12)*(VLOOKUP(TRUNC(L288/12,0)+57,M140:N331,2,FALSE)-VLOOKUP(TRUNC(L288/12,0)+1+57,M140:N331,2,FALSE))/12,4)</f>
        <v>7.4065000000000003</v>
      </c>
      <c r="R288">
        <v>141</v>
      </c>
      <c r="S288" s="73">
        <v>2.8351000000000002</v>
      </c>
      <c r="U288">
        <v>148</v>
      </c>
      <c r="V288" s="73">
        <f>ROUND(V140+U288/12,4)</f>
        <v>69.333299999999994</v>
      </c>
      <c r="W288" s="73">
        <f>ROUND(VLOOKUP(TRUNC(U288/12,0)+57,V140:W331,2,FALSE)-MOD(U288,12)*(VLOOKUP(TRUNC(U288/12,0)+57,V140:W331,2,FALSE)-VLOOKUP(TRUNC(U288/12,0)+1+57,V140:W331,2,FALSE))/12,4)</f>
        <v>8.8295999999999992</v>
      </c>
      <c r="AA288" s="73"/>
      <c r="AC288">
        <v>148</v>
      </c>
      <c r="AD288" s="73">
        <f>ROUND(AD140+AC288/12,4)</f>
        <v>69.333299999999994</v>
      </c>
      <c r="AE288" s="73">
        <f>ROUND(VLOOKUP(TRUNC(AC288/12,0)+57,AD140:AE331,2,FALSE)-MOD(AC288,12)*(VLOOKUP(TRUNC(AC288/12,0)+57,AD140:AE331,2,FALSE)-VLOOKUP(TRUNC(AC288/12,0)+1+57,AD140:AE331,2,FALSE))/12,4)</f>
        <v>8.8295999999999992</v>
      </c>
      <c r="AH288">
        <v>141</v>
      </c>
      <c r="AI288" s="73">
        <v>3.8845000000000001</v>
      </c>
      <c r="AK288">
        <v>148</v>
      </c>
      <c r="AL288" s="73">
        <f>ROUND(AL140+AK288/12,4)</f>
        <v>69.333299999999994</v>
      </c>
      <c r="AM288" s="73">
        <f>ROUND(VLOOKUP(TRUNC(AK288/12,0)+57,AL140:AM331,2,FALSE)-MOD(AK288,12)*(VLOOKUP(TRUNC(AK288/12,0)+57,AL140:AM331,2,FALSE)-VLOOKUP(TRUNC(AK288/12,0)+1+57,AL140:AM331,2,FALSE))/12,4)</f>
        <v>7.4065000000000003</v>
      </c>
    </row>
    <row r="289" spans="1:39" x14ac:dyDescent="0.2">
      <c r="A289">
        <v>142</v>
      </c>
      <c r="B289" s="73">
        <v>2.8119000000000001</v>
      </c>
      <c r="D289">
        <v>149</v>
      </c>
      <c r="E289" s="73">
        <f>ROUND(E140+D289/12,4)</f>
        <v>69.416700000000006</v>
      </c>
      <c r="F289" s="73">
        <f>ROUND(VLOOKUP(TRUNC(D289/12,0)+57,E140:F331,2,FALSE)-MOD(D289,12)*(VLOOKUP(TRUNC(D289/12,0)+57,E140:F331,2,FALSE)-VLOOKUP(TRUNC(D289/12,0)+1+57,E140:F331,2,FALSE))/12,4)</f>
        <v>9.0726999999999993</v>
      </c>
      <c r="I289">
        <v>142</v>
      </c>
      <c r="J289" s="73">
        <v>3.8822000000000001</v>
      </c>
      <c r="L289">
        <v>149</v>
      </c>
      <c r="M289" s="73">
        <f>ROUND(M140+L289/12,4)</f>
        <v>69.416700000000006</v>
      </c>
      <c r="N289" s="73">
        <f>ROUND(VLOOKUP(TRUNC(L289/12,0)+57,M140:N331,2,FALSE)-MOD(L289,12)*(VLOOKUP(TRUNC(L289/12,0)+57,M140:N331,2,FALSE)-VLOOKUP(TRUNC(L289/12,0)+1+57,M140:N331,2,FALSE))/12,4)</f>
        <v>7.3872999999999998</v>
      </c>
      <c r="R289">
        <v>142</v>
      </c>
      <c r="S289" s="73">
        <v>2.8570000000000002</v>
      </c>
      <c r="U289">
        <v>149</v>
      </c>
      <c r="V289" s="73">
        <f>ROUND(V140+U289/12,4)</f>
        <v>69.416700000000006</v>
      </c>
      <c r="W289" s="73">
        <f>ROUND(VLOOKUP(TRUNC(U289/12,0)+57,V140:W331,2,FALSE)-MOD(U289,12)*(VLOOKUP(TRUNC(U289/12,0)+57,V140:W331,2,FALSE)-VLOOKUP(TRUNC(U289/12,0)+1+57,V140:W331,2,FALSE))/12,4)</f>
        <v>8.8087</v>
      </c>
      <c r="AA289" s="73"/>
      <c r="AC289">
        <v>149</v>
      </c>
      <c r="AD289" s="73">
        <f>ROUND(AD140+AC289/12,4)</f>
        <v>69.416700000000006</v>
      </c>
      <c r="AE289" s="73">
        <f>ROUND(VLOOKUP(TRUNC(AC289/12,0)+57,AD140:AE331,2,FALSE)-MOD(AC289,12)*(VLOOKUP(TRUNC(AC289/12,0)+57,AD140:AE331,2,FALSE)-VLOOKUP(TRUNC(AC289/12,0)+1+57,AD140:AE331,2,FALSE))/12,4)</f>
        <v>8.8087</v>
      </c>
      <c r="AH289">
        <v>142</v>
      </c>
      <c r="AI289" s="73">
        <v>3.9262000000000001</v>
      </c>
      <c r="AK289">
        <v>149</v>
      </c>
      <c r="AL289" s="73">
        <f>ROUND(AL140+AK289/12,4)</f>
        <v>69.416700000000006</v>
      </c>
      <c r="AM289" s="73">
        <f>ROUND(VLOOKUP(TRUNC(AK289/12,0)+57,AL140:AM331,2,FALSE)-MOD(AK289,12)*(VLOOKUP(TRUNC(AK289/12,0)+57,AL140:AM331,2,FALSE)-VLOOKUP(TRUNC(AK289/12,0)+1+57,AL140:AM331,2,FALSE))/12,4)</f>
        <v>7.3872999999999998</v>
      </c>
    </row>
    <row r="290" spans="1:39" x14ac:dyDescent="0.2">
      <c r="A290">
        <v>143</v>
      </c>
      <c r="B290" s="73">
        <v>2.8329</v>
      </c>
      <c r="D290">
        <v>150</v>
      </c>
      <c r="E290" s="73">
        <f>ROUND(E140+D290/12,4)</f>
        <v>69.5</v>
      </c>
      <c r="F290" s="73">
        <f>ROUND(VLOOKUP(TRUNC(D290/12,0)+57,E140:F331,2,FALSE)-MOD(D290,12)*(VLOOKUP(TRUNC(D290/12,0)+57,E140:F331,2,FALSE)-VLOOKUP(TRUNC(D290/12,0)+1+57,E140:F331,2,FALSE))/12,4)</f>
        <v>9.0530000000000008</v>
      </c>
      <c r="I290">
        <v>143</v>
      </c>
      <c r="J290" s="73">
        <v>3.9230999999999998</v>
      </c>
      <c r="L290">
        <v>150</v>
      </c>
      <c r="M290" s="73">
        <f>ROUND(M140+L290/12,4)</f>
        <v>69.5</v>
      </c>
      <c r="N290" s="73">
        <f>ROUND(VLOOKUP(TRUNC(L290/12,0)+57,M140:N331,2,FALSE)-MOD(L290,12)*(VLOOKUP(TRUNC(L290/12,0)+57,M140:N331,2,FALSE)-VLOOKUP(TRUNC(L290/12,0)+1+57,M140:N331,2,FALSE))/12,4)</f>
        <v>7.3681999999999999</v>
      </c>
      <c r="R290">
        <v>143</v>
      </c>
      <c r="S290" s="73">
        <v>2.8788999999999998</v>
      </c>
      <c r="U290">
        <v>150</v>
      </c>
      <c r="V290" s="73">
        <f>ROUND(V140+U290/12,4)</f>
        <v>69.5</v>
      </c>
      <c r="W290" s="73">
        <f>ROUND(VLOOKUP(TRUNC(U290/12,0)+57,V140:W331,2,FALSE)-MOD(U290,12)*(VLOOKUP(TRUNC(U290/12,0)+57,V140:W331,2,FALSE)-VLOOKUP(TRUNC(U290/12,0)+1+57,V140:W331,2,FALSE))/12,4)</f>
        <v>8.7876999999999992</v>
      </c>
      <c r="AA290" s="73"/>
      <c r="AC290">
        <v>150</v>
      </c>
      <c r="AD290" s="73">
        <f>ROUND(AD140+AC290/12,4)</f>
        <v>69.5</v>
      </c>
      <c r="AE290" s="73">
        <f>ROUND(VLOOKUP(TRUNC(AC290/12,0)+57,AD140:AE331,2,FALSE)-MOD(AC290,12)*(VLOOKUP(TRUNC(AC290/12,0)+57,AD140:AE331,2,FALSE)-VLOOKUP(TRUNC(AC290/12,0)+1+57,AD140:AE331,2,FALSE))/12,4)</f>
        <v>8.7876999999999992</v>
      </c>
      <c r="AH290">
        <v>143</v>
      </c>
      <c r="AI290" s="73">
        <v>3.968</v>
      </c>
      <c r="AK290">
        <v>150</v>
      </c>
      <c r="AL290" s="73">
        <f>ROUND(AL140+AK290/12,4)</f>
        <v>69.5</v>
      </c>
      <c r="AM290" s="73">
        <f>ROUND(VLOOKUP(TRUNC(AK290/12,0)+57,AL140:AM331,2,FALSE)-MOD(AK290,12)*(VLOOKUP(TRUNC(AK290/12,0)+57,AL140:AM331,2,FALSE)-VLOOKUP(TRUNC(AK290/12,0)+1+57,AL140:AM331,2,FALSE))/12,4)</f>
        <v>7.3681999999999999</v>
      </c>
    </row>
    <row r="291" spans="1:39" x14ac:dyDescent="0.2">
      <c r="A291">
        <v>144</v>
      </c>
      <c r="B291" s="73">
        <v>2.8538999999999999</v>
      </c>
      <c r="D291">
        <v>151</v>
      </c>
      <c r="E291" s="73">
        <f>ROUND(E140+D291/12,4)</f>
        <v>69.583299999999994</v>
      </c>
      <c r="F291" s="73">
        <f>ROUND(VLOOKUP(TRUNC(D291/12,0)+57,E140:F331,2,FALSE)-MOD(D291,12)*(VLOOKUP(TRUNC(D291/12,0)+57,E140:F331,2,FALSE)-VLOOKUP(TRUNC(D291/12,0)+1+57,E140:F331,2,FALSE))/12,4)</f>
        <v>9.0333000000000006</v>
      </c>
      <c r="I291">
        <v>144</v>
      </c>
      <c r="J291" s="73">
        <v>3.964</v>
      </c>
      <c r="L291">
        <v>151</v>
      </c>
      <c r="M291" s="73">
        <f>ROUND(M140+L291/12,4)</f>
        <v>69.583299999999994</v>
      </c>
      <c r="N291" s="73">
        <f>ROUND(VLOOKUP(TRUNC(L291/12,0)+57,M140:N331,2,FALSE)-MOD(L291,12)*(VLOOKUP(TRUNC(L291/12,0)+57,M140:N331,2,FALSE)-VLOOKUP(TRUNC(L291/12,0)+1+57,M140:N331,2,FALSE))/12,4)</f>
        <v>7.3491</v>
      </c>
      <c r="R291">
        <v>144</v>
      </c>
      <c r="S291" s="73">
        <v>2.9007999999999998</v>
      </c>
      <c r="U291">
        <v>151</v>
      </c>
      <c r="V291" s="73">
        <f>ROUND(V140+U291/12,4)</f>
        <v>69.583299999999994</v>
      </c>
      <c r="W291" s="73">
        <f>ROUND(VLOOKUP(TRUNC(U291/12,0)+57,V140:W331,2,FALSE)-MOD(U291,12)*(VLOOKUP(TRUNC(U291/12,0)+57,V140:W331,2,FALSE)-VLOOKUP(TRUNC(U291/12,0)+1+57,V140:W331,2,FALSE))/12,4)</f>
        <v>8.7667999999999999</v>
      </c>
      <c r="AA291" s="73"/>
      <c r="AC291">
        <v>151</v>
      </c>
      <c r="AD291" s="73">
        <f>ROUND(AD140+AC291/12,4)</f>
        <v>69.583299999999994</v>
      </c>
      <c r="AE291" s="73">
        <f>ROUND(VLOOKUP(TRUNC(AC291/12,0)+57,AD140:AE331,2,FALSE)-MOD(AC291,12)*(VLOOKUP(TRUNC(AC291/12,0)+57,AD140:AE331,2,FALSE)-VLOOKUP(TRUNC(AC291/12,0)+1+57,AD140:AE331,2,FALSE))/12,4)</f>
        <v>8.7667999999999999</v>
      </c>
      <c r="AH291">
        <v>144</v>
      </c>
      <c r="AI291" s="73">
        <v>4.0098000000000003</v>
      </c>
      <c r="AK291">
        <v>151</v>
      </c>
      <c r="AL291" s="73">
        <f>ROUND(AL140+AK291/12,4)</f>
        <v>69.583299999999994</v>
      </c>
      <c r="AM291" s="73">
        <f>ROUND(VLOOKUP(TRUNC(AK291/12,0)+57,AL140:AM331,2,FALSE)-MOD(AK291,12)*(VLOOKUP(TRUNC(AK291/12,0)+57,AL140:AM331,2,FALSE)-VLOOKUP(TRUNC(AK291/12,0)+1+57,AL140:AM331,2,FALSE))/12,4)</f>
        <v>7.3491</v>
      </c>
    </row>
    <row r="292" spans="1:39" x14ac:dyDescent="0.2">
      <c r="A292">
        <v>145</v>
      </c>
      <c r="B292" s="73">
        <v>2.8773</v>
      </c>
      <c r="D292">
        <v>152</v>
      </c>
      <c r="E292" s="73">
        <f>ROUND(E140+D292/12,4)</f>
        <v>69.666700000000006</v>
      </c>
      <c r="F292" s="73">
        <f>ROUND(VLOOKUP(TRUNC(D292/12,0)+57,E140:F331,2,FALSE)-MOD(D292,12)*(VLOOKUP(TRUNC(D292/12,0)+57,E140:F331,2,FALSE)-VLOOKUP(TRUNC(D292/12,0)+1+57,E140:F331,2,FALSE))/12,4)</f>
        <v>9.0137</v>
      </c>
      <c r="I292">
        <v>145</v>
      </c>
      <c r="J292" s="73">
        <v>4.0122999999999998</v>
      </c>
      <c r="L292">
        <v>152</v>
      </c>
      <c r="M292" s="73">
        <f>ROUND(M140+L292/12,4)</f>
        <v>69.666700000000006</v>
      </c>
      <c r="N292" s="73">
        <f>ROUND(VLOOKUP(TRUNC(L292/12,0)+57,M140:N331,2,FALSE)-MOD(L292,12)*(VLOOKUP(TRUNC(L292/12,0)+57,M140:N331,2,FALSE)-VLOOKUP(TRUNC(L292/12,0)+1+57,M140:N331,2,FALSE))/12,4)</f>
        <v>7.33</v>
      </c>
      <c r="R292">
        <v>145</v>
      </c>
      <c r="S292" s="73">
        <v>2.9251999999999998</v>
      </c>
      <c r="U292">
        <v>152</v>
      </c>
      <c r="V292" s="73">
        <f>ROUND(V140+U292/12,4)</f>
        <v>69.666700000000006</v>
      </c>
      <c r="W292" s="73">
        <f>ROUND(VLOOKUP(TRUNC(U292/12,0)+57,V140:W331,2,FALSE)-MOD(U292,12)*(VLOOKUP(TRUNC(U292/12,0)+57,V140:W331,2,FALSE)-VLOOKUP(TRUNC(U292/12,0)+1+57,V140:W331,2,FALSE))/12,4)</f>
        <v>8.7459000000000007</v>
      </c>
      <c r="AA292" s="73"/>
      <c r="AC292">
        <v>152</v>
      </c>
      <c r="AD292" s="73">
        <f>ROUND(AD140+AC292/12,4)</f>
        <v>69.666700000000006</v>
      </c>
      <c r="AE292" s="73">
        <f>ROUND(VLOOKUP(TRUNC(AC292/12,0)+57,AD140:AE331,2,FALSE)-MOD(AC292,12)*(VLOOKUP(TRUNC(AC292/12,0)+57,AD140:AE331,2,FALSE)-VLOOKUP(TRUNC(AC292/12,0)+1+57,AD140:AE331,2,FALSE))/12,4)</f>
        <v>8.7459000000000007</v>
      </c>
      <c r="AH292">
        <v>145</v>
      </c>
      <c r="AI292" s="73">
        <v>4.0591999999999997</v>
      </c>
      <c r="AK292">
        <v>152</v>
      </c>
      <c r="AL292" s="73">
        <f>ROUND(AL140+AK292/12,4)</f>
        <v>69.666700000000006</v>
      </c>
      <c r="AM292" s="73">
        <f>ROUND(VLOOKUP(TRUNC(AK292/12,0)+57,AL140:AM331,2,FALSE)-MOD(AK292,12)*(VLOOKUP(TRUNC(AK292/12,0)+57,AL140:AM331,2,FALSE)-VLOOKUP(TRUNC(AK292/12,0)+1+57,AL140:AM331,2,FALSE))/12,4)</f>
        <v>7.33</v>
      </c>
    </row>
    <row r="293" spans="1:39" x14ac:dyDescent="0.2">
      <c r="A293">
        <v>146</v>
      </c>
      <c r="B293" s="73">
        <v>2.9007000000000001</v>
      </c>
      <c r="D293">
        <v>153</v>
      </c>
      <c r="E293" s="73">
        <f>ROUND(E140+D293/12,4)</f>
        <v>69.75</v>
      </c>
      <c r="F293" s="73">
        <f>ROUND(VLOOKUP(TRUNC(D293/12,0)+57,E140:F331,2,FALSE)-MOD(D293,12)*(VLOOKUP(TRUNC(D293/12,0)+57,E140:F331,2,FALSE)-VLOOKUP(TRUNC(D293/12,0)+1+57,E140:F331,2,FALSE))/12,4)</f>
        <v>8.9939999999999998</v>
      </c>
      <c r="I293">
        <v>146</v>
      </c>
      <c r="J293" s="73">
        <v>4.0606</v>
      </c>
      <c r="L293">
        <v>153</v>
      </c>
      <c r="M293" s="73">
        <f>ROUND(M140+L293/12,4)</f>
        <v>69.75</v>
      </c>
      <c r="N293" s="73">
        <f>ROUND(VLOOKUP(TRUNC(L293/12,0)+57,M140:N331,2,FALSE)-MOD(L293,12)*(VLOOKUP(TRUNC(L293/12,0)+57,M140:N331,2,FALSE)-VLOOKUP(TRUNC(L293/12,0)+1+57,M140:N331,2,FALSE))/12,4)</f>
        <v>7.3109000000000002</v>
      </c>
      <c r="R293">
        <v>146</v>
      </c>
      <c r="S293" s="73">
        <v>2.9496000000000002</v>
      </c>
      <c r="U293">
        <v>153</v>
      </c>
      <c r="V293" s="73">
        <f>ROUND(V140+U293/12,4)</f>
        <v>69.75</v>
      </c>
      <c r="W293" s="73">
        <f>ROUND(VLOOKUP(TRUNC(U293/12,0)+57,V140:W331,2,FALSE)-MOD(U293,12)*(VLOOKUP(TRUNC(U293/12,0)+57,V140:W331,2,FALSE)-VLOOKUP(TRUNC(U293/12,0)+1+57,V140:W331,2,FALSE))/12,4)</f>
        <v>8.7249999999999996</v>
      </c>
      <c r="AA293" s="73"/>
      <c r="AC293">
        <v>153</v>
      </c>
      <c r="AD293" s="73">
        <f>ROUND(AD140+AC293/12,4)</f>
        <v>69.75</v>
      </c>
      <c r="AE293" s="73">
        <f>ROUND(VLOOKUP(TRUNC(AC293/12,0)+57,AD140:AE331,2,FALSE)-MOD(AC293,12)*(VLOOKUP(TRUNC(AC293/12,0)+57,AD140:AE331,2,FALSE)-VLOOKUP(TRUNC(AC293/12,0)+1+57,AD140:AE331,2,FALSE))/12,4)</f>
        <v>8.7249999999999996</v>
      </c>
      <c r="AH293">
        <v>146</v>
      </c>
      <c r="AI293" s="73">
        <v>4.1086</v>
      </c>
      <c r="AK293">
        <v>153</v>
      </c>
      <c r="AL293" s="73">
        <f>ROUND(AL140+AK293/12,4)</f>
        <v>69.75</v>
      </c>
      <c r="AM293" s="73">
        <f>ROUND(VLOOKUP(TRUNC(AK293/12,0)+57,AL140:AM331,2,FALSE)-MOD(AK293,12)*(VLOOKUP(TRUNC(AK293/12,0)+57,AL140:AM331,2,FALSE)-VLOOKUP(TRUNC(AK293/12,0)+1+57,AL140:AM331,2,FALSE))/12,4)</f>
        <v>7.3109000000000002</v>
      </c>
    </row>
    <row r="294" spans="1:39" x14ac:dyDescent="0.2">
      <c r="A294">
        <v>147</v>
      </c>
      <c r="B294" s="73">
        <v>2.9239999999999999</v>
      </c>
      <c r="D294">
        <v>154</v>
      </c>
      <c r="E294" s="73">
        <f>ROUND(E140+D294/12,4)</f>
        <v>69.833299999999994</v>
      </c>
      <c r="F294" s="73">
        <f>ROUND(VLOOKUP(TRUNC(D294/12,0)+57,E140:F331,2,FALSE)-MOD(D294,12)*(VLOOKUP(TRUNC(D294/12,0)+57,E140:F331,2,FALSE)-VLOOKUP(TRUNC(D294/12,0)+1+57,E140:F331,2,FALSE))/12,4)</f>
        <v>8.9742999999999995</v>
      </c>
      <c r="I294">
        <v>147</v>
      </c>
      <c r="J294" s="73">
        <v>4.1089000000000002</v>
      </c>
      <c r="L294">
        <v>154</v>
      </c>
      <c r="M294" s="73">
        <f>ROUND(M140+L294/12,4)</f>
        <v>69.833299999999994</v>
      </c>
      <c r="N294" s="73">
        <f>ROUND(VLOOKUP(TRUNC(L294/12,0)+57,M140:N331,2,FALSE)-MOD(L294,12)*(VLOOKUP(TRUNC(L294/12,0)+57,M140:N331,2,FALSE)-VLOOKUP(TRUNC(L294/12,0)+1+57,M140:N331,2,FALSE))/12,4)</f>
        <v>7.2918000000000003</v>
      </c>
      <c r="R294">
        <v>147</v>
      </c>
      <c r="S294" s="73">
        <v>2.9741</v>
      </c>
      <c r="U294">
        <v>154</v>
      </c>
      <c r="V294" s="73">
        <f>ROUND(V140+U294/12,4)</f>
        <v>69.833299999999994</v>
      </c>
      <c r="W294" s="73">
        <f>ROUND(VLOOKUP(TRUNC(U294/12,0)+57,V140:W331,2,FALSE)-MOD(U294,12)*(VLOOKUP(TRUNC(U294/12,0)+57,V140:W331,2,FALSE)-VLOOKUP(TRUNC(U294/12,0)+1+57,V140:W331,2,FALSE))/12,4)</f>
        <v>8.7041000000000004</v>
      </c>
      <c r="AA294" s="73"/>
      <c r="AC294">
        <v>154</v>
      </c>
      <c r="AD294" s="73">
        <f>ROUND(AD140+AC294/12,4)</f>
        <v>69.833299999999994</v>
      </c>
      <c r="AE294" s="73">
        <f>ROUND(VLOOKUP(TRUNC(AC294/12,0)+57,AD140:AE331,2,FALSE)-MOD(AC294,12)*(VLOOKUP(TRUNC(AC294/12,0)+57,AD140:AE331,2,FALSE)-VLOOKUP(TRUNC(AC294/12,0)+1+57,AD140:AE331,2,FALSE))/12,4)</f>
        <v>8.7041000000000004</v>
      </c>
      <c r="AH294">
        <v>147</v>
      </c>
      <c r="AI294" s="73">
        <v>4.1578999999999997</v>
      </c>
      <c r="AK294">
        <v>154</v>
      </c>
      <c r="AL294" s="73">
        <f>ROUND(AL140+AK294/12,4)</f>
        <v>69.833299999999994</v>
      </c>
      <c r="AM294" s="73">
        <f>ROUND(VLOOKUP(TRUNC(AK294/12,0)+57,AL140:AM331,2,FALSE)-MOD(AK294,12)*(VLOOKUP(TRUNC(AK294/12,0)+57,AL140:AM331,2,FALSE)-VLOOKUP(TRUNC(AK294/12,0)+1+57,AL140:AM331,2,FALSE))/12,4)</f>
        <v>7.2918000000000003</v>
      </c>
    </row>
    <row r="295" spans="1:39" x14ac:dyDescent="0.2">
      <c r="A295">
        <v>148</v>
      </c>
      <c r="B295" s="73">
        <v>2.9474</v>
      </c>
      <c r="D295">
        <v>155</v>
      </c>
      <c r="E295" s="73">
        <f>ROUND(E140+D295/12,4)</f>
        <v>69.916700000000006</v>
      </c>
      <c r="F295" s="73">
        <f>ROUND(VLOOKUP(TRUNC(D295/12,0)+57,E140:F331,2,FALSE)-MOD(D295,12)*(VLOOKUP(TRUNC(D295/12,0)+57,E140:F331,2,FALSE)-VLOOKUP(TRUNC(D295/12,0)+1+57,E140:F331,2,FALSE))/12,4)</f>
        <v>8.9545999999999992</v>
      </c>
      <c r="I295">
        <v>148</v>
      </c>
      <c r="J295" s="73">
        <v>4.1570999999999998</v>
      </c>
      <c r="L295">
        <v>155</v>
      </c>
      <c r="M295" s="73">
        <f>ROUND(M140+L295/12,4)</f>
        <v>69.916700000000006</v>
      </c>
      <c r="N295" s="73">
        <f>ROUND(VLOOKUP(TRUNC(L295/12,0)+57,M140:N331,2,FALSE)-MOD(L295,12)*(VLOOKUP(TRUNC(L295/12,0)+57,M140:N331,2,FALSE)-VLOOKUP(TRUNC(L295/12,0)+1+57,M140:N331,2,FALSE))/12,4)</f>
        <v>7.2727000000000004</v>
      </c>
      <c r="R295">
        <v>148</v>
      </c>
      <c r="S295" s="73">
        <v>2.9984999999999999</v>
      </c>
      <c r="U295">
        <v>155</v>
      </c>
      <c r="V295" s="73">
        <f>ROUND(V140+U295/12,4)</f>
        <v>69.916700000000006</v>
      </c>
      <c r="W295" s="73">
        <f>ROUND(VLOOKUP(TRUNC(U295/12,0)+57,V140:W331,2,FALSE)-MOD(U295,12)*(VLOOKUP(TRUNC(U295/12,0)+57,V140:W331,2,FALSE)-VLOOKUP(TRUNC(U295/12,0)+1+57,V140:W331,2,FALSE))/12,4)</f>
        <v>8.6831999999999994</v>
      </c>
      <c r="AA295" s="73"/>
      <c r="AC295">
        <v>155</v>
      </c>
      <c r="AD295" s="73">
        <f>ROUND(AD140+AC295/12,4)</f>
        <v>69.916700000000006</v>
      </c>
      <c r="AE295" s="73">
        <f>ROUND(VLOOKUP(TRUNC(AC295/12,0)+57,AD140:AE331,2,FALSE)-MOD(AC295,12)*(VLOOKUP(TRUNC(AC295/12,0)+57,AD140:AE331,2,FALSE)-VLOOKUP(TRUNC(AC295/12,0)+1+57,AD140:AE331,2,FALSE))/12,4)</f>
        <v>8.6831999999999994</v>
      </c>
      <c r="AH295">
        <v>148</v>
      </c>
      <c r="AI295" s="73">
        <v>4.2073</v>
      </c>
      <c r="AK295">
        <v>155</v>
      </c>
      <c r="AL295" s="73">
        <f>ROUND(AL140+AK295/12,4)</f>
        <v>69.916700000000006</v>
      </c>
      <c r="AM295" s="73">
        <f>ROUND(VLOOKUP(TRUNC(AK295/12,0)+57,AL140:AM331,2,FALSE)-MOD(AK295,12)*(VLOOKUP(TRUNC(AK295/12,0)+57,AL140:AM331,2,FALSE)-VLOOKUP(TRUNC(AK295/12,0)+1+57,AL140:AM331,2,FALSE))/12,4)</f>
        <v>7.2727000000000004</v>
      </c>
    </row>
    <row r="296" spans="1:39" x14ac:dyDescent="0.2">
      <c r="A296">
        <v>149</v>
      </c>
      <c r="B296" s="73">
        <v>2.9708000000000001</v>
      </c>
      <c r="D296">
        <v>156</v>
      </c>
      <c r="E296" s="73">
        <f>ROUND(E140+D296/12,4)</f>
        <v>70</v>
      </c>
      <c r="F296" s="73">
        <f>[1]!NPVF("Mp","SLA","N",B140:C140,"M",E296,E296,0,0,0,0,A140,A140,"P","","")</f>
        <v>8.9349065667875394</v>
      </c>
      <c r="I296">
        <v>149</v>
      </c>
      <c r="J296" s="73">
        <v>4.2054</v>
      </c>
      <c r="L296">
        <v>156</v>
      </c>
      <c r="M296" s="73">
        <f>ROUND(M140+L296/12,4)</f>
        <v>70</v>
      </c>
      <c r="N296" s="73">
        <f>[1]!NPVF("Mp","SLA","N",J140:K140,"M",M296,M296,0,0,0,0,I140,I140,"P","","")</f>
        <v>7.2536049155082951</v>
      </c>
      <c r="R296">
        <v>149</v>
      </c>
      <c r="S296" s="73">
        <v>3.0228999999999999</v>
      </c>
      <c r="U296">
        <v>156</v>
      </c>
      <c r="V296" s="73">
        <f>ROUND(V140+U296/12,4)</f>
        <v>70</v>
      </c>
      <c r="W296" s="73">
        <f>[1]!NPVF("Mp","SLA","N",S140:T140,"M",V296,V296,0,0,0,0,R140,R140,"P","","")</f>
        <v>8.6622360978305935</v>
      </c>
      <c r="AA296" s="73"/>
      <c r="AC296">
        <v>156</v>
      </c>
      <c r="AD296" s="73">
        <f>ROUND(AD140+AC296/12,4)</f>
        <v>70</v>
      </c>
      <c r="AE296" s="73">
        <f>[1]!NPVF("Mp","SLA","N",AA140:AB140,"M",AD296,AD296,0,0,0,0,Z140,Z140,"P","","")</f>
        <v>8.6622360978305935</v>
      </c>
      <c r="AH296">
        <v>149</v>
      </c>
      <c r="AI296" s="73">
        <v>4.2567000000000004</v>
      </c>
      <c r="AK296">
        <v>156</v>
      </c>
      <c r="AL296" s="73">
        <f>ROUND(AL140+AK296/12,4)</f>
        <v>70</v>
      </c>
      <c r="AM296" s="73">
        <f>[1]!NPVF("Mp","SLA","N",AI140:AJ140,"M",AL296,AL296,0,0,0,0,AH140,AH140,"P","","")</f>
        <v>7.2536049155082951</v>
      </c>
    </row>
    <row r="297" spans="1:39" x14ac:dyDescent="0.2">
      <c r="A297">
        <v>150</v>
      </c>
      <c r="B297" s="73">
        <v>2.9942000000000002</v>
      </c>
      <c r="D297">
        <v>157</v>
      </c>
      <c r="E297" s="73">
        <f>ROUND(E140+D297/12,4)</f>
        <v>70.083299999999994</v>
      </c>
      <c r="F297" s="73">
        <f>ROUND(VLOOKUP(TRUNC(D297/12,0)+57,E140:F331,2,FALSE)-MOD(D297,12)*(VLOOKUP(TRUNC(D297/12,0)+57,E140:F331,2,FALSE)-VLOOKUP(TRUNC(D297/12,0)+1+57,E140:F331,2,FALSE))/12,4)</f>
        <v>8.9146000000000001</v>
      </c>
      <c r="I297">
        <v>150</v>
      </c>
      <c r="J297" s="73">
        <v>4.2537000000000003</v>
      </c>
      <c r="L297">
        <v>157</v>
      </c>
      <c r="M297" s="73">
        <f>ROUND(M140+L297/12,4)</f>
        <v>70.083299999999994</v>
      </c>
      <c r="N297" s="73">
        <f>ROUND(VLOOKUP(TRUNC(L297/12,0)+57,M140:N331,2,FALSE)-MOD(L297,12)*(VLOOKUP(TRUNC(L297/12,0)+57,M140:N331,2,FALSE)-VLOOKUP(TRUNC(L297/12,0)+1+57,M140:N331,2,FALSE))/12,4)</f>
        <v>7.2347000000000001</v>
      </c>
      <c r="R297">
        <v>150</v>
      </c>
      <c r="S297" s="73">
        <v>3.0472999999999999</v>
      </c>
      <c r="U297">
        <v>157</v>
      </c>
      <c r="V297" s="73">
        <f>ROUND(V140+U297/12,4)</f>
        <v>70.083299999999994</v>
      </c>
      <c r="W297" s="73">
        <f>ROUND(VLOOKUP(TRUNC(U297/12,0)+57,V140:W331,2,FALSE)-MOD(U297,12)*(VLOOKUP(TRUNC(U297/12,0)+57,V140:W331,2,FALSE)-VLOOKUP(TRUNC(U297/12,0)+1+57,V140:W331,2,FALSE))/12,4)</f>
        <v>8.641</v>
      </c>
      <c r="AA297" s="73"/>
      <c r="AC297">
        <v>157</v>
      </c>
      <c r="AD297" s="73">
        <f>ROUND(AD140+AC297/12,4)</f>
        <v>70.083299999999994</v>
      </c>
      <c r="AE297" s="73">
        <f>ROUND(VLOOKUP(TRUNC(AC297/12,0)+57,AD140:AE331,2,FALSE)-MOD(AC297,12)*(VLOOKUP(TRUNC(AC297/12,0)+57,AD140:AE331,2,FALSE)-VLOOKUP(TRUNC(AC297/12,0)+1+57,AD140:AE331,2,FALSE))/12,4)</f>
        <v>8.641</v>
      </c>
      <c r="AH297">
        <v>150</v>
      </c>
      <c r="AI297" s="73">
        <v>4.3060999999999998</v>
      </c>
      <c r="AK297">
        <v>157</v>
      </c>
      <c r="AL297" s="73">
        <f>ROUND(AL140+AK297/12,4)</f>
        <v>70.083299999999994</v>
      </c>
      <c r="AM297" s="73">
        <f>ROUND(VLOOKUP(TRUNC(AK297/12,0)+57,AL140:AM331,2,FALSE)-MOD(AK297,12)*(VLOOKUP(TRUNC(AK297/12,0)+57,AL140:AM331,2,FALSE)-VLOOKUP(TRUNC(AK297/12,0)+1+57,AL140:AM331,2,FALSE))/12,4)</f>
        <v>7.2347000000000001</v>
      </c>
    </row>
    <row r="298" spans="1:39" x14ac:dyDescent="0.2">
      <c r="A298">
        <v>151</v>
      </c>
      <c r="B298" s="73">
        <v>3.0175000000000001</v>
      </c>
      <c r="D298">
        <v>158</v>
      </c>
      <c r="E298" s="73">
        <f>ROUND(E140+D298/12,4)</f>
        <v>70.166700000000006</v>
      </c>
      <c r="F298" s="73">
        <f>ROUND(VLOOKUP(TRUNC(D298/12,0)+57,E140:F331,2,FALSE)-MOD(D298,12)*(VLOOKUP(TRUNC(D298/12,0)+57,E140:F331,2,FALSE)-VLOOKUP(TRUNC(D298/12,0)+1+57,E140:F331,2,FALSE))/12,4)</f>
        <v>8.8941999999999997</v>
      </c>
      <c r="I298">
        <v>151</v>
      </c>
      <c r="J298" s="73">
        <v>4.3019999999999996</v>
      </c>
      <c r="L298">
        <v>158</v>
      </c>
      <c r="M298" s="73">
        <f>ROUND(M140+L298/12,4)</f>
        <v>70.166700000000006</v>
      </c>
      <c r="N298" s="73">
        <f>ROUND(VLOOKUP(TRUNC(L298/12,0)+57,M140:N331,2,FALSE)-MOD(L298,12)*(VLOOKUP(TRUNC(L298/12,0)+57,M140:N331,2,FALSE)-VLOOKUP(TRUNC(L298/12,0)+1+57,M140:N331,2,FALSE))/12,4)</f>
        <v>7.2159000000000004</v>
      </c>
      <c r="R298">
        <v>151</v>
      </c>
      <c r="S298" s="73">
        <v>3.0716999999999999</v>
      </c>
      <c r="U298">
        <v>158</v>
      </c>
      <c r="V298" s="73">
        <f>ROUND(V140+U298/12,4)</f>
        <v>70.166700000000006</v>
      </c>
      <c r="W298" s="73">
        <f>ROUND(VLOOKUP(TRUNC(U298/12,0)+57,V140:W331,2,FALSE)-MOD(U298,12)*(VLOOKUP(TRUNC(U298/12,0)+57,V140:W331,2,FALSE)-VLOOKUP(TRUNC(U298/12,0)+1+57,V140:W331,2,FALSE))/12,4)</f>
        <v>8.6197999999999997</v>
      </c>
      <c r="AA298" s="73"/>
      <c r="AC298">
        <v>158</v>
      </c>
      <c r="AD298" s="73">
        <f>ROUND(AD140+AC298/12,4)</f>
        <v>70.166700000000006</v>
      </c>
      <c r="AE298" s="73">
        <f>ROUND(VLOOKUP(TRUNC(AC298/12,0)+57,AD140:AE331,2,FALSE)-MOD(AC298,12)*(VLOOKUP(TRUNC(AC298/12,0)+57,AD140:AE331,2,FALSE)-VLOOKUP(TRUNC(AC298/12,0)+1+57,AD140:AE331,2,FALSE))/12,4)</f>
        <v>8.6197999999999997</v>
      </c>
      <c r="AH298">
        <v>151</v>
      </c>
      <c r="AI298" s="73">
        <v>4.3554000000000004</v>
      </c>
      <c r="AK298">
        <v>158</v>
      </c>
      <c r="AL298" s="73">
        <f>ROUND(AL140+AK298/12,4)</f>
        <v>70.166700000000006</v>
      </c>
      <c r="AM298" s="73">
        <f>ROUND(VLOOKUP(TRUNC(AK298/12,0)+57,AL140:AM331,2,FALSE)-MOD(AK298,12)*(VLOOKUP(TRUNC(AK298/12,0)+57,AL140:AM331,2,FALSE)-VLOOKUP(TRUNC(AK298/12,0)+1+57,AL140:AM331,2,FALSE))/12,4)</f>
        <v>7.2159000000000004</v>
      </c>
    </row>
    <row r="299" spans="1:39" x14ac:dyDescent="0.2">
      <c r="A299">
        <v>152</v>
      </c>
      <c r="B299" s="73">
        <v>3.0409000000000002</v>
      </c>
      <c r="D299">
        <v>159</v>
      </c>
      <c r="E299" s="73">
        <f>ROUND(E140+D299/12,4)</f>
        <v>70.25</v>
      </c>
      <c r="F299" s="73">
        <f>ROUND(VLOOKUP(TRUNC(D299/12,0)+57,E140:F331,2,FALSE)-MOD(D299,12)*(VLOOKUP(TRUNC(D299/12,0)+57,E140:F331,2,FALSE)-VLOOKUP(TRUNC(D299/12,0)+1+57,E140:F331,2,FALSE))/12,4)</f>
        <v>8.8739000000000008</v>
      </c>
      <c r="I299">
        <v>152</v>
      </c>
      <c r="J299" s="73">
        <v>4.3502999999999998</v>
      </c>
      <c r="L299">
        <v>159</v>
      </c>
      <c r="M299" s="73">
        <f>ROUND(M140+L299/12,4)</f>
        <v>70.25</v>
      </c>
      <c r="N299" s="73">
        <f>ROUND(VLOOKUP(TRUNC(L299/12,0)+57,M140:N331,2,FALSE)-MOD(L299,12)*(VLOOKUP(TRUNC(L299/12,0)+57,M140:N331,2,FALSE)-VLOOKUP(TRUNC(L299/12,0)+1+57,M140:N331,2,FALSE))/12,4)</f>
        <v>7.1970000000000001</v>
      </c>
      <c r="R299">
        <v>152</v>
      </c>
      <c r="S299" s="73">
        <v>3.0960999999999999</v>
      </c>
      <c r="U299">
        <v>159</v>
      </c>
      <c r="V299" s="73">
        <f>ROUND(V140+U299/12,4)</f>
        <v>70.25</v>
      </c>
      <c r="W299" s="73">
        <f>ROUND(VLOOKUP(TRUNC(U299/12,0)+57,V140:W331,2,FALSE)-MOD(U299,12)*(VLOOKUP(TRUNC(U299/12,0)+57,V140:W331,2,FALSE)-VLOOKUP(TRUNC(U299/12,0)+1+57,V140:W331,2,FALSE))/12,4)</f>
        <v>8.5985999999999994</v>
      </c>
      <c r="AA299" s="73"/>
      <c r="AC299">
        <v>159</v>
      </c>
      <c r="AD299" s="73">
        <f>ROUND(AD140+AC299/12,4)</f>
        <v>70.25</v>
      </c>
      <c r="AE299" s="73">
        <f>ROUND(VLOOKUP(TRUNC(AC299/12,0)+57,AD140:AE331,2,FALSE)-MOD(AC299,12)*(VLOOKUP(TRUNC(AC299/12,0)+57,AD140:AE331,2,FALSE)-VLOOKUP(TRUNC(AC299/12,0)+1+57,AD140:AE331,2,FALSE))/12,4)</f>
        <v>8.5985999999999994</v>
      </c>
      <c r="AH299">
        <v>152</v>
      </c>
      <c r="AI299" s="73">
        <v>4.4047999999999998</v>
      </c>
      <c r="AK299">
        <v>159</v>
      </c>
      <c r="AL299" s="73">
        <f>ROUND(AL140+AK299/12,4)</f>
        <v>70.25</v>
      </c>
      <c r="AM299" s="73">
        <f>ROUND(VLOOKUP(TRUNC(AK299/12,0)+57,AL140:AM331,2,FALSE)-MOD(AK299,12)*(VLOOKUP(TRUNC(AK299/12,0)+57,AL140:AM331,2,FALSE)-VLOOKUP(TRUNC(AK299/12,0)+1+57,AL140:AM331,2,FALSE))/12,4)</f>
        <v>7.1970000000000001</v>
      </c>
    </row>
    <row r="300" spans="1:39" x14ac:dyDescent="0.2">
      <c r="A300">
        <v>153</v>
      </c>
      <c r="B300" s="73">
        <v>3.0642999999999998</v>
      </c>
      <c r="D300">
        <v>160</v>
      </c>
      <c r="E300" s="73">
        <f>ROUND(E140+D300/12,4)</f>
        <v>70.333299999999994</v>
      </c>
      <c r="F300" s="73">
        <f>ROUND(VLOOKUP(TRUNC(D300/12,0)+57,E140:F331,2,FALSE)-MOD(D300,12)*(VLOOKUP(TRUNC(D300/12,0)+57,E140:F331,2,FALSE)-VLOOKUP(TRUNC(D300/12,0)+1+57,E140:F331,2,FALSE))/12,4)</f>
        <v>8.8535000000000004</v>
      </c>
      <c r="I300">
        <v>153</v>
      </c>
      <c r="J300" s="73">
        <v>4.3986000000000001</v>
      </c>
      <c r="L300">
        <v>160</v>
      </c>
      <c r="M300" s="73">
        <f>ROUND(M140+L300/12,4)</f>
        <v>70.333299999999994</v>
      </c>
      <c r="N300" s="73">
        <f>ROUND(VLOOKUP(TRUNC(L300/12,0)+57,M140:N331,2,FALSE)-MOD(L300,12)*(VLOOKUP(TRUNC(L300/12,0)+57,M140:N331,2,FALSE)-VLOOKUP(TRUNC(L300/12,0)+1+57,M140:N331,2,FALSE))/12,4)</f>
        <v>7.1782000000000004</v>
      </c>
      <c r="R300">
        <v>153</v>
      </c>
      <c r="S300" s="73">
        <v>3.1206</v>
      </c>
      <c r="U300">
        <v>160</v>
      </c>
      <c r="V300" s="73">
        <f>ROUND(V140+U300/12,4)</f>
        <v>70.333299999999994</v>
      </c>
      <c r="W300" s="73">
        <f>ROUND(VLOOKUP(TRUNC(U300/12,0)+57,V140:W331,2,FALSE)-MOD(U300,12)*(VLOOKUP(TRUNC(U300/12,0)+57,V140:W331,2,FALSE)-VLOOKUP(TRUNC(U300/12,0)+1+57,V140:W331,2,FALSE))/12,4)</f>
        <v>8.5774000000000008</v>
      </c>
      <c r="AA300" s="73"/>
      <c r="AC300">
        <v>160</v>
      </c>
      <c r="AD300" s="73">
        <f>ROUND(AD140+AC300/12,4)</f>
        <v>70.333299999999994</v>
      </c>
      <c r="AE300" s="73">
        <f>ROUND(VLOOKUP(TRUNC(AC300/12,0)+57,AD140:AE331,2,FALSE)-MOD(AC300,12)*(VLOOKUP(TRUNC(AC300/12,0)+57,AD140:AE331,2,FALSE)-VLOOKUP(TRUNC(AC300/12,0)+1+57,AD140:AE331,2,FALSE))/12,4)</f>
        <v>8.5774000000000008</v>
      </c>
      <c r="AH300">
        <v>153</v>
      </c>
      <c r="AI300" s="73">
        <v>4.4542000000000002</v>
      </c>
      <c r="AK300">
        <v>160</v>
      </c>
      <c r="AL300" s="73">
        <f>ROUND(AL140+AK300/12,4)</f>
        <v>70.333299999999994</v>
      </c>
      <c r="AM300" s="73">
        <f>ROUND(VLOOKUP(TRUNC(AK300/12,0)+57,AL140:AM331,2,FALSE)-MOD(AK300,12)*(VLOOKUP(TRUNC(AK300/12,0)+57,AL140:AM331,2,FALSE)-VLOOKUP(TRUNC(AK300/12,0)+1+57,AL140:AM331,2,FALSE))/12,4)</f>
        <v>7.1782000000000004</v>
      </c>
    </row>
    <row r="301" spans="1:39" x14ac:dyDescent="0.2">
      <c r="A301">
        <v>154</v>
      </c>
      <c r="B301" s="73">
        <v>3.0876999999999999</v>
      </c>
      <c r="D301">
        <v>161</v>
      </c>
      <c r="E301" s="73">
        <f>ROUND(E140+D301/12,4)</f>
        <v>70.416700000000006</v>
      </c>
      <c r="F301" s="73">
        <f>ROUND(VLOOKUP(TRUNC(D301/12,0)+57,E140:F331,2,FALSE)-MOD(D301,12)*(VLOOKUP(TRUNC(D301/12,0)+57,E140:F331,2,FALSE)-VLOOKUP(TRUNC(D301/12,0)+1+57,E140:F331,2,FALSE))/12,4)</f>
        <v>8.8331999999999997</v>
      </c>
      <c r="I301">
        <v>154</v>
      </c>
      <c r="J301" s="73">
        <v>4.4467999999999996</v>
      </c>
      <c r="L301">
        <v>161</v>
      </c>
      <c r="M301" s="73">
        <f>ROUND(M140+L301/12,4)</f>
        <v>70.416700000000006</v>
      </c>
      <c r="N301" s="73">
        <f>ROUND(VLOOKUP(TRUNC(L301/12,0)+57,M140:N331,2,FALSE)-MOD(L301,12)*(VLOOKUP(TRUNC(L301/12,0)+57,M140:N331,2,FALSE)-VLOOKUP(TRUNC(L301/12,0)+1+57,M140:N331,2,FALSE))/12,4)</f>
        <v>7.1593</v>
      </c>
      <c r="R301">
        <v>154</v>
      </c>
      <c r="S301" s="73">
        <v>3.145</v>
      </c>
      <c r="U301">
        <v>161</v>
      </c>
      <c r="V301" s="73">
        <f>ROUND(V140+U301/12,4)</f>
        <v>70.416700000000006</v>
      </c>
      <c r="W301" s="73">
        <f>ROUND(VLOOKUP(TRUNC(U301/12,0)+57,V140:W331,2,FALSE)-MOD(U301,12)*(VLOOKUP(TRUNC(U301/12,0)+57,V140:W331,2,FALSE)-VLOOKUP(TRUNC(U301/12,0)+1+57,V140:W331,2,FALSE))/12,4)</f>
        <v>8.5561000000000007</v>
      </c>
      <c r="AA301" s="73"/>
      <c r="AC301">
        <v>161</v>
      </c>
      <c r="AD301" s="73">
        <f>ROUND(AD140+AC301/12,4)</f>
        <v>70.416700000000006</v>
      </c>
      <c r="AE301" s="73">
        <f>ROUND(VLOOKUP(TRUNC(AC301/12,0)+57,AD140:AE331,2,FALSE)-MOD(AC301,12)*(VLOOKUP(TRUNC(AC301/12,0)+57,AD140:AE331,2,FALSE)-VLOOKUP(TRUNC(AC301/12,0)+1+57,AD140:AE331,2,FALSE))/12,4)</f>
        <v>8.5561000000000007</v>
      </c>
      <c r="AH301">
        <v>154</v>
      </c>
      <c r="AI301" s="73">
        <v>4.5035999999999996</v>
      </c>
      <c r="AK301">
        <v>161</v>
      </c>
      <c r="AL301" s="73">
        <f>ROUND(AL140+AK301/12,4)</f>
        <v>70.416700000000006</v>
      </c>
      <c r="AM301" s="73">
        <f>ROUND(VLOOKUP(TRUNC(AK301/12,0)+57,AL140:AM331,2,FALSE)-MOD(AK301,12)*(VLOOKUP(TRUNC(AK301/12,0)+57,AL140:AM331,2,FALSE)-VLOOKUP(TRUNC(AK301/12,0)+1+57,AL140:AM331,2,FALSE))/12,4)</f>
        <v>7.1593</v>
      </c>
    </row>
    <row r="302" spans="1:39" x14ac:dyDescent="0.2">
      <c r="A302">
        <v>155</v>
      </c>
      <c r="B302" s="73">
        <v>3.1110000000000002</v>
      </c>
      <c r="D302">
        <v>162</v>
      </c>
      <c r="E302" s="73">
        <f>ROUND(E140+D302/12,4)</f>
        <v>70.5</v>
      </c>
      <c r="F302" s="73">
        <f>ROUND(VLOOKUP(TRUNC(D302/12,0)+57,E140:F331,2,FALSE)-MOD(D302,12)*(VLOOKUP(TRUNC(D302/12,0)+57,E140:F331,2,FALSE)-VLOOKUP(TRUNC(D302/12,0)+1+57,E140:F331,2,FALSE))/12,4)</f>
        <v>8.8127999999999993</v>
      </c>
      <c r="I302">
        <v>155</v>
      </c>
      <c r="J302" s="73">
        <v>4.4950999999999999</v>
      </c>
      <c r="L302">
        <v>162</v>
      </c>
      <c r="M302" s="73">
        <f>ROUND(M140+L302/12,4)</f>
        <v>70.5</v>
      </c>
      <c r="N302" s="73">
        <f>ROUND(VLOOKUP(TRUNC(L302/12,0)+57,M140:N331,2,FALSE)-MOD(L302,12)*(VLOOKUP(TRUNC(L302/12,0)+57,M140:N331,2,FALSE)-VLOOKUP(TRUNC(L302/12,0)+1+57,M140:N331,2,FALSE))/12,4)</f>
        <v>7.1403999999999996</v>
      </c>
      <c r="R302">
        <v>155</v>
      </c>
      <c r="S302" s="73">
        <v>3.1694</v>
      </c>
      <c r="U302">
        <v>162</v>
      </c>
      <c r="V302" s="73">
        <f>ROUND(V140+U302/12,4)</f>
        <v>70.5</v>
      </c>
      <c r="W302" s="73">
        <f>ROUND(VLOOKUP(TRUNC(U302/12,0)+57,V140:W331,2,FALSE)-MOD(U302,12)*(VLOOKUP(TRUNC(U302/12,0)+57,V140:W331,2,FALSE)-VLOOKUP(TRUNC(U302/12,0)+1+57,V140:W331,2,FALSE))/12,4)</f>
        <v>8.5349000000000004</v>
      </c>
      <c r="AA302" s="73"/>
      <c r="AC302">
        <v>162</v>
      </c>
      <c r="AD302" s="73">
        <f>ROUND(AD140+AC302/12,4)</f>
        <v>70.5</v>
      </c>
      <c r="AE302" s="73">
        <f>ROUND(VLOOKUP(TRUNC(AC302/12,0)+57,AD140:AE331,2,FALSE)-MOD(AC302,12)*(VLOOKUP(TRUNC(AC302/12,0)+57,AD140:AE331,2,FALSE)-VLOOKUP(TRUNC(AC302/12,0)+1+57,AD140:AE331,2,FALSE))/12,4)</f>
        <v>8.5349000000000004</v>
      </c>
      <c r="AH302">
        <v>155</v>
      </c>
      <c r="AI302" s="73">
        <v>4.5529000000000002</v>
      </c>
      <c r="AK302">
        <v>162</v>
      </c>
      <c r="AL302" s="73">
        <f>ROUND(AL140+AK302/12,4)</f>
        <v>70.5</v>
      </c>
      <c r="AM302" s="73">
        <f>ROUND(VLOOKUP(TRUNC(AK302/12,0)+57,AL140:AM331,2,FALSE)-MOD(AK302,12)*(VLOOKUP(TRUNC(AK302/12,0)+57,AL140:AM331,2,FALSE)-VLOOKUP(TRUNC(AK302/12,0)+1+57,AL140:AM331,2,FALSE))/12,4)</f>
        <v>7.1403999999999996</v>
      </c>
    </row>
    <row r="303" spans="1:39" x14ac:dyDescent="0.2">
      <c r="A303">
        <v>156</v>
      </c>
      <c r="B303" s="73">
        <v>3.1343999999999999</v>
      </c>
      <c r="D303">
        <v>163</v>
      </c>
      <c r="E303" s="73">
        <f>ROUND(E140+D303/12,4)</f>
        <v>70.583299999999994</v>
      </c>
      <c r="F303" s="73">
        <f>ROUND(VLOOKUP(TRUNC(D303/12,0)+57,E140:F331,2,FALSE)-MOD(D303,12)*(VLOOKUP(TRUNC(D303/12,0)+57,E140:F331,2,FALSE)-VLOOKUP(TRUNC(D303/12,0)+1+57,E140:F331,2,FALSE))/12,4)</f>
        <v>8.7925000000000004</v>
      </c>
      <c r="I303">
        <v>156</v>
      </c>
      <c r="J303" s="73">
        <v>4.5434000000000001</v>
      </c>
      <c r="L303">
        <v>163</v>
      </c>
      <c r="M303" s="73">
        <f>ROUND(M140+L303/12,4)</f>
        <v>70.583299999999994</v>
      </c>
      <c r="N303" s="73">
        <f>ROUND(VLOOKUP(TRUNC(L303/12,0)+57,M140:N331,2,FALSE)-MOD(L303,12)*(VLOOKUP(TRUNC(L303/12,0)+57,M140:N331,2,FALSE)-VLOOKUP(TRUNC(L303/12,0)+1+57,M140:N331,2,FALSE))/12,4)</f>
        <v>7.1215999999999999</v>
      </c>
      <c r="R303">
        <v>156</v>
      </c>
      <c r="S303" s="73">
        <v>3.1938</v>
      </c>
      <c r="U303">
        <v>163</v>
      </c>
      <c r="V303" s="73">
        <f>ROUND(V140+U303/12,4)</f>
        <v>70.583299999999994</v>
      </c>
      <c r="W303" s="73">
        <f>ROUND(VLOOKUP(TRUNC(U303/12,0)+57,V140:W331,2,FALSE)-MOD(U303,12)*(VLOOKUP(TRUNC(U303/12,0)+57,V140:W331,2,FALSE)-VLOOKUP(TRUNC(U303/12,0)+1+57,V140:W331,2,FALSE))/12,4)</f>
        <v>8.5137</v>
      </c>
      <c r="AA303" s="73"/>
      <c r="AC303">
        <v>163</v>
      </c>
      <c r="AD303" s="73">
        <f>ROUND(AD140+AC303/12,4)</f>
        <v>70.583299999999994</v>
      </c>
      <c r="AE303" s="73">
        <f>ROUND(VLOOKUP(TRUNC(AC303/12,0)+57,AD140:AE331,2,FALSE)-MOD(AC303,12)*(VLOOKUP(TRUNC(AC303/12,0)+57,AD140:AE331,2,FALSE)-VLOOKUP(TRUNC(AC303/12,0)+1+57,AD140:AE331,2,FALSE))/12,4)</f>
        <v>8.5137</v>
      </c>
      <c r="AH303">
        <v>156</v>
      </c>
      <c r="AI303" s="73">
        <v>4.6022999999999996</v>
      </c>
      <c r="AK303">
        <v>163</v>
      </c>
      <c r="AL303" s="73">
        <f>ROUND(AL140+AK303/12,4)</f>
        <v>70.583299999999994</v>
      </c>
      <c r="AM303" s="73">
        <f>ROUND(VLOOKUP(TRUNC(AK303/12,0)+57,AL140:AM331,2,FALSE)-MOD(AK303,12)*(VLOOKUP(TRUNC(AK303/12,0)+57,AL140:AM331,2,FALSE)-VLOOKUP(TRUNC(AK303/12,0)+1+57,AL140:AM331,2,FALSE))/12,4)</f>
        <v>7.1215999999999999</v>
      </c>
    </row>
    <row r="304" spans="1:39" x14ac:dyDescent="0.2">
      <c r="A304">
        <v>157</v>
      </c>
      <c r="B304" s="73">
        <v>3.1604999999999999</v>
      </c>
      <c r="D304">
        <v>164</v>
      </c>
      <c r="E304" s="73">
        <f>ROUND(E140+D304/12,4)</f>
        <v>70.666700000000006</v>
      </c>
      <c r="F304" s="73">
        <f>ROUND(VLOOKUP(TRUNC(D304/12,0)+57,E140:F331,2,FALSE)-MOD(D304,12)*(VLOOKUP(TRUNC(D304/12,0)+57,E140:F331,2,FALSE)-VLOOKUP(TRUNC(D304/12,0)+1+57,E140:F331,2,FALSE))/12,4)</f>
        <v>8.7721</v>
      </c>
      <c r="I304">
        <v>157</v>
      </c>
      <c r="J304" s="73">
        <v>4.6006</v>
      </c>
      <c r="L304">
        <v>164</v>
      </c>
      <c r="M304" s="73">
        <f>ROUND(M140+L304/12,4)</f>
        <v>70.666700000000006</v>
      </c>
      <c r="N304" s="73">
        <f>ROUND(VLOOKUP(TRUNC(L304/12,0)+57,M140:N331,2,FALSE)-MOD(L304,12)*(VLOOKUP(TRUNC(L304/12,0)+57,M140:N331,2,FALSE)-VLOOKUP(TRUNC(L304/12,0)+1+57,M140:N331,2,FALSE))/12,4)</f>
        <v>7.1026999999999996</v>
      </c>
      <c r="R304">
        <v>157</v>
      </c>
      <c r="S304" s="73">
        <v>3.2210999999999999</v>
      </c>
      <c r="U304">
        <v>164</v>
      </c>
      <c r="V304" s="73">
        <f>ROUND(V140+U304/12,4)</f>
        <v>70.666700000000006</v>
      </c>
      <c r="W304" s="73">
        <f>ROUND(VLOOKUP(TRUNC(U304/12,0)+57,V140:W331,2,FALSE)-MOD(U304,12)*(VLOOKUP(TRUNC(U304/12,0)+57,V140:W331,2,FALSE)-VLOOKUP(TRUNC(U304/12,0)+1+57,V140:W331,2,FALSE))/12,4)</f>
        <v>8.4924999999999997</v>
      </c>
      <c r="AA304" s="73"/>
      <c r="AC304">
        <v>164</v>
      </c>
      <c r="AD304" s="73">
        <f>ROUND(AD140+AC304/12,4)</f>
        <v>70.666700000000006</v>
      </c>
      <c r="AE304" s="73">
        <f>ROUND(VLOOKUP(TRUNC(AC304/12,0)+57,AD140:AE331,2,FALSE)-MOD(AC304,12)*(VLOOKUP(TRUNC(AC304/12,0)+57,AD140:AE331,2,FALSE)-VLOOKUP(TRUNC(AC304/12,0)+1+57,AD140:AE331,2,FALSE))/12,4)</f>
        <v>8.4924999999999997</v>
      </c>
      <c r="AH304">
        <v>157</v>
      </c>
      <c r="AI304" s="73">
        <v>4.6608999999999998</v>
      </c>
      <c r="AK304">
        <v>164</v>
      </c>
      <c r="AL304" s="73">
        <f>ROUND(AL140+AK304/12,4)</f>
        <v>70.666700000000006</v>
      </c>
      <c r="AM304" s="73">
        <f>ROUND(VLOOKUP(TRUNC(AK304/12,0)+57,AL140:AM331,2,FALSE)-MOD(AK304,12)*(VLOOKUP(TRUNC(AK304/12,0)+57,AL140:AM331,2,FALSE)-VLOOKUP(TRUNC(AK304/12,0)+1+57,AL140:AM331,2,FALSE))/12,4)</f>
        <v>7.1026999999999996</v>
      </c>
    </row>
    <row r="305" spans="1:39" x14ac:dyDescent="0.2">
      <c r="A305">
        <v>158</v>
      </c>
      <c r="B305" s="73">
        <v>3.1867000000000001</v>
      </c>
      <c r="D305">
        <v>165</v>
      </c>
      <c r="E305" s="73">
        <f>ROUND(E140+D305/12,4)</f>
        <v>70.75</v>
      </c>
      <c r="F305" s="73">
        <f>ROUND(VLOOKUP(TRUNC(D305/12,0)+57,E140:F331,2,FALSE)-MOD(D305,12)*(VLOOKUP(TRUNC(D305/12,0)+57,E140:F331,2,FALSE)-VLOOKUP(TRUNC(D305/12,0)+1+57,E140:F331,2,FALSE))/12,4)</f>
        <v>8.7517999999999994</v>
      </c>
      <c r="I305">
        <v>158</v>
      </c>
      <c r="J305" s="73">
        <v>4.6578999999999997</v>
      </c>
      <c r="L305">
        <v>165</v>
      </c>
      <c r="M305" s="73">
        <f>ROUND(M140+L305/12,4)</f>
        <v>70.75</v>
      </c>
      <c r="N305" s="73">
        <f>ROUND(VLOOKUP(TRUNC(L305/12,0)+57,M140:N331,2,FALSE)-MOD(L305,12)*(VLOOKUP(TRUNC(L305/12,0)+57,M140:N331,2,FALSE)-VLOOKUP(TRUNC(L305/12,0)+1+57,M140:N331,2,FALSE))/12,4)</f>
        <v>7.0838999999999999</v>
      </c>
      <c r="R305">
        <v>158</v>
      </c>
      <c r="S305" s="73">
        <v>3.2483</v>
      </c>
      <c r="U305">
        <v>165</v>
      </c>
      <c r="V305" s="73">
        <f>ROUND(V140+U305/12,4)</f>
        <v>70.75</v>
      </c>
      <c r="W305" s="73">
        <f>ROUND(VLOOKUP(TRUNC(U305/12,0)+57,V140:W331,2,FALSE)-MOD(U305,12)*(VLOOKUP(TRUNC(U305/12,0)+57,V140:W331,2,FALSE)-VLOOKUP(TRUNC(U305/12,0)+1+57,V140:W331,2,FALSE))/12,4)</f>
        <v>8.4712999999999994</v>
      </c>
      <c r="AA305" s="73"/>
      <c r="AC305">
        <v>165</v>
      </c>
      <c r="AD305" s="73">
        <f>ROUND(AD140+AC305/12,4)</f>
        <v>70.75</v>
      </c>
      <c r="AE305" s="73">
        <f>ROUND(VLOOKUP(TRUNC(AC305/12,0)+57,AD140:AE331,2,FALSE)-MOD(AC305,12)*(VLOOKUP(TRUNC(AC305/12,0)+57,AD140:AE331,2,FALSE)-VLOOKUP(TRUNC(AC305/12,0)+1+57,AD140:AE331,2,FALSE))/12,4)</f>
        <v>8.4712999999999994</v>
      </c>
      <c r="AH305">
        <v>158</v>
      </c>
      <c r="AI305" s="73">
        <v>4.7195999999999998</v>
      </c>
      <c r="AK305">
        <v>165</v>
      </c>
      <c r="AL305" s="73">
        <f>ROUND(AL140+AK305/12,4)</f>
        <v>70.75</v>
      </c>
      <c r="AM305" s="73">
        <f>ROUND(VLOOKUP(TRUNC(AK305/12,0)+57,AL140:AM331,2,FALSE)-MOD(AK305,12)*(VLOOKUP(TRUNC(AK305/12,0)+57,AL140:AM331,2,FALSE)-VLOOKUP(TRUNC(AK305/12,0)+1+57,AL140:AM331,2,FALSE))/12,4)</f>
        <v>7.0838999999999999</v>
      </c>
    </row>
    <row r="306" spans="1:39" x14ac:dyDescent="0.2">
      <c r="A306">
        <v>159</v>
      </c>
      <c r="B306" s="73">
        <v>3.2128000000000001</v>
      </c>
      <c r="D306">
        <v>166</v>
      </c>
      <c r="E306" s="73">
        <f>ROUND(E140+D306/12,4)</f>
        <v>70.833299999999994</v>
      </c>
      <c r="F306" s="73">
        <f>ROUND(VLOOKUP(TRUNC(D306/12,0)+57,E140:F331,2,FALSE)-MOD(D306,12)*(VLOOKUP(TRUNC(D306/12,0)+57,E140:F331,2,FALSE)-VLOOKUP(TRUNC(D306/12,0)+1+57,E140:F331,2,FALSE))/12,4)</f>
        <v>8.7314000000000007</v>
      </c>
      <c r="I306">
        <v>159</v>
      </c>
      <c r="J306" s="73">
        <v>4.7150999999999996</v>
      </c>
      <c r="L306">
        <v>166</v>
      </c>
      <c r="M306" s="73">
        <f>ROUND(M140+L306/12,4)</f>
        <v>70.833299999999994</v>
      </c>
      <c r="N306" s="73">
        <f>ROUND(VLOOKUP(TRUNC(L306/12,0)+57,M140:N331,2,FALSE)-MOD(L306,12)*(VLOOKUP(TRUNC(L306/12,0)+57,M140:N331,2,FALSE)-VLOOKUP(TRUNC(L306/12,0)+1+57,M140:N331,2,FALSE))/12,4)</f>
        <v>7.0650000000000004</v>
      </c>
      <c r="R306">
        <v>159</v>
      </c>
      <c r="S306" s="73">
        <v>3.2755999999999998</v>
      </c>
      <c r="U306">
        <v>166</v>
      </c>
      <c r="V306" s="73">
        <f>ROUND(V140+U306/12,4)</f>
        <v>70.833299999999994</v>
      </c>
      <c r="W306" s="73">
        <f>ROUND(VLOOKUP(TRUNC(U306/12,0)+57,V140:W331,2,FALSE)-MOD(U306,12)*(VLOOKUP(TRUNC(U306/12,0)+57,V140:W331,2,FALSE)-VLOOKUP(TRUNC(U306/12,0)+1+57,V140:W331,2,FALSE))/12,4)</f>
        <v>8.4501000000000008</v>
      </c>
      <c r="AA306" s="73"/>
      <c r="AC306">
        <v>166</v>
      </c>
      <c r="AD306" s="73">
        <f>ROUND(AD140+AC306/12,4)</f>
        <v>70.833299999999994</v>
      </c>
      <c r="AE306" s="73">
        <f>ROUND(VLOOKUP(TRUNC(AC306/12,0)+57,AD140:AE331,2,FALSE)-MOD(AC306,12)*(VLOOKUP(TRUNC(AC306/12,0)+57,AD140:AE331,2,FALSE)-VLOOKUP(TRUNC(AC306/12,0)+1+57,AD140:AE331,2,FALSE))/12,4)</f>
        <v>8.4501000000000008</v>
      </c>
      <c r="AH306">
        <v>159</v>
      </c>
      <c r="AI306" s="73">
        <v>4.7782</v>
      </c>
      <c r="AK306">
        <v>166</v>
      </c>
      <c r="AL306" s="73">
        <f>ROUND(AL140+AK306/12,4)</f>
        <v>70.833299999999994</v>
      </c>
      <c r="AM306" s="73">
        <f>ROUND(VLOOKUP(TRUNC(AK306/12,0)+57,AL140:AM331,2,FALSE)-MOD(AK306,12)*(VLOOKUP(TRUNC(AK306/12,0)+57,AL140:AM331,2,FALSE)-VLOOKUP(TRUNC(AK306/12,0)+1+57,AL140:AM331,2,FALSE))/12,4)</f>
        <v>7.0650000000000004</v>
      </c>
    </row>
    <row r="307" spans="1:39" x14ac:dyDescent="0.2">
      <c r="A307">
        <v>160</v>
      </c>
      <c r="B307" s="73">
        <v>3.2389000000000001</v>
      </c>
      <c r="D307">
        <v>167</v>
      </c>
      <c r="E307" s="73">
        <f>ROUND((E140+D307/12),4)</f>
        <v>70.916700000000006</v>
      </c>
      <c r="F307" s="73">
        <f>ROUND(VLOOKUP(TRUNC(D307/12,0)+57,E140:F331,2,FALSE)-MOD(D307,12)*(VLOOKUP(TRUNC(D307/12,0)+57,E140:F331,2,FALSE)-VLOOKUP(TRUNC(D307/12,0)+1+57,E140:F331,2,FALSE))/12,4)</f>
        <v>8.7111000000000001</v>
      </c>
      <c r="I307">
        <v>160</v>
      </c>
      <c r="J307" s="73">
        <v>4.7724000000000002</v>
      </c>
      <c r="L307">
        <v>167</v>
      </c>
      <c r="M307" s="73">
        <f>ROUND((M140+L307/12),4)</f>
        <v>70.916700000000006</v>
      </c>
      <c r="N307" s="73">
        <f>ROUND(VLOOKUP(TRUNC(L307/12,0)+57,M140:N331,2,FALSE)-MOD(L307,12)*(VLOOKUP(TRUNC(L307/12,0)+57,M140:N331,2,FALSE)-VLOOKUP(TRUNC(L307/12,0)+1+57,M140:N331,2,FALSE))/12,4)</f>
        <v>7.0461</v>
      </c>
      <c r="R307">
        <v>160</v>
      </c>
      <c r="S307" s="73">
        <v>3.3028</v>
      </c>
      <c r="U307">
        <v>167</v>
      </c>
      <c r="V307" s="73">
        <f>ROUND((V140+U307/12),4)</f>
        <v>70.916700000000006</v>
      </c>
      <c r="W307" s="73">
        <f>ROUND(VLOOKUP(TRUNC(U307/12,0)+57,V140:W331,2,FALSE)-MOD(U307,12)*(VLOOKUP(TRUNC(U307/12,0)+57,V140:W331,2,FALSE)-VLOOKUP(TRUNC(U307/12,0)+1+57,V140:W331,2,FALSE))/12,4)</f>
        <v>8.4288000000000007</v>
      </c>
      <c r="AA307" s="73"/>
      <c r="AC307">
        <v>167</v>
      </c>
      <c r="AD307" s="73">
        <f>ROUND((AD140+AC307/12),4)</f>
        <v>70.916700000000006</v>
      </c>
      <c r="AE307" s="73">
        <f>ROUND(VLOOKUP(TRUNC(AC307/12,0)+57,AD140:AE331,2,FALSE)-MOD(AC307,12)*(VLOOKUP(TRUNC(AC307/12,0)+57,AD140:AE331,2,FALSE)-VLOOKUP(TRUNC(AC307/12,0)+1+57,AD140:AE331,2,FALSE))/12,4)</f>
        <v>8.4288000000000007</v>
      </c>
      <c r="AH307">
        <v>160</v>
      </c>
      <c r="AI307" s="73">
        <v>4.8368000000000002</v>
      </c>
      <c r="AK307">
        <v>167</v>
      </c>
      <c r="AL307" s="73">
        <f>ROUND((AL140+AK307/12),4)</f>
        <v>70.916700000000006</v>
      </c>
      <c r="AM307" s="73">
        <f>ROUND(VLOOKUP(TRUNC(AK307/12,0)+57,AL140:AM331,2,FALSE)-MOD(AK307,12)*(VLOOKUP(TRUNC(AK307/12,0)+57,AL140:AM331,2,FALSE)-VLOOKUP(TRUNC(AK307/12,0)+1+57,AL140:AM331,2,FALSE))/12,4)</f>
        <v>7.0461</v>
      </c>
    </row>
    <row r="308" spans="1:39" x14ac:dyDescent="0.2">
      <c r="A308">
        <v>161</v>
      </c>
      <c r="B308" s="73">
        <v>3.2650999999999999</v>
      </c>
      <c r="D308">
        <v>168</v>
      </c>
      <c r="E308" s="73">
        <f>ROUND((E140+D308/12),4)</f>
        <v>71</v>
      </c>
      <c r="F308" s="73">
        <f>[1]!NPVF("Mp","SLA","N",B140:C140,"M",E308,E308,0,0,0,0,A140,A140,"P","","")</f>
        <v>8.6907397074543216</v>
      </c>
      <c r="I308">
        <v>161</v>
      </c>
      <c r="J308" s="73">
        <v>4.8296000000000001</v>
      </c>
      <c r="L308">
        <v>168</v>
      </c>
      <c r="M308" s="73">
        <f>ROUND((M140+L308/12),4)</f>
        <v>71</v>
      </c>
      <c r="N308" s="73">
        <f>[1]!NPVF("Mp","SLA","N",J140:K140,"M",M308,M308,0,0,0,0,I140,I140,"P","","")</f>
        <v>7.0272756833269607</v>
      </c>
      <c r="R308">
        <v>161</v>
      </c>
      <c r="S308" s="73">
        <v>3.3300999999999998</v>
      </c>
      <c r="U308">
        <v>168</v>
      </c>
      <c r="V308" s="73">
        <f>ROUND((V140+U308/12),4)</f>
        <v>71</v>
      </c>
      <c r="W308" s="73">
        <f>[1]!NPVF("Mp","SLA","N",S140:T140,"M",V308,V308,0,0,0,0,R140,R140,"P","","")</f>
        <v>8.4076227086989412</v>
      </c>
      <c r="AA308" s="73"/>
      <c r="AC308">
        <v>168</v>
      </c>
      <c r="AD308" s="73">
        <f>ROUND((AD140+AC308/12),4)</f>
        <v>71</v>
      </c>
      <c r="AE308" s="73">
        <f>[1]!NPVF("Mp","SLA","N",AA140:AB140,"M",AD308,AD308,0,0,0,0,Z140,Z140,"P","","")</f>
        <v>8.4076227086989412</v>
      </c>
      <c r="AH308">
        <v>161</v>
      </c>
      <c r="AI308" s="73">
        <v>4.8954000000000004</v>
      </c>
      <c r="AK308">
        <v>168</v>
      </c>
      <c r="AL308" s="73">
        <f>ROUND((AL140+AK308/12),4)</f>
        <v>71</v>
      </c>
      <c r="AM308" s="73">
        <f>[1]!NPVF("Mp","SLA","N",AI140:AJ140,"M",AL308,AL308,0,0,0,0,AH140,AH140,"P","","")</f>
        <v>7.0272756833269607</v>
      </c>
    </row>
    <row r="309" spans="1:39" x14ac:dyDescent="0.2">
      <c r="A309">
        <v>162</v>
      </c>
      <c r="B309" s="73">
        <v>3.2911999999999999</v>
      </c>
      <c r="D309">
        <v>169</v>
      </c>
      <c r="E309" s="73">
        <f>ROUND((E140+D309/12),4)</f>
        <v>71.083299999999994</v>
      </c>
      <c r="F309" s="73">
        <f>ROUND(VLOOKUP(TRUNC(D309/12,0)+57,E140:F331,2,FALSE)-MOD(D309,12)*(VLOOKUP(TRUNC(D309/12,0)+57,E140:F331,2,FALSE)-VLOOKUP(TRUNC(D309/12,0)+1+57,E140:F331,2,FALSE))/12,4)</f>
        <v>8.6698000000000004</v>
      </c>
      <c r="I309">
        <v>162</v>
      </c>
      <c r="J309" s="73">
        <v>4.8868999999999998</v>
      </c>
      <c r="L309">
        <v>169</v>
      </c>
      <c r="M309" s="73">
        <f>ROUND((M140+L309/12),4)</f>
        <v>71.083299999999994</v>
      </c>
      <c r="N309" s="73">
        <f>ROUND(VLOOKUP(TRUNC(L309/12,0)+57,M140:N331,2,FALSE)-MOD(L309,12)*(VLOOKUP(TRUNC(L309/12,0)+57,M140:N331,2,FALSE)-VLOOKUP(TRUNC(L309/12,0)+1+57,M140:N331,2,FALSE))/12,4)</f>
        <v>7.0087000000000002</v>
      </c>
      <c r="R309">
        <v>162</v>
      </c>
      <c r="S309" s="73">
        <v>3.3573</v>
      </c>
      <c r="U309">
        <v>169</v>
      </c>
      <c r="V309" s="73">
        <f>ROUND((V140+U309/12),4)</f>
        <v>71.083299999999994</v>
      </c>
      <c r="W309" s="73">
        <f>ROUND(VLOOKUP(TRUNC(U309/12,0)+57,V140:W331,2,FALSE)-MOD(U309,12)*(VLOOKUP(TRUNC(U309/12,0)+57,V140:W331,2,FALSE)-VLOOKUP(TRUNC(U309/12,0)+1+57,V140:W331,2,FALSE))/12,4)</f>
        <v>8.3861000000000008</v>
      </c>
      <c r="AA309" s="73"/>
      <c r="AC309">
        <v>169</v>
      </c>
      <c r="AD309" s="73">
        <f>ROUND((AD140+AC309/12),4)</f>
        <v>71.083299999999994</v>
      </c>
      <c r="AE309" s="73">
        <f>ROUND(VLOOKUP(TRUNC(AC309/12,0)+57,AD140:AE331,2,FALSE)-MOD(AC309,12)*(VLOOKUP(TRUNC(AC309/12,0)+57,AD140:AE331,2,FALSE)-VLOOKUP(TRUNC(AC309/12,0)+1+57,AD140:AE331,2,FALSE))/12,4)</f>
        <v>8.3861000000000008</v>
      </c>
      <c r="AH309">
        <v>162</v>
      </c>
      <c r="AI309" s="73">
        <v>4.9541000000000004</v>
      </c>
      <c r="AK309">
        <v>169</v>
      </c>
      <c r="AL309" s="73">
        <f>ROUND((AL140+AK309/12),4)</f>
        <v>71.083299999999994</v>
      </c>
      <c r="AM309" s="73">
        <f>ROUND(VLOOKUP(TRUNC(AK309/12,0)+57,AL140:AM331,2,FALSE)-MOD(AK309,12)*(VLOOKUP(TRUNC(AK309/12,0)+57,AL140:AM331,2,FALSE)-VLOOKUP(TRUNC(AK309/12,0)+1+57,AL140:AM331,2,FALSE))/12,4)</f>
        <v>7.0087000000000002</v>
      </c>
    </row>
    <row r="310" spans="1:39" x14ac:dyDescent="0.2">
      <c r="A310">
        <v>163</v>
      </c>
      <c r="B310" s="73">
        <v>3.3172999999999999</v>
      </c>
      <c r="D310">
        <v>170</v>
      </c>
      <c r="E310" s="73">
        <f>ROUND((E140+D310/12),4)</f>
        <v>71.166700000000006</v>
      </c>
      <c r="F310" s="73">
        <f>ROUND(VLOOKUP(TRUNC(D310/12,0)+57,E140:F331,2,FALSE)-MOD(D310,12)*(VLOOKUP(TRUNC(D310/12,0)+57,E140:F331,2,FALSE)-VLOOKUP(TRUNC(D310/12,0)+1+57,E140:F331,2,FALSE))/12,4)</f>
        <v>8.6487999999999996</v>
      </c>
      <c r="I310">
        <v>163</v>
      </c>
      <c r="J310" s="73">
        <v>4.9440999999999997</v>
      </c>
      <c r="L310">
        <v>170</v>
      </c>
      <c r="M310" s="73">
        <f>ROUND((M140+L310/12),4)</f>
        <v>71.166700000000006</v>
      </c>
      <c r="N310" s="73">
        <f>ROUND(VLOOKUP(TRUNC(L310/12,0)+57,M140:N331,2,FALSE)-MOD(L310,12)*(VLOOKUP(TRUNC(L310/12,0)+57,M140:N331,2,FALSE)-VLOOKUP(TRUNC(L310/12,0)+1+57,M140:N331,2,FALSE))/12,4)</f>
        <v>6.9901</v>
      </c>
      <c r="R310">
        <v>163</v>
      </c>
      <c r="S310" s="73">
        <v>3.3845999999999998</v>
      </c>
      <c r="U310">
        <v>170</v>
      </c>
      <c r="V310" s="73">
        <f>ROUND((V140+U310/12),4)</f>
        <v>71.166700000000006</v>
      </c>
      <c r="W310" s="73">
        <f>ROUND(VLOOKUP(TRUNC(U310/12,0)+57,V140:W331,2,FALSE)-MOD(U310,12)*(VLOOKUP(TRUNC(U310/12,0)+57,V140:W331,2,FALSE)-VLOOKUP(TRUNC(U310/12,0)+1+57,V140:W331,2,FALSE))/12,4)</f>
        <v>8.3645999999999994</v>
      </c>
      <c r="AA310" s="73"/>
      <c r="AC310">
        <v>170</v>
      </c>
      <c r="AD310" s="73">
        <f>ROUND((AD140+AC310/12),4)</f>
        <v>71.166700000000006</v>
      </c>
      <c r="AE310" s="73">
        <f>ROUND(VLOOKUP(TRUNC(AC310/12,0)+57,AD140:AE331,2,FALSE)-MOD(AC310,12)*(VLOOKUP(TRUNC(AC310/12,0)+57,AD140:AE331,2,FALSE)-VLOOKUP(TRUNC(AC310/12,0)+1+57,AD140:AE331,2,FALSE))/12,4)</f>
        <v>8.3645999999999994</v>
      </c>
      <c r="AH310">
        <v>163</v>
      </c>
      <c r="AI310" s="73">
        <v>5.0126999999999997</v>
      </c>
      <c r="AK310">
        <v>170</v>
      </c>
      <c r="AL310" s="73">
        <f>ROUND((AL140+AK310/12),4)</f>
        <v>71.166700000000006</v>
      </c>
      <c r="AM310" s="73">
        <f>ROUND(VLOOKUP(TRUNC(AK310/12,0)+57,AL140:AM331,2,FALSE)-MOD(AK310,12)*(VLOOKUP(TRUNC(AK310/12,0)+57,AL140:AM331,2,FALSE)-VLOOKUP(TRUNC(AK310/12,0)+1+57,AL140:AM331,2,FALSE))/12,4)</f>
        <v>6.9901</v>
      </c>
    </row>
    <row r="311" spans="1:39" x14ac:dyDescent="0.2">
      <c r="A311">
        <v>164</v>
      </c>
      <c r="B311" s="73">
        <v>3.3435000000000001</v>
      </c>
      <c r="D311">
        <v>171</v>
      </c>
      <c r="E311" s="73">
        <f>ROUND((E140+D311/12),4)</f>
        <v>71.25</v>
      </c>
      <c r="F311" s="73">
        <f>ROUND(VLOOKUP(TRUNC(D311/12,0)+57,E140:F331,2,FALSE)-MOD(D311,12)*(VLOOKUP(TRUNC(D311/12,0)+57,E140:F331,2,FALSE)-VLOOKUP(TRUNC(D311/12,0)+1+57,E140:F331,2,FALSE))/12,4)</f>
        <v>8.6279000000000003</v>
      </c>
      <c r="I311">
        <v>164</v>
      </c>
      <c r="J311" s="73">
        <v>5.0012999999999996</v>
      </c>
      <c r="L311">
        <v>171</v>
      </c>
      <c r="M311" s="73">
        <f>ROUND((M140+L311/12),4)</f>
        <v>71.25</v>
      </c>
      <c r="N311" s="73">
        <f>ROUND(VLOOKUP(TRUNC(L311/12,0)+57,M140:N331,2,FALSE)-MOD(L311,12)*(VLOOKUP(TRUNC(L311/12,0)+57,M140:N331,2,FALSE)-VLOOKUP(TRUNC(L311/12,0)+1+57,M140:N331,2,FALSE))/12,4)</f>
        <v>6.9714999999999998</v>
      </c>
      <c r="R311">
        <v>164</v>
      </c>
      <c r="S311" s="73">
        <v>3.4117999999999999</v>
      </c>
      <c r="U311">
        <v>171</v>
      </c>
      <c r="V311" s="73">
        <f>ROUND((V140+U311/12),4)</f>
        <v>71.25</v>
      </c>
      <c r="W311" s="73">
        <f>ROUND(VLOOKUP(TRUNC(U311/12,0)+57,V140:W331,2,FALSE)-MOD(U311,12)*(VLOOKUP(TRUNC(U311/12,0)+57,V140:W331,2,FALSE)-VLOOKUP(TRUNC(U311/12,0)+1+57,V140:W331,2,FALSE))/12,4)</f>
        <v>8.3430999999999997</v>
      </c>
      <c r="AA311" s="73"/>
      <c r="AC311">
        <v>171</v>
      </c>
      <c r="AD311" s="73">
        <f>ROUND((AD140+AC311/12),4)</f>
        <v>71.25</v>
      </c>
      <c r="AE311" s="73">
        <f>ROUND(VLOOKUP(TRUNC(AC311/12,0)+57,AD140:AE331,2,FALSE)-MOD(AC311,12)*(VLOOKUP(TRUNC(AC311/12,0)+57,AD140:AE331,2,FALSE)-VLOOKUP(TRUNC(AC311/12,0)+1+57,AD140:AE331,2,FALSE))/12,4)</f>
        <v>8.3430999999999997</v>
      </c>
      <c r="AH311">
        <v>164</v>
      </c>
      <c r="AI311" s="73">
        <v>5.0712999999999999</v>
      </c>
      <c r="AK311">
        <v>171</v>
      </c>
      <c r="AL311" s="73">
        <f>ROUND((AL140+AK311/12),4)</f>
        <v>71.25</v>
      </c>
      <c r="AM311" s="73">
        <f>ROUND(VLOOKUP(TRUNC(AK311/12,0)+57,AL140:AM331,2,FALSE)-MOD(AK311,12)*(VLOOKUP(TRUNC(AK311/12,0)+57,AL140:AM331,2,FALSE)-VLOOKUP(TRUNC(AK311/12,0)+1+57,AL140:AM331,2,FALSE))/12,4)</f>
        <v>6.9714999999999998</v>
      </c>
    </row>
    <row r="312" spans="1:39" x14ac:dyDescent="0.2">
      <c r="A312">
        <v>165</v>
      </c>
      <c r="B312" s="73">
        <v>3.3696000000000002</v>
      </c>
      <c r="D312">
        <v>172</v>
      </c>
      <c r="E312" s="73">
        <f>ROUND((E140+D312/12),4)</f>
        <v>71.333299999999994</v>
      </c>
      <c r="F312" s="73">
        <f>ROUND(VLOOKUP(TRUNC(D312/12,0)+57,E140:F331,2,FALSE)-MOD(D312,12)*(VLOOKUP(TRUNC(D312/12,0)+57,E140:F331,2,FALSE)-VLOOKUP(TRUNC(D312/12,0)+1+57,E140:F331,2,FALSE))/12,4)</f>
        <v>8.6068999999999996</v>
      </c>
      <c r="I312">
        <v>165</v>
      </c>
      <c r="J312" s="73">
        <v>5.0586000000000002</v>
      </c>
      <c r="L312">
        <v>172</v>
      </c>
      <c r="M312" s="73">
        <f>ROUND((M140+L312/12),4)</f>
        <v>71.333299999999994</v>
      </c>
      <c r="N312" s="73">
        <f>ROUND(VLOOKUP(TRUNC(L312/12,0)+57,M140:N331,2,FALSE)-MOD(L312,12)*(VLOOKUP(TRUNC(L312/12,0)+57,M140:N331,2,FALSE)-VLOOKUP(TRUNC(L312/12,0)+1+57,M140:N331,2,FALSE))/12,4)</f>
        <v>6.9528999999999996</v>
      </c>
      <c r="R312">
        <v>165</v>
      </c>
      <c r="S312" s="73">
        <v>3.4390999999999998</v>
      </c>
      <c r="U312">
        <v>172</v>
      </c>
      <c r="V312" s="73">
        <f>ROUND((V140+U312/12),4)</f>
        <v>71.333299999999994</v>
      </c>
      <c r="W312" s="73">
        <f>ROUND(VLOOKUP(TRUNC(U312/12,0)+57,V140:W331,2,FALSE)-MOD(U312,12)*(VLOOKUP(TRUNC(U312/12,0)+57,V140:W331,2,FALSE)-VLOOKUP(TRUNC(U312/12,0)+1+57,V140:W331,2,FALSE))/12,4)</f>
        <v>8.3216000000000001</v>
      </c>
      <c r="AA312" s="73"/>
      <c r="AC312">
        <v>172</v>
      </c>
      <c r="AD312" s="73">
        <f>ROUND((AD140+AC312/12),4)</f>
        <v>71.333299999999994</v>
      </c>
      <c r="AE312" s="73">
        <f>ROUND(VLOOKUP(TRUNC(AC312/12,0)+57,AD140:AE331,2,FALSE)-MOD(AC312,12)*(VLOOKUP(TRUNC(AC312/12,0)+57,AD140:AE331,2,FALSE)-VLOOKUP(TRUNC(AC312/12,0)+1+57,AD140:AE331,2,FALSE))/12,4)</f>
        <v>8.3216000000000001</v>
      </c>
      <c r="AH312">
        <v>165</v>
      </c>
      <c r="AI312" s="73">
        <v>5.1299000000000001</v>
      </c>
      <c r="AK312">
        <v>172</v>
      </c>
      <c r="AL312" s="73">
        <f>ROUND((AL140+AK312/12),4)</f>
        <v>71.333299999999994</v>
      </c>
      <c r="AM312" s="73">
        <f>ROUND(VLOOKUP(TRUNC(AK312/12,0)+57,AL140:AM331,2,FALSE)-MOD(AK312,12)*(VLOOKUP(TRUNC(AK312/12,0)+57,AL140:AM331,2,FALSE)-VLOOKUP(TRUNC(AK312/12,0)+1+57,AL140:AM331,2,FALSE))/12,4)</f>
        <v>6.9528999999999996</v>
      </c>
    </row>
    <row r="313" spans="1:39" x14ac:dyDescent="0.2">
      <c r="A313">
        <v>166</v>
      </c>
      <c r="B313" s="73">
        <v>3.3957000000000002</v>
      </c>
      <c r="D313">
        <v>173</v>
      </c>
      <c r="E313" s="73">
        <f>ROUND((E140+D313/12),4)</f>
        <v>71.416700000000006</v>
      </c>
      <c r="F313" s="73">
        <f>ROUND(VLOOKUP(TRUNC(D313/12,0)+57,E140:F331,2,FALSE)-MOD(D313,12)*(VLOOKUP(TRUNC(D313/12,0)+57,E140:F331,2,FALSE)-VLOOKUP(TRUNC(D313/12,0)+1+57,E140:F331,2,FALSE))/12,4)</f>
        <v>8.5860000000000003</v>
      </c>
      <c r="I313">
        <v>166</v>
      </c>
      <c r="J313" s="73">
        <v>5.1158000000000001</v>
      </c>
      <c r="L313">
        <v>173</v>
      </c>
      <c r="M313" s="73">
        <f>ROUND((M140+L313/12),4)</f>
        <v>71.416700000000006</v>
      </c>
      <c r="N313" s="73">
        <f>ROUND(VLOOKUP(TRUNC(L313/12,0)+57,M140:N331,2,FALSE)-MOD(L313,12)*(VLOOKUP(TRUNC(L313/12,0)+57,M140:N331,2,FALSE)-VLOOKUP(TRUNC(L313/12,0)+1+57,M140:N331,2,FALSE))/12,4)</f>
        <v>6.9344000000000001</v>
      </c>
      <c r="R313">
        <v>166</v>
      </c>
      <c r="S313" s="73">
        <v>3.4662999999999999</v>
      </c>
      <c r="U313">
        <v>173</v>
      </c>
      <c r="V313" s="73">
        <f>ROUND((V140+U313/12),4)</f>
        <v>71.416700000000006</v>
      </c>
      <c r="W313" s="73">
        <f>ROUND(VLOOKUP(TRUNC(U313/12,0)+57,V140:W331,2,FALSE)-MOD(U313,12)*(VLOOKUP(TRUNC(U313/12,0)+57,V140:W331,2,FALSE)-VLOOKUP(TRUNC(U313/12,0)+1+57,V140:W331,2,FALSE))/12,4)</f>
        <v>8.3002000000000002</v>
      </c>
      <c r="AA313" s="73"/>
      <c r="AC313">
        <v>173</v>
      </c>
      <c r="AD313" s="73">
        <f>ROUND((AD140+AC313/12),4)</f>
        <v>71.416700000000006</v>
      </c>
      <c r="AE313" s="73">
        <f>ROUND(VLOOKUP(TRUNC(AC313/12,0)+57,AD140:AE331,2,FALSE)-MOD(AC313,12)*(VLOOKUP(TRUNC(AC313/12,0)+57,AD140:AE331,2,FALSE)-VLOOKUP(TRUNC(AC313/12,0)+1+57,AD140:AE331,2,FALSE))/12,4)</f>
        <v>8.3002000000000002</v>
      </c>
      <c r="AH313">
        <v>166</v>
      </c>
      <c r="AI313" s="73">
        <v>5.1886000000000001</v>
      </c>
      <c r="AK313">
        <v>173</v>
      </c>
      <c r="AL313" s="73">
        <f>ROUND((AL140+AK313/12),4)</f>
        <v>71.416700000000006</v>
      </c>
      <c r="AM313" s="73">
        <f>ROUND(VLOOKUP(TRUNC(AK313/12,0)+57,AL140:AM331,2,FALSE)-MOD(AK313,12)*(VLOOKUP(TRUNC(AK313/12,0)+57,AL140:AM331,2,FALSE)-VLOOKUP(TRUNC(AK313/12,0)+1+57,AL140:AM331,2,FALSE))/12,4)</f>
        <v>6.9344000000000001</v>
      </c>
    </row>
    <row r="314" spans="1:39" x14ac:dyDescent="0.2">
      <c r="A314">
        <v>167</v>
      </c>
      <c r="B314" s="73">
        <v>3.4218999999999999</v>
      </c>
      <c r="D314">
        <v>174</v>
      </c>
      <c r="E314" s="73">
        <f>ROUND((E140+D314/12),4)</f>
        <v>71.5</v>
      </c>
      <c r="F314" s="73">
        <f>ROUND(VLOOKUP(TRUNC(D314/12,0)+57,E140:F331,2,FALSE)-MOD(D314,12)*(VLOOKUP(TRUNC(D314/12,0)+57,E140:F331,2,FALSE)-VLOOKUP(TRUNC(D314/12,0)+1+57,E140:F331,2,FALSE))/12,4)</f>
        <v>8.5649999999999995</v>
      </c>
      <c r="I314">
        <v>167</v>
      </c>
      <c r="J314" s="73">
        <v>5.1730999999999998</v>
      </c>
      <c r="L314">
        <v>174</v>
      </c>
      <c r="M314" s="73">
        <f>ROUND((M140+L314/12),4)</f>
        <v>71.5</v>
      </c>
      <c r="N314" s="73">
        <f>ROUND(VLOOKUP(TRUNC(L314/12,0)+57,M140:N331,2,FALSE)-MOD(L314,12)*(VLOOKUP(TRUNC(L314/12,0)+57,M140:N331,2,FALSE)-VLOOKUP(TRUNC(L314/12,0)+1+57,M140:N331,2,FALSE))/12,4)</f>
        <v>6.9157999999999999</v>
      </c>
      <c r="R314">
        <v>167</v>
      </c>
      <c r="S314" s="73">
        <v>3.4935999999999998</v>
      </c>
      <c r="U314">
        <v>174</v>
      </c>
      <c r="V314" s="73">
        <f>ROUND((V140+U314/12),4)</f>
        <v>71.5</v>
      </c>
      <c r="W314" s="73">
        <f>ROUND(VLOOKUP(TRUNC(U314/12,0)+57,V140:W331,2,FALSE)-MOD(U314,12)*(VLOOKUP(TRUNC(U314/12,0)+57,V140:W331,2,FALSE)-VLOOKUP(TRUNC(U314/12,0)+1+57,V140:W331,2,FALSE))/12,4)</f>
        <v>8.2787000000000006</v>
      </c>
      <c r="AA314" s="73"/>
      <c r="AC314">
        <v>174</v>
      </c>
      <c r="AD314" s="73">
        <f>ROUND((AD140+AC314/12),4)</f>
        <v>71.5</v>
      </c>
      <c r="AE314" s="73">
        <f>ROUND(VLOOKUP(TRUNC(AC314/12,0)+57,AD140:AE331,2,FALSE)-MOD(AC314,12)*(VLOOKUP(TRUNC(AC314/12,0)+57,AD140:AE331,2,FALSE)-VLOOKUP(TRUNC(AC314/12,0)+1+57,AD140:AE331,2,FALSE))/12,4)</f>
        <v>8.2787000000000006</v>
      </c>
      <c r="AH314">
        <v>167</v>
      </c>
      <c r="AI314" s="73">
        <v>5.2472000000000003</v>
      </c>
      <c r="AK314">
        <v>174</v>
      </c>
      <c r="AL314" s="73">
        <f>ROUND((AL140+AK314/12),4)</f>
        <v>71.5</v>
      </c>
      <c r="AM314" s="73">
        <f>ROUND(VLOOKUP(TRUNC(AK314/12,0)+57,AL140:AM331,2,FALSE)-MOD(AK314,12)*(VLOOKUP(TRUNC(AK314/12,0)+57,AL140:AM331,2,FALSE)-VLOOKUP(TRUNC(AK314/12,0)+1+57,AL140:AM331,2,FALSE))/12,4)</f>
        <v>6.9157999999999999</v>
      </c>
    </row>
    <row r="315" spans="1:39" x14ac:dyDescent="0.2">
      <c r="A315">
        <v>168</v>
      </c>
      <c r="B315" s="73">
        <v>3.448</v>
      </c>
      <c r="D315">
        <v>175</v>
      </c>
      <c r="E315" s="73">
        <f>ROUND((E140+D315/12),4)</f>
        <v>71.583299999999994</v>
      </c>
      <c r="F315" s="73">
        <f>ROUND(VLOOKUP(TRUNC(D315/12,0)+57,E140:F331,2,FALSE)-MOD(D315,12)*(VLOOKUP(TRUNC(D315/12,0)+57,E140:F331,2,FALSE)-VLOOKUP(TRUNC(D315/12,0)+1+57,E140:F331,2,FALSE))/12,4)</f>
        <v>8.5441000000000003</v>
      </c>
      <c r="I315">
        <v>168</v>
      </c>
      <c r="J315" s="73">
        <v>5.2302999999999997</v>
      </c>
      <c r="L315">
        <v>175</v>
      </c>
      <c r="M315" s="73">
        <f>ROUND((M140+L315/12),4)</f>
        <v>71.583299999999994</v>
      </c>
      <c r="N315" s="73">
        <f>ROUND(VLOOKUP(TRUNC(L315/12,0)+57,M140:N331,2,FALSE)-MOD(L315,12)*(VLOOKUP(TRUNC(L315/12,0)+57,M140:N331,2,FALSE)-VLOOKUP(TRUNC(L315/12,0)+1+57,M140:N331,2,FALSE))/12,4)</f>
        <v>6.8971999999999998</v>
      </c>
      <c r="R315">
        <v>168</v>
      </c>
      <c r="S315" s="73">
        <v>3.5207999999999999</v>
      </c>
      <c r="U315">
        <v>175</v>
      </c>
      <c r="V315" s="73">
        <f>ROUND((V140+U315/12),4)</f>
        <v>71.583299999999994</v>
      </c>
      <c r="W315" s="73">
        <f>ROUND(VLOOKUP(TRUNC(U315/12,0)+57,V140:W331,2,FALSE)-MOD(U315,12)*(VLOOKUP(TRUNC(U315/12,0)+57,V140:W331,2,FALSE)-VLOOKUP(TRUNC(U315/12,0)+1+57,V140:W331,2,FALSE))/12,4)</f>
        <v>8.2571999999999992</v>
      </c>
      <c r="AA315" s="73"/>
      <c r="AC315">
        <v>175</v>
      </c>
      <c r="AD315" s="73">
        <f>ROUND((AD140+AC315/12),4)</f>
        <v>71.583299999999994</v>
      </c>
      <c r="AE315" s="73">
        <f>ROUND(VLOOKUP(TRUNC(AC315/12,0)+57,AD140:AE331,2,FALSE)-MOD(AC315,12)*(VLOOKUP(TRUNC(AC315/12,0)+57,AD140:AE331,2,FALSE)-VLOOKUP(TRUNC(AC315/12,0)+1+57,AD140:AE331,2,FALSE))/12,4)</f>
        <v>8.2571999999999992</v>
      </c>
      <c r="AH315">
        <v>168</v>
      </c>
      <c r="AI315" s="73">
        <v>5.3057999999999996</v>
      </c>
      <c r="AK315">
        <v>175</v>
      </c>
      <c r="AL315" s="73">
        <f>ROUND((AL140+AK315/12),4)</f>
        <v>71.583299999999994</v>
      </c>
      <c r="AM315" s="73">
        <f>ROUND(VLOOKUP(TRUNC(AK315/12,0)+57,AL140:AM331,2,FALSE)-MOD(AK315,12)*(VLOOKUP(TRUNC(AK315/12,0)+57,AL140:AM331,2,FALSE)-VLOOKUP(TRUNC(AK315/12,0)+1+57,AL140:AM331,2,FALSE))/12,4)</f>
        <v>6.8971999999999998</v>
      </c>
    </row>
    <row r="316" spans="1:39" x14ac:dyDescent="0.2">
      <c r="A316">
        <v>169</v>
      </c>
      <c r="B316" s="73">
        <v>3.4773000000000001</v>
      </c>
      <c r="D316">
        <v>176</v>
      </c>
      <c r="E316" s="73">
        <f>ROUND((E140+D316/12),4)</f>
        <v>71.666700000000006</v>
      </c>
      <c r="F316" s="73">
        <f>ROUND(VLOOKUP(TRUNC(D316/12,0)+57,E140:F331,2,FALSE)-MOD(D316,12)*(VLOOKUP(TRUNC(D316/12,0)+57,E140:F331,2,FALSE)-VLOOKUP(TRUNC(D316/12,0)+1+57,E140:F331,2,FALSE))/12,4)</f>
        <v>8.5230999999999995</v>
      </c>
      <c r="I316">
        <v>169</v>
      </c>
      <c r="J316" s="73">
        <v>5.2984999999999998</v>
      </c>
      <c r="L316">
        <v>176</v>
      </c>
      <c r="M316" s="73">
        <f>ROUND((M140+L316/12),4)</f>
        <v>71.666700000000006</v>
      </c>
      <c r="N316" s="73">
        <f>ROUND(VLOOKUP(TRUNC(L316/12,0)+57,M140:N331,2,FALSE)-MOD(L316,12)*(VLOOKUP(TRUNC(L316/12,0)+57,M140:N331,2,FALSE)-VLOOKUP(TRUNC(L316/12,0)+1+57,M140:N331,2,FALSE))/12,4)</f>
        <v>6.8785999999999996</v>
      </c>
      <c r="R316">
        <v>169</v>
      </c>
      <c r="S316" s="73">
        <v>3.5512999999999999</v>
      </c>
      <c r="U316">
        <v>176</v>
      </c>
      <c r="V316" s="73">
        <f>ROUND((V140+U316/12),4)</f>
        <v>71.666700000000006</v>
      </c>
      <c r="W316" s="73">
        <f>ROUND(VLOOKUP(TRUNC(U316/12,0)+57,V140:W331,2,FALSE)-MOD(U316,12)*(VLOOKUP(TRUNC(U316/12,0)+57,V140:W331,2,FALSE)-VLOOKUP(TRUNC(U316/12,0)+1+57,V140:W331,2,FALSE))/12,4)</f>
        <v>8.2356999999999996</v>
      </c>
      <c r="AA316" s="73"/>
      <c r="AC316">
        <v>176</v>
      </c>
      <c r="AD316" s="73">
        <f>ROUND((AD140+AC316/12),4)</f>
        <v>71.666700000000006</v>
      </c>
      <c r="AE316" s="73">
        <f>ROUND(VLOOKUP(TRUNC(AC316/12,0)+57,AD140:AE331,2,FALSE)-MOD(AC316,12)*(VLOOKUP(TRUNC(AC316/12,0)+57,AD140:AE331,2,FALSE)-VLOOKUP(TRUNC(AC316/12,0)+1+57,AD140:AE331,2,FALSE))/12,4)</f>
        <v>8.2356999999999996</v>
      </c>
      <c r="AH316">
        <v>169</v>
      </c>
      <c r="AI316" s="73">
        <v>5.3757999999999999</v>
      </c>
      <c r="AK316">
        <v>176</v>
      </c>
      <c r="AL316" s="73">
        <f>ROUND((AL140+AK316/12),4)</f>
        <v>71.666700000000006</v>
      </c>
      <c r="AM316" s="73">
        <f>ROUND(VLOOKUP(TRUNC(AK316/12,0)+57,AL140:AM331,2,FALSE)-MOD(AK316,12)*(VLOOKUP(TRUNC(AK316/12,0)+57,AL140:AM331,2,FALSE)-VLOOKUP(TRUNC(AK316/12,0)+1+57,AL140:AM331,2,FALSE))/12,4)</f>
        <v>6.8785999999999996</v>
      </c>
    </row>
    <row r="317" spans="1:39" x14ac:dyDescent="0.2">
      <c r="A317">
        <v>170</v>
      </c>
      <c r="B317" s="73">
        <v>3.5066000000000002</v>
      </c>
      <c r="D317">
        <v>177</v>
      </c>
      <c r="E317" s="73">
        <f>ROUND((E140+D317/12),4)</f>
        <v>71.75</v>
      </c>
      <c r="F317" s="73">
        <f>ROUND(VLOOKUP(TRUNC(D317/12,0)+57,E140:F331,2,FALSE)-MOD(D317,12)*(VLOOKUP(TRUNC(D317/12,0)+57,E140:F331,2,FALSE)-VLOOKUP(TRUNC(D317/12,0)+1+57,E140:F331,2,FALSE))/12,4)</f>
        <v>8.5022000000000002</v>
      </c>
      <c r="I317">
        <v>170</v>
      </c>
      <c r="J317" s="73">
        <v>5.3666999999999998</v>
      </c>
      <c r="L317">
        <v>177</v>
      </c>
      <c r="M317" s="73">
        <f>ROUND((M140+L317/12),4)</f>
        <v>71.75</v>
      </c>
      <c r="N317" s="73">
        <f>ROUND(VLOOKUP(TRUNC(L317/12,0)+57,M140:N331,2,FALSE)-MOD(L317,12)*(VLOOKUP(TRUNC(L317/12,0)+57,M140:N331,2,FALSE)-VLOOKUP(TRUNC(L317/12,0)+1+57,M140:N331,2,FALSE))/12,4)</f>
        <v>6.86</v>
      </c>
      <c r="R317">
        <v>170</v>
      </c>
      <c r="S317" s="73">
        <v>3.5817999999999999</v>
      </c>
      <c r="U317">
        <v>177</v>
      </c>
      <c r="V317" s="73">
        <f>ROUND((V140+U317/12),4)</f>
        <v>71.75</v>
      </c>
      <c r="W317" s="73">
        <f>ROUND(VLOOKUP(TRUNC(U317/12,0)+57,V140:W331,2,FALSE)-MOD(U317,12)*(VLOOKUP(TRUNC(U317/12,0)+57,V140:W331,2,FALSE)-VLOOKUP(TRUNC(U317/12,0)+1+57,V140:W331,2,FALSE))/12,4)</f>
        <v>8.2141999999999999</v>
      </c>
      <c r="AA317" s="73"/>
      <c r="AC317">
        <v>177</v>
      </c>
      <c r="AD317" s="73">
        <f>ROUND((AD140+AC317/12),4)</f>
        <v>71.75</v>
      </c>
      <c r="AE317" s="73">
        <f>ROUND(VLOOKUP(TRUNC(AC317/12,0)+57,AD140:AE331,2,FALSE)-MOD(AC317,12)*(VLOOKUP(TRUNC(AC317/12,0)+57,AD140:AE331,2,FALSE)-VLOOKUP(TRUNC(AC317/12,0)+1+57,AD140:AE331,2,FALSE))/12,4)</f>
        <v>8.2141999999999999</v>
      </c>
      <c r="AH317">
        <v>170</v>
      </c>
      <c r="AI317" s="73">
        <v>5.4458000000000002</v>
      </c>
      <c r="AK317">
        <v>177</v>
      </c>
      <c r="AL317" s="73">
        <f>ROUND((AL140+AK317/12),4)</f>
        <v>71.75</v>
      </c>
      <c r="AM317" s="73">
        <f>ROUND(VLOOKUP(TRUNC(AK317/12,0)+57,AL140:AM331,2,FALSE)-MOD(AK317,12)*(VLOOKUP(TRUNC(AK317/12,0)+57,AL140:AM331,2,FALSE)-VLOOKUP(TRUNC(AK317/12,0)+1+57,AL140:AM331,2,FALSE))/12,4)</f>
        <v>6.86</v>
      </c>
    </row>
    <row r="318" spans="1:39" x14ac:dyDescent="0.2">
      <c r="A318">
        <v>171</v>
      </c>
      <c r="B318" s="73">
        <v>3.5358000000000001</v>
      </c>
      <c r="D318">
        <v>178</v>
      </c>
      <c r="E318" s="73">
        <f>ROUND((E140+D318/12),4)</f>
        <v>71.833299999999994</v>
      </c>
      <c r="F318" s="73">
        <f>ROUND(VLOOKUP(TRUNC(D318/12,0)+57,E140:F331,2,FALSE)-MOD(D318,12)*(VLOOKUP(TRUNC(D318/12,0)+57,E140:F331,2,FALSE)-VLOOKUP(TRUNC(D318/12,0)+1+57,E140:F331,2,FALSE))/12,4)</f>
        <v>8.4811999999999994</v>
      </c>
      <c r="I318">
        <v>171</v>
      </c>
      <c r="J318" s="73">
        <v>5.4349999999999996</v>
      </c>
      <c r="L318">
        <v>178</v>
      </c>
      <c r="M318" s="73">
        <f>ROUND((M140+L318/12),4)</f>
        <v>71.833299999999994</v>
      </c>
      <c r="N318" s="73">
        <f>ROUND(VLOOKUP(TRUNC(L318/12,0)+57,M140:N331,2,FALSE)-MOD(L318,12)*(VLOOKUP(TRUNC(L318/12,0)+57,M140:N331,2,FALSE)-VLOOKUP(TRUNC(L318/12,0)+1+57,M140:N331,2,FALSE))/12,4)</f>
        <v>6.8414000000000001</v>
      </c>
      <c r="R318">
        <v>171</v>
      </c>
      <c r="S318" s="73">
        <v>3.6122000000000001</v>
      </c>
      <c r="U318">
        <v>178</v>
      </c>
      <c r="V318" s="73">
        <f>ROUND((V140+U318/12),4)</f>
        <v>71.833299999999994</v>
      </c>
      <c r="W318" s="73">
        <f>ROUND(VLOOKUP(TRUNC(U318/12,0)+57,V140:W331,2,FALSE)-MOD(U318,12)*(VLOOKUP(TRUNC(U318/12,0)+57,V140:W331,2,FALSE)-VLOOKUP(TRUNC(U318/12,0)+1+57,V140:W331,2,FALSE))/12,4)</f>
        <v>8.1927000000000003</v>
      </c>
      <c r="AA318" s="73"/>
      <c r="AC318">
        <v>178</v>
      </c>
      <c r="AD318" s="73">
        <f>ROUND((AD140+AC318/12),4)</f>
        <v>71.833299999999994</v>
      </c>
      <c r="AE318" s="73">
        <f>ROUND(VLOOKUP(TRUNC(AC318/12,0)+57,AD140:AE331,2,FALSE)-MOD(AC318,12)*(VLOOKUP(TRUNC(AC318/12,0)+57,AD140:AE331,2,FALSE)-VLOOKUP(TRUNC(AC318/12,0)+1+57,AD140:AE331,2,FALSE))/12,4)</f>
        <v>8.1927000000000003</v>
      </c>
      <c r="AH318">
        <v>171</v>
      </c>
      <c r="AI318" s="73">
        <v>5.5157999999999996</v>
      </c>
      <c r="AK318">
        <v>178</v>
      </c>
      <c r="AL318" s="73">
        <f>ROUND((AL140+AK318/12),4)</f>
        <v>71.833299999999994</v>
      </c>
      <c r="AM318" s="73">
        <f>ROUND(VLOOKUP(TRUNC(AK318/12,0)+57,AL140:AM331,2,FALSE)-MOD(AK318,12)*(VLOOKUP(TRUNC(AK318/12,0)+57,AL140:AM331,2,FALSE)-VLOOKUP(TRUNC(AK318/12,0)+1+57,AL140:AM331,2,FALSE))/12,4)</f>
        <v>6.8414000000000001</v>
      </c>
    </row>
    <row r="319" spans="1:39" x14ac:dyDescent="0.2">
      <c r="A319">
        <v>172</v>
      </c>
      <c r="B319" s="73">
        <v>3.5651000000000002</v>
      </c>
      <c r="D319">
        <v>179</v>
      </c>
      <c r="E319" s="73">
        <f>ROUND(E140+D319/12,4)</f>
        <v>71.916700000000006</v>
      </c>
      <c r="F319" s="73">
        <f>ROUND(VLOOKUP(TRUNC(D319/12,0)+57,E140:F331,2,FALSE)-MOD(D319,12)*(VLOOKUP(TRUNC(D319/12,0)+57,E140:F331,2,FALSE)-VLOOKUP(TRUNC(D319/12,0)+1+57,E140:F331,2,FALSE))/12,4)</f>
        <v>8.4603000000000002</v>
      </c>
      <c r="I319">
        <v>172</v>
      </c>
      <c r="J319" s="73">
        <v>5.5031999999999996</v>
      </c>
      <c r="L319">
        <v>179</v>
      </c>
      <c r="M319" s="73">
        <f>ROUND(M140+L319/12,4)</f>
        <v>71.916700000000006</v>
      </c>
      <c r="N319" s="73">
        <f>ROUND(VLOOKUP(TRUNC(L319/12,0)+57,M140:N331,2,FALSE)-MOD(L319,12)*(VLOOKUP(TRUNC(L319/12,0)+57,M140:N331,2,FALSE)-VLOOKUP(TRUNC(L319/12,0)+1+57,M140:N331,2,FALSE))/12,4)</f>
        <v>6.8228</v>
      </c>
      <c r="R319">
        <v>172</v>
      </c>
      <c r="S319" s="73">
        <v>3.6427</v>
      </c>
      <c r="U319">
        <v>179</v>
      </c>
      <c r="V319" s="73">
        <f>ROUND(V140+U319/12,4)</f>
        <v>71.916700000000006</v>
      </c>
      <c r="W319" s="73">
        <f>ROUND(VLOOKUP(TRUNC(U319/12,0)+57,V140:W331,2,FALSE)-MOD(U319,12)*(VLOOKUP(TRUNC(U319/12,0)+57,V140:W331,2,FALSE)-VLOOKUP(TRUNC(U319/12,0)+1+57,V140:W331,2,FALSE))/12,4)</f>
        <v>8.1712000000000007</v>
      </c>
      <c r="AA319" s="73"/>
      <c r="AC319">
        <v>179</v>
      </c>
      <c r="AD319" s="73">
        <f>ROUND(AD140+AC319/12,4)</f>
        <v>71.916700000000006</v>
      </c>
      <c r="AE319" s="73">
        <f>ROUND(VLOOKUP(TRUNC(AC319/12,0)+57,AD140:AE331,2,FALSE)-MOD(AC319,12)*(VLOOKUP(TRUNC(AC319/12,0)+57,AD140:AE331,2,FALSE)-VLOOKUP(TRUNC(AC319/12,0)+1+57,AD140:AE331,2,FALSE))/12,4)</f>
        <v>8.1712000000000007</v>
      </c>
      <c r="AH319">
        <v>172</v>
      </c>
      <c r="AI319" s="73">
        <v>5.5857999999999999</v>
      </c>
      <c r="AK319">
        <v>179</v>
      </c>
      <c r="AL319" s="73">
        <f>ROUND(AL140+AK319/12,4)</f>
        <v>71.916700000000006</v>
      </c>
      <c r="AM319" s="73">
        <f>ROUND(VLOOKUP(TRUNC(AK319/12,0)+57,AL140:AM331,2,FALSE)-MOD(AK319,12)*(VLOOKUP(TRUNC(AK319/12,0)+57,AL140:AM331,2,FALSE)-VLOOKUP(TRUNC(AK319/12,0)+1+57,AL140:AM331,2,FALSE))/12,4)</f>
        <v>6.8228</v>
      </c>
    </row>
    <row r="320" spans="1:39" x14ac:dyDescent="0.2">
      <c r="A320">
        <v>173</v>
      </c>
      <c r="B320" s="73">
        <v>3.5943999999999998</v>
      </c>
      <c r="D320">
        <v>180</v>
      </c>
      <c r="E320" s="73">
        <f>ROUND((E140+D320/12),4)</f>
        <v>72</v>
      </c>
      <c r="F320" s="73">
        <f>[1]!NPVF("Mp","SLA","N",B140:C140,"M",E320,E320,0,0,0,0,A140,A140,"P","","")</f>
        <v>8.4393509480440336</v>
      </c>
      <c r="I320">
        <v>173</v>
      </c>
      <c r="J320" s="73">
        <v>5.5713999999999997</v>
      </c>
      <c r="L320">
        <v>180</v>
      </c>
      <c r="M320" s="73">
        <f>ROUND((M140+L320/12),4)</f>
        <v>72</v>
      </c>
      <c r="N320" s="73">
        <f>[1]!NPVF("Mp","SLA","N",J140:K140,"M",M320,M320,0,0,0,0,I140,I140,"P","","")</f>
        <v>6.8042581183764881</v>
      </c>
      <c r="R320">
        <v>173</v>
      </c>
      <c r="S320" s="73">
        <v>3.6732</v>
      </c>
      <c r="U320">
        <v>180</v>
      </c>
      <c r="V320" s="73">
        <f>ROUND((V140+U320/12),4)</f>
        <v>72</v>
      </c>
      <c r="W320" s="73">
        <f>[1]!NPVF("Mp","SLA","N",S140:T140,"M",V320,V320,0,0,0,0,R140,R140,"P","","")</f>
        <v>8.1496906940338683</v>
      </c>
      <c r="AA320" s="73"/>
      <c r="AC320">
        <v>180</v>
      </c>
      <c r="AD320" s="73">
        <f>ROUND((AD140+AC320/12),4)</f>
        <v>72</v>
      </c>
      <c r="AE320" s="73">
        <f>[1]!NPVF("Mp","SLA","N",AA140:AB140,"M",AD320,AD320,0,0,0,0,Z140,Z140,"P","","")</f>
        <v>8.1496906940338683</v>
      </c>
      <c r="AH320">
        <v>173</v>
      </c>
      <c r="AI320" s="73">
        <v>5.6558000000000002</v>
      </c>
      <c r="AK320">
        <v>180</v>
      </c>
      <c r="AL320" s="73">
        <f>ROUND((AL140+AK320/12),4)</f>
        <v>72</v>
      </c>
      <c r="AM320" s="73">
        <f>[1]!NPVF("Mp","SLA","N",AI140:AJ140,"M",AL320,AL320,0,0,0,0,AH140,AH140,"P","","")</f>
        <v>6.8042581183764881</v>
      </c>
    </row>
    <row r="321" spans="1:41" x14ac:dyDescent="0.2">
      <c r="A321">
        <v>174</v>
      </c>
      <c r="B321" s="73">
        <v>3.6236999999999999</v>
      </c>
      <c r="I321">
        <v>174</v>
      </c>
      <c r="J321" s="73">
        <v>5.6395999999999997</v>
      </c>
      <c r="R321">
        <v>174</v>
      </c>
      <c r="S321" s="73">
        <v>3.7037</v>
      </c>
      <c r="AA321" s="73"/>
      <c r="AD321" s="73"/>
      <c r="AE321" s="73"/>
      <c r="AH321">
        <v>174</v>
      </c>
      <c r="AI321" s="73">
        <v>5.7257999999999996</v>
      </c>
      <c r="AK321">
        <v>181</v>
      </c>
      <c r="AL321" s="73">
        <f>ROUND((AL140+AK321/12),4)</f>
        <v>72.083299999999994</v>
      </c>
      <c r="AM321" s="73">
        <f>[1]!NPVF("Mp","SLA","N",AI140:AJ140,"M",AL321,AL321,0,0,0,0,AH140,AH140,"P","","")</f>
        <v>6.7865260191865877</v>
      </c>
      <c r="AO321" s="73"/>
    </row>
    <row r="322" spans="1:41" x14ac:dyDescent="0.2">
      <c r="A322">
        <v>175</v>
      </c>
      <c r="B322" s="73">
        <v>3.6528999999999998</v>
      </c>
      <c r="I322">
        <v>175</v>
      </c>
      <c r="J322" s="73">
        <v>5.7077999999999998</v>
      </c>
      <c r="R322">
        <v>175</v>
      </c>
      <c r="S322" s="73">
        <v>3.7341000000000002</v>
      </c>
      <c r="AA322" s="73"/>
      <c r="AD322" s="73"/>
      <c r="AE322" s="73"/>
      <c r="AH322">
        <v>175</v>
      </c>
      <c r="AI322" s="73">
        <v>5.7957000000000001</v>
      </c>
      <c r="AK322">
        <v>182</v>
      </c>
      <c r="AL322" s="73">
        <f>ROUND((AL140+AK322/12),4)</f>
        <v>72.166700000000006</v>
      </c>
      <c r="AM322" s="73">
        <f>[1]!NPVF("Mp","SLA","N",AI140:AJ140,"M",AL322,AL322,0,0,0,0,AH140,AH140,"P","","")</f>
        <v>6.7686634428075214</v>
      </c>
      <c r="AO322" s="73"/>
    </row>
    <row r="323" spans="1:41" x14ac:dyDescent="0.2">
      <c r="A323">
        <v>176</v>
      </c>
      <c r="B323" s="73">
        <v>3.6821999999999999</v>
      </c>
      <c r="I323">
        <v>176</v>
      </c>
      <c r="J323" s="73">
        <v>5.7759999999999998</v>
      </c>
      <c r="R323">
        <v>176</v>
      </c>
      <c r="S323" s="73">
        <v>3.7646000000000002</v>
      </c>
      <c r="AA323" s="73"/>
      <c r="AD323" s="73"/>
      <c r="AE323" s="73"/>
      <c r="AH323">
        <v>176</v>
      </c>
      <c r="AI323" s="73">
        <v>5.8657000000000004</v>
      </c>
      <c r="AK323">
        <v>183</v>
      </c>
      <c r="AL323" s="73">
        <f>ROUND((AL140+AK323/12),4)</f>
        <v>72.25</v>
      </c>
      <c r="AM323" s="73">
        <f>[1]!NPVF("Mp","SLA","N",AI140:AJ140,"M",AL323,AL323,0,0,0,0,AH140,AH140,"P","","")</f>
        <v>6.7506689437959873</v>
      </c>
      <c r="AO323" s="73"/>
    </row>
    <row r="324" spans="1:41" x14ac:dyDescent="0.2">
      <c r="A324">
        <v>177</v>
      </c>
      <c r="B324" s="73">
        <v>3.7115</v>
      </c>
      <c r="I324">
        <v>177</v>
      </c>
      <c r="J324" s="73">
        <v>5.8442999999999996</v>
      </c>
      <c r="R324">
        <v>177</v>
      </c>
      <c r="S324" s="73">
        <v>3.7951000000000001</v>
      </c>
      <c r="AA324" s="73"/>
      <c r="AD324" s="73"/>
      <c r="AE324" s="73"/>
      <c r="AH324">
        <v>177</v>
      </c>
      <c r="AI324" s="73">
        <v>5.9356999999999998</v>
      </c>
      <c r="AK324">
        <v>184</v>
      </c>
      <c r="AL324" s="73">
        <f>ROUND((AL140+AK324/12),4)</f>
        <v>72.333299999999994</v>
      </c>
      <c r="AM324" s="73">
        <f>[1]!NPVF("Mp","SLA","N",AI140:AJ140,"M",AL324,AL324,0,0,0,0,AH140,AH140,"P","","")</f>
        <v>6.7325410552791443</v>
      </c>
      <c r="AO324" s="73">
        <f>[1]!NPVF("Mp","SLA","N",AI140:AJ140,"M",AL324,AL324,0,0,0,0,AH140,AH140,"P","","")</f>
        <v>6.7325410552791443</v>
      </c>
    </row>
    <row r="325" spans="1:41" x14ac:dyDescent="0.2">
      <c r="A325">
        <v>178</v>
      </c>
      <c r="B325" s="73">
        <v>3.7408000000000001</v>
      </c>
      <c r="I325">
        <v>178</v>
      </c>
      <c r="J325" s="73">
        <v>5.9124999999999996</v>
      </c>
      <c r="R325">
        <v>178</v>
      </c>
      <c r="S325" s="73">
        <v>3.8256000000000001</v>
      </c>
      <c r="AA325" s="73"/>
      <c r="AD325" s="73"/>
      <c r="AE325" s="73"/>
      <c r="AH325">
        <v>178</v>
      </c>
      <c r="AI325" s="73">
        <v>6.0057</v>
      </c>
      <c r="AL325" s="73"/>
    </row>
    <row r="326" spans="1:41" x14ac:dyDescent="0.2">
      <c r="A326">
        <v>179</v>
      </c>
      <c r="B326" s="73">
        <v>3.77</v>
      </c>
      <c r="I326">
        <v>179</v>
      </c>
      <c r="J326" s="73">
        <v>5.9806999999999997</v>
      </c>
      <c r="R326">
        <v>179</v>
      </c>
      <c r="S326" s="73">
        <v>3.8559999999999999</v>
      </c>
      <c r="AA326" s="73"/>
      <c r="AD326" s="73"/>
      <c r="AE326" s="73"/>
      <c r="AH326">
        <v>179</v>
      </c>
      <c r="AI326" s="73">
        <v>6.0757000000000003</v>
      </c>
      <c r="AL326" s="73"/>
    </row>
    <row r="327" spans="1:41" x14ac:dyDescent="0.2">
      <c r="A327">
        <v>180</v>
      </c>
      <c r="B327" s="73">
        <v>3.7993000000000001</v>
      </c>
      <c r="I327">
        <v>180</v>
      </c>
      <c r="J327" s="73">
        <v>6.0488999999999997</v>
      </c>
      <c r="R327">
        <v>180</v>
      </c>
      <c r="S327" s="73">
        <v>3.8864999999999998</v>
      </c>
      <c r="AA327" s="73"/>
      <c r="AD327" s="73"/>
      <c r="AE327" s="73"/>
      <c r="AH327">
        <v>180</v>
      </c>
      <c r="AI327" s="73">
        <v>6.1456999999999997</v>
      </c>
      <c r="AL327" s="73"/>
    </row>
    <row r="328" spans="1:41" x14ac:dyDescent="0.2">
      <c r="AD328" s="73"/>
      <c r="AE328" s="73"/>
      <c r="AL328" s="73"/>
    </row>
    <row r="329" spans="1:41" x14ac:dyDescent="0.2">
      <c r="AD329" s="73"/>
      <c r="AE329" s="73"/>
      <c r="AL329" s="73"/>
    </row>
    <row r="330" spans="1:41" x14ac:dyDescent="0.2">
      <c r="AD330" s="73"/>
      <c r="AE330" s="73"/>
      <c r="AL330" s="73"/>
    </row>
    <row r="331" spans="1:41" x14ac:dyDescent="0.2">
      <c r="AL331" s="73"/>
    </row>
    <row r="332" spans="1:41" x14ac:dyDescent="0.2">
      <c r="AL332" s="73"/>
    </row>
  </sheetData>
  <mergeCells count="14">
    <mergeCell ref="CP70:CR70"/>
    <mergeCell ref="EE1:EE2"/>
    <mergeCell ref="EO1:FB1"/>
    <mergeCell ref="CP58:DA58"/>
    <mergeCell ref="DN1:DN2"/>
    <mergeCell ref="DO1:EB1"/>
    <mergeCell ref="CP21:CQ21"/>
    <mergeCell ref="CP1:CQ1"/>
    <mergeCell ref="CP3:CQ3"/>
    <mergeCell ref="CP6:CQ6"/>
    <mergeCell ref="CP46:CR46"/>
    <mergeCell ref="CP12:CQ12"/>
    <mergeCell ref="CP39:CQ39"/>
    <mergeCell ref="CP43:CR43"/>
  </mergeCells>
  <phoneticPr fontId="0" type="noConversion"/>
  <pageMargins left="0.5" right="0.5" top="0.5" bottom="0.5" header="0.5" footer="0.5"/>
  <pageSetup scale="67"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A396"/>
  <sheetViews>
    <sheetView workbookViewId="0"/>
  </sheetViews>
  <sheetFormatPr defaultRowHeight="12.75" x14ac:dyDescent="0.2"/>
  <sheetData>
    <row r="1" spans="1:1" x14ac:dyDescent="0.2">
      <c r="A1" t="s">
        <v>227</v>
      </c>
    </row>
    <row r="2" spans="1:1" x14ac:dyDescent="0.2">
      <c r="A2" t="s">
        <v>38</v>
      </c>
    </row>
    <row r="3" spans="1:1" x14ac:dyDescent="0.2">
      <c r="A3" t="s">
        <v>232</v>
      </c>
    </row>
    <row r="4" spans="1:1" x14ac:dyDescent="0.2">
      <c r="A4" t="s">
        <v>70</v>
      </c>
    </row>
    <row r="5" spans="1:1" x14ac:dyDescent="0.2">
      <c r="A5" t="s">
        <v>403</v>
      </c>
    </row>
    <row r="6" spans="1:1" x14ac:dyDescent="0.2">
      <c r="A6" t="s">
        <v>230</v>
      </c>
    </row>
    <row r="7" spans="1:1" x14ac:dyDescent="0.2">
      <c r="A7" t="s">
        <v>45</v>
      </c>
    </row>
    <row r="8" spans="1:1" x14ac:dyDescent="0.2">
      <c r="A8" t="s">
        <v>42</v>
      </c>
    </row>
    <row r="9" spans="1:1" x14ac:dyDescent="0.2">
      <c r="A9" t="s">
        <v>399</v>
      </c>
    </row>
    <row r="10" spans="1:1" x14ac:dyDescent="0.2">
      <c r="A10" t="s">
        <v>407</v>
      </c>
    </row>
    <row r="11" spans="1:1" x14ac:dyDescent="0.2">
      <c r="A11" t="s">
        <v>430</v>
      </c>
    </row>
    <row r="12" spans="1:1" x14ac:dyDescent="0.2">
      <c r="A12" t="s">
        <v>97</v>
      </c>
    </row>
    <row r="13" spans="1:1" x14ac:dyDescent="0.2">
      <c r="A13" t="s">
        <v>438</v>
      </c>
    </row>
    <row r="14" spans="1:1" x14ac:dyDescent="0.2">
      <c r="A14" t="s">
        <v>56</v>
      </c>
    </row>
    <row r="15" spans="1:1" x14ac:dyDescent="0.2">
      <c r="A15" t="s">
        <v>366</v>
      </c>
    </row>
    <row r="16" spans="1:1" x14ac:dyDescent="0.2">
      <c r="A16" t="s">
        <v>390</v>
      </c>
    </row>
    <row r="17" spans="1:1" x14ac:dyDescent="0.2">
      <c r="A17" t="s">
        <v>53</v>
      </c>
    </row>
    <row r="18" spans="1:1" x14ac:dyDescent="0.2">
      <c r="A18" t="s">
        <v>391</v>
      </c>
    </row>
    <row r="19" spans="1:1" x14ac:dyDescent="0.2">
      <c r="A19" t="s">
        <v>667</v>
      </c>
    </row>
    <row r="20" spans="1:1" x14ac:dyDescent="0.2">
      <c r="A20" t="s">
        <v>247</v>
      </c>
    </row>
    <row r="21" spans="1:1" x14ac:dyDescent="0.2">
      <c r="A21" t="s">
        <v>246</v>
      </c>
    </row>
    <row r="22" spans="1:1" x14ac:dyDescent="0.2">
      <c r="A22" t="s">
        <v>434</v>
      </c>
    </row>
    <row r="23" spans="1:1" x14ac:dyDescent="0.2">
      <c r="A23" t="s">
        <v>435</v>
      </c>
    </row>
    <row r="24" spans="1:1" x14ac:dyDescent="0.2">
      <c r="A24" t="s">
        <v>397</v>
      </c>
    </row>
    <row r="25" spans="1:1" x14ac:dyDescent="0.2">
      <c r="A25" t="s">
        <v>389</v>
      </c>
    </row>
    <row r="26" spans="1:1" x14ac:dyDescent="0.2">
      <c r="A26" t="s">
        <v>2</v>
      </c>
    </row>
    <row r="27" spans="1:1" x14ac:dyDescent="0.2">
      <c r="A27" t="s">
        <v>3</v>
      </c>
    </row>
    <row r="28" spans="1:1" x14ac:dyDescent="0.2">
      <c r="A28" t="s">
        <v>1</v>
      </c>
    </row>
    <row r="29" spans="1:1" x14ac:dyDescent="0.2">
      <c r="A29" t="s">
        <v>416</v>
      </c>
    </row>
    <row r="30" spans="1:1" x14ac:dyDescent="0.2">
      <c r="A30" t="s">
        <v>649</v>
      </c>
    </row>
    <row r="31" spans="1:1" x14ac:dyDescent="0.2">
      <c r="A31" t="s">
        <v>644</v>
      </c>
    </row>
    <row r="32" spans="1:1" x14ac:dyDescent="0.2">
      <c r="A32" t="s">
        <v>645</v>
      </c>
    </row>
    <row r="33" spans="1:1" x14ac:dyDescent="0.2">
      <c r="A33" t="s">
        <v>646</v>
      </c>
    </row>
    <row r="34" spans="1:1" x14ac:dyDescent="0.2">
      <c r="A34" t="s">
        <v>647</v>
      </c>
    </row>
    <row r="35" spans="1:1" x14ac:dyDescent="0.2">
      <c r="A35" t="s">
        <v>648</v>
      </c>
    </row>
    <row r="36" spans="1:1" x14ac:dyDescent="0.2">
      <c r="A36" t="s">
        <v>258</v>
      </c>
    </row>
    <row r="37" spans="1:1" x14ac:dyDescent="0.2">
      <c r="A37" t="s">
        <v>359</v>
      </c>
    </row>
    <row r="38" spans="1:1" x14ac:dyDescent="0.2">
      <c r="A38" t="s">
        <v>274</v>
      </c>
    </row>
    <row r="39" spans="1:1" x14ac:dyDescent="0.2">
      <c r="A39" t="s">
        <v>275</v>
      </c>
    </row>
    <row r="40" spans="1:1" x14ac:dyDescent="0.2">
      <c r="A40" t="s">
        <v>615</v>
      </c>
    </row>
    <row r="41" spans="1:1" x14ac:dyDescent="0.2">
      <c r="A41" t="s">
        <v>617</v>
      </c>
    </row>
    <row r="42" spans="1:1" x14ac:dyDescent="0.2">
      <c r="A42" t="s">
        <v>467</v>
      </c>
    </row>
    <row r="43" spans="1:1" x14ac:dyDescent="0.2">
      <c r="A43" t="s">
        <v>469</v>
      </c>
    </row>
    <row r="44" spans="1:1" x14ac:dyDescent="0.2">
      <c r="A44" t="s">
        <v>580</v>
      </c>
    </row>
    <row r="45" spans="1:1" x14ac:dyDescent="0.2">
      <c r="A45" t="s">
        <v>650</v>
      </c>
    </row>
    <row r="46" spans="1:1" x14ac:dyDescent="0.2">
      <c r="A46" t="s">
        <v>745</v>
      </c>
    </row>
    <row r="47" spans="1:1" x14ac:dyDescent="0.2">
      <c r="A47" t="s">
        <v>754</v>
      </c>
    </row>
    <row r="48" spans="1:1" x14ac:dyDescent="0.2">
      <c r="A48" t="s">
        <v>752</v>
      </c>
    </row>
    <row r="49" spans="1:1" x14ac:dyDescent="0.2">
      <c r="A49" t="s">
        <v>6</v>
      </c>
    </row>
    <row r="50" spans="1:1" x14ac:dyDescent="0.2">
      <c r="A50" t="s">
        <v>250</v>
      </c>
    </row>
    <row r="51" spans="1:1" x14ac:dyDescent="0.2">
      <c r="A51" t="s">
        <v>23</v>
      </c>
    </row>
    <row r="52" spans="1:1" x14ac:dyDescent="0.2">
      <c r="A52" t="s">
        <v>24</v>
      </c>
    </row>
    <row r="53" spans="1:1" x14ac:dyDescent="0.2">
      <c r="A53" t="s">
        <v>37</v>
      </c>
    </row>
    <row r="54" spans="1:1" x14ac:dyDescent="0.2">
      <c r="A54" t="s">
        <v>25</v>
      </c>
    </row>
    <row r="55" spans="1:1" x14ac:dyDescent="0.2">
      <c r="A55" t="s">
        <v>52</v>
      </c>
    </row>
    <row r="56" spans="1:1" x14ac:dyDescent="0.2">
      <c r="A56" t="s">
        <v>46</v>
      </c>
    </row>
    <row r="57" spans="1:1" x14ac:dyDescent="0.2">
      <c r="A57" t="s">
        <v>43</v>
      </c>
    </row>
    <row r="58" spans="1:1" x14ac:dyDescent="0.2">
      <c r="A58" t="s">
        <v>47</v>
      </c>
    </row>
    <row r="59" spans="1:1" x14ac:dyDescent="0.2">
      <c r="A59" t="s">
        <v>99</v>
      </c>
    </row>
    <row r="60" spans="1:1" x14ac:dyDescent="0.2">
      <c r="A60" t="s">
        <v>58</v>
      </c>
    </row>
    <row r="61" spans="1:1" x14ac:dyDescent="0.2">
      <c r="A61" t="s">
        <v>55</v>
      </c>
    </row>
    <row r="62" spans="1:1" x14ac:dyDescent="0.2">
      <c r="A62" t="s">
        <v>44</v>
      </c>
    </row>
    <row r="63" spans="1:1" x14ac:dyDescent="0.2">
      <c r="A63" t="s">
        <v>4</v>
      </c>
    </row>
    <row r="64" spans="1:1" x14ac:dyDescent="0.2">
      <c r="A64" t="s">
        <v>33</v>
      </c>
    </row>
    <row r="65" spans="1:1" x14ac:dyDescent="0.2">
      <c r="A65" t="s">
        <v>384</v>
      </c>
    </row>
    <row r="66" spans="1:1" x14ac:dyDescent="0.2">
      <c r="A66" t="s">
        <v>27</v>
      </c>
    </row>
    <row r="67" spans="1:1" x14ac:dyDescent="0.2">
      <c r="A67" t="s">
        <v>26</v>
      </c>
    </row>
    <row r="68" spans="1:1" x14ac:dyDescent="0.2">
      <c r="A68" t="s">
        <v>497</v>
      </c>
    </row>
    <row r="69" spans="1:1" x14ac:dyDescent="0.2">
      <c r="A69" t="s">
        <v>528</v>
      </c>
    </row>
    <row r="70" spans="1:1" x14ac:dyDescent="0.2">
      <c r="A70" t="s">
        <v>502</v>
      </c>
    </row>
    <row r="71" spans="1:1" x14ac:dyDescent="0.2">
      <c r="A71" t="s">
        <v>503</v>
      </c>
    </row>
    <row r="72" spans="1:1" x14ac:dyDescent="0.2">
      <c r="A72" t="s">
        <v>515</v>
      </c>
    </row>
    <row r="73" spans="1:1" x14ac:dyDescent="0.2">
      <c r="A73" t="s">
        <v>516</v>
      </c>
    </row>
    <row r="74" spans="1:1" x14ac:dyDescent="0.2">
      <c r="A74" t="s">
        <v>553</v>
      </c>
    </row>
    <row r="75" spans="1:1" x14ac:dyDescent="0.2">
      <c r="A75" t="s">
        <v>554</v>
      </c>
    </row>
    <row r="76" spans="1:1" x14ac:dyDescent="0.2">
      <c r="A76" t="s">
        <v>495</v>
      </c>
    </row>
    <row r="77" spans="1:1" x14ac:dyDescent="0.2">
      <c r="A77" t="s">
        <v>5</v>
      </c>
    </row>
    <row r="78" spans="1:1" x14ac:dyDescent="0.2">
      <c r="A78" t="s">
        <v>387</v>
      </c>
    </row>
    <row r="79" spans="1:1" x14ac:dyDescent="0.2">
      <c r="A79" t="s">
        <v>60</v>
      </c>
    </row>
    <row r="80" spans="1:1" x14ac:dyDescent="0.2">
      <c r="A80" t="s">
        <v>76</v>
      </c>
    </row>
    <row r="81" spans="1:1" x14ac:dyDescent="0.2">
      <c r="A81" t="s">
        <v>424</v>
      </c>
    </row>
    <row r="82" spans="1:1" x14ac:dyDescent="0.2">
      <c r="A82" t="s">
        <v>67</v>
      </c>
    </row>
    <row r="83" spans="1:1" x14ac:dyDescent="0.2">
      <c r="A83" t="s">
        <v>68</v>
      </c>
    </row>
    <row r="84" spans="1:1" x14ac:dyDescent="0.2">
      <c r="A84" t="s">
        <v>324</v>
      </c>
    </row>
    <row r="85" spans="1:1" x14ac:dyDescent="0.2">
      <c r="A85" t="s">
        <v>98</v>
      </c>
    </row>
    <row r="86" spans="1:1" x14ac:dyDescent="0.2">
      <c r="A86" t="s">
        <v>57</v>
      </c>
    </row>
    <row r="87" spans="1:1" x14ac:dyDescent="0.2">
      <c r="A87" t="s">
        <v>54</v>
      </c>
    </row>
    <row r="88" spans="1:1" x14ac:dyDescent="0.2">
      <c r="A88" t="s">
        <v>75</v>
      </c>
    </row>
    <row r="89" spans="1:1" x14ac:dyDescent="0.2">
      <c r="A89" t="s">
        <v>21</v>
      </c>
    </row>
    <row r="90" spans="1:1" x14ac:dyDescent="0.2">
      <c r="A90" t="s">
        <v>36</v>
      </c>
    </row>
    <row r="91" spans="1:1" x14ac:dyDescent="0.2">
      <c r="A91" t="s">
        <v>386</v>
      </c>
    </row>
    <row r="92" spans="1:1" x14ac:dyDescent="0.2">
      <c r="A92" t="s">
        <v>31</v>
      </c>
    </row>
    <row r="93" spans="1:1" x14ac:dyDescent="0.2">
      <c r="A93" t="s">
        <v>30</v>
      </c>
    </row>
    <row r="94" spans="1:1" x14ac:dyDescent="0.2">
      <c r="A94" t="s">
        <v>383</v>
      </c>
    </row>
    <row r="95" spans="1:1" x14ac:dyDescent="0.2">
      <c r="A95" t="s">
        <v>401</v>
      </c>
    </row>
    <row r="96" spans="1:1" x14ac:dyDescent="0.2">
      <c r="A96" t="s">
        <v>443</v>
      </c>
    </row>
    <row r="97" spans="1:1" x14ac:dyDescent="0.2">
      <c r="A97" t="s">
        <v>557</v>
      </c>
    </row>
    <row r="98" spans="1:1" x14ac:dyDescent="0.2">
      <c r="A98" t="s">
        <v>529</v>
      </c>
    </row>
    <row r="99" spans="1:1" x14ac:dyDescent="0.2">
      <c r="A99" t="s">
        <v>556</v>
      </c>
    </row>
    <row r="100" spans="1:1" x14ac:dyDescent="0.2">
      <c r="A100" t="s">
        <v>504</v>
      </c>
    </row>
    <row r="101" spans="1:1" x14ac:dyDescent="0.2">
      <c r="A101" t="s">
        <v>507</v>
      </c>
    </row>
    <row r="102" spans="1:1" x14ac:dyDescent="0.2">
      <c r="A102" t="s">
        <v>517</v>
      </c>
    </row>
    <row r="103" spans="1:1" x14ac:dyDescent="0.2">
      <c r="A103" t="s">
        <v>519</v>
      </c>
    </row>
    <row r="104" spans="1:1" x14ac:dyDescent="0.2">
      <c r="A104" t="s">
        <v>558</v>
      </c>
    </row>
    <row r="105" spans="1:1" x14ac:dyDescent="0.2">
      <c r="A105" t="s">
        <v>559</v>
      </c>
    </row>
    <row r="106" spans="1:1" x14ac:dyDescent="0.2">
      <c r="A106" t="s">
        <v>533</v>
      </c>
    </row>
    <row r="107" spans="1:1" x14ac:dyDescent="0.2">
      <c r="A107" t="s">
        <v>562</v>
      </c>
    </row>
    <row r="108" spans="1:1" x14ac:dyDescent="0.2">
      <c r="A108" t="s">
        <v>563</v>
      </c>
    </row>
    <row r="109" spans="1:1" x14ac:dyDescent="0.2">
      <c r="A109" t="s">
        <v>564</v>
      </c>
    </row>
    <row r="110" spans="1:1" x14ac:dyDescent="0.2">
      <c r="A110" t="s">
        <v>571</v>
      </c>
    </row>
    <row r="111" spans="1:1" x14ac:dyDescent="0.2">
      <c r="A111" t="s">
        <v>602</v>
      </c>
    </row>
    <row r="112" spans="1:1" x14ac:dyDescent="0.2">
      <c r="A112" t="s">
        <v>603</v>
      </c>
    </row>
    <row r="113" spans="1:1" x14ac:dyDescent="0.2">
      <c r="A113" t="s">
        <v>604</v>
      </c>
    </row>
    <row r="114" spans="1:1" x14ac:dyDescent="0.2">
      <c r="A114" t="s">
        <v>605</v>
      </c>
    </row>
    <row r="115" spans="1:1" x14ac:dyDescent="0.2">
      <c r="A115" t="s">
        <v>573</v>
      </c>
    </row>
    <row r="116" spans="1:1" x14ac:dyDescent="0.2">
      <c r="A116" t="s">
        <v>575</v>
      </c>
    </row>
    <row r="117" spans="1:1" x14ac:dyDescent="0.2">
      <c r="A117" t="s">
        <v>451</v>
      </c>
    </row>
    <row r="118" spans="1:1" x14ac:dyDescent="0.2">
      <c r="A118" t="s">
        <v>452</v>
      </c>
    </row>
    <row r="119" spans="1:1" x14ac:dyDescent="0.2">
      <c r="A119" t="s">
        <v>453</v>
      </c>
    </row>
    <row r="120" spans="1:1" x14ac:dyDescent="0.2">
      <c r="A120" t="s">
        <v>454</v>
      </c>
    </row>
    <row r="121" spans="1:1" x14ac:dyDescent="0.2">
      <c r="A121" t="s">
        <v>455</v>
      </c>
    </row>
    <row r="122" spans="1:1" x14ac:dyDescent="0.2">
      <c r="A122" t="s">
        <v>456</v>
      </c>
    </row>
    <row r="123" spans="1:1" x14ac:dyDescent="0.2">
      <c r="A123" t="s">
        <v>730</v>
      </c>
    </row>
    <row r="124" spans="1:1" x14ac:dyDescent="0.2">
      <c r="A124" t="s">
        <v>446</v>
      </c>
    </row>
    <row r="125" spans="1:1" x14ac:dyDescent="0.2">
      <c r="A125" t="s">
        <v>621</v>
      </c>
    </row>
    <row r="126" spans="1:1" x14ac:dyDescent="0.2">
      <c r="A126" t="s">
        <v>620</v>
      </c>
    </row>
    <row r="127" spans="1:1" x14ac:dyDescent="0.2">
      <c r="A127" t="s">
        <v>616</v>
      </c>
    </row>
    <row r="128" spans="1:1" x14ac:dyDescent="0.2">
      <c r="A128" t="s">
        <v>614</v>
      </c>
    </row>
    <row r="129" spans="1:1" x14ac:dyDescent="0.2">
      <c r="A129" t="s">
        <v>561</v>
      </c>
    </row>
    <row r="130" spans="1:1" x14ac:dyDescent="0.2">
      <c r="A130" t="s">
        <v>631</v>
      </c>
    </row>
    <row r="131" spans="1:1" x14ac:dyDescent="0.2">
      <c r="A131" t="s">
        <v>677</v>
      </c>
    </row>
    <row r="132" spans="1:1" x14ac:dyDescent="0.2">
      <c r="A132" t="s">
        <v>676</v>
      </c>
    </row>
    <row r="133" spans="1:1" x14ac:dyDescent="0.2">
      <c r="A133" t="s">
        <v>675</v>
      </c>
    </row>
    <row r="134" spans="1:1" x14ac:dyDescent="0.2">
      <c r="A134" t="s">
        <v>674</v>
      </c>
    </row>
    <row r="135" spans="1:1" x14ac:dyDescent="0.2">
      <c r="A135" t="s">
        <v>678</v>
      </c>
    </row>
    <row r="136" spans="1:1" x14ac:dyDescent="0.2">
      <c r="A136" t="s">
        <v>711</v>
      </c>
    </row>
    <row r="137" spans="1:1" x14ac:dyDescent="0.2">
      <c r="A137" t="s">
        <v>712</v>
      </c>
    </row>
    <row r="138" spans="1:1" x14ac:dyDescent="0.2">
      <c r="A138" t="s">
        <v>713</v>
      </c>
    </row>
    <row r="139" spans="1:1" x14ac:dyDescent="0.2">
      <c r="A139" t="s">
        <v>714</v>
      </c>
    </row>
    <row r="140" spans="1:1" x14ac:dyDescent="0.2">
      <c r="A140" t="s">
        <v>715</v>
      </c>
    </row>
    <row r="141" spans="1:1" x14ac:dyDescent="0.2">
      <c r="A141" t="s">
        <v>716</v>
      </c>
    </row>
    <row r="142" spans="1:1" x14ac:dyDescent="0.2">
      <c r="A142" t="s">
        <v>717</v>
      </c>
    </row>
    <row r="143" spans="1:1" x14ac:dyDescent="0.2">
      <c r="A143" t="s">
        <v>718</v>
      </c>
    </row>
    <row r="144" spans="1:1" x14ac:dyDescent="0.2">
      <c r="A144" t="s">
        <v>722</v>
      </c>
    </row>
    <row r="145" spans="1:1" x14ac:dyDescent="0.2">
      <c r="A145" t="s">
        <v>742</v>
      </c>
    </row>
    <row r="146" spans="1:1" x14ac:dyDescent="0.2">
      <c r="A146" t="s">
        <v>738</v>
      </c>
    </row>
    <row r="147" spans="1:1" x14ac:dyDescent="0.2">
      <c r="A147" t="s">
        <v>698</v>
      </c>
    </row>
    <row r="148" spans="1:1" x14ac:dyDescent="0.2">
      <c r="A148" t="s">
        <v>701</v>
      </c>
    </row>
    <row r="149" spans="1:1" x14ac:dyDescent="0.2">
      <c r="A149" t="s">
        <v>703</v>
      </c>
    </row>
    <row r="150" spans="1:1" x14ac:dyDescent="0.2">
      <c r="A150" t="s">
        <v>751</v>
      </c>
    </row>
    <row r="151" spans="1:1" x14ac:dyDescent="0.2">
      <c r="A151" t="s">
        <v>728</v>
      </c>
    </row>
    <row r="152" spans="1:1" x14ac:dyDescent="0.2">
      <c r="A152" t="s">
        <v>726</v>
      </c>
    </row>
    <row r="153" spans="1:1" x14ac:dyDescent="0.2">
      <c r="A153" t="s">
        <v>598</v>
      </c>
    </row>
    <row r="154" spans="1:1" x14ac:dyDescent="0.2">
      <c r="A154" t="s">
        <v>753</v>
      </c>
    </row>
    <row r="155" spans="1:1" x14ac:dyDescent="0.2">
      <c r="A155" t="s">
        <v>392</v>
      </c>
    </row>
    <row r="156" spans="1:1" x14ac:dyDescent="0.2">
      <c r="A156" t="s">
        <v>40</v>
      </c>
    </row>
    <row r="157" spans="1:1" x14ac:dyDescent="0.2">
      <c r="A157" t="s">
        <v>41</v>
      </c>
    </row>
    <row r="158" spans="1:1" x14ac:dyDescent="0.2">
      <c r="A158" t="s">
        <v>358</v>
      </c>
    </row>
    <row r="159" spans="1:1" x14ac:dyDescent="0.2">
      <c r="A159" t="s">
        <v>410</v>
      </c>
    </row>
    <row r="160" spans="1:1" x14ac:dyDescent="0.2">
      <c r="A160" t="s">
        <v>447</v>
      </c>
    </row>
    <row r="161" spans="1:1" x14ac:dyDescent="0.2">
      <c r="A161" t="s">
        <v>344</v>
      </c>
    </row>
    <row r="162" spans="1:1" x14ac:dyDescent="0.2">
      <c r="A162" t="s">
        <v>345</v>
      </c>
    </row>
    <row r="163" spans="1:1" x14ac:dyDescent="0.2">
      <c r="A163" t="s">
        <v>343</v>
      </c>
    </row>
    <row r="164" spans="1:1" x14ac:dyDescent="0.2">
      <c r="A164" t="s">
        <v>348</v>
      </c>
    </row>
    <row r="165" spans="1:1" x14ac:dyDescent="0.2">
      <c r="A165" t="s">
        <v>346</v>
      </c>
    </row>
    <row r="166" spans="1:1" x14ac:dyDescent="0.2">
      <c r="A166" t="s">
        <v>347</v>
      </c>
    </row>
    <row r="167" spans="1:1" x14ac:dyDescent="0.2">
      <c r="A167" t="s">
        <v>349</v>
      </c>
    </row>
    <row r="168" spans="1:1" x14ac:dyDescent="0.2">
      <c r="A168" t="s">
        <v>341</v>
      </c>
    </row>
    <row r="169" spans="1:1" x14ac:dyDescent="0.2">
      <c r="A169" t="s">
        <v>340</v>
      </c>
    </row>
    <row r="170" spans="1:1" x14ac:dyDescent="0.2">
      <c r="A170" t="s">
        <v>342</v>
      </c>
    </row>
    <row r="171" spans="1:1" x14ac:dyDescent="0.2">
      <c r="A171" t="s">
        <v>380</v>
      </c>
    </row>
    <row r="172" spans="1:1" x14ac:dyDescent="0.2">
      <c r="A172" t="s">
        <v>357</v>
      </c>
    </row>
    <row r="173" spans="1:1" x14ac:dyDescent="0.2">
      <c r="A173" t="s">
        <v>546</v>
      </c>
    </row>
    <row r="174" spans="1:1" x14ac:dyDescent="0.2">
      <c r="A174" t="s">
        <v>548</v>
      </c>
    </row>
    <row r="175" spans="1:1" x14ac:dyDescent="0.2">
      <c r="A175" t="s">
        <v>351</v>
      </c>
    </row>
    <row r="176" spans="1:1" x14ac:dyDescent="0.2">
      <c r="A176" t="s">
        <v>560</v>
      </c>
    </row>
    <row r="177" spans="1:1" x14ac:dyDescent="0.2">
      <c r="A177" t="s">
        <v>547</v>
      </c>
    </row>
    <row r="178" spans="1:1" x14ac:dyDescent="0.2">
      <c r="A178" t="s">
        <v>549</v>
      </c>
    </row>
    <row r="179" spans="1:1" x14ac:dyDescent="0.2">
      <c r="A179" t="s">
        <v>363</v>
      </c>
    </row>
    <row r="180" spans="1:1" x14ac:dyDescent="0.2">
      <c r="A180" t="s">
        <v>362</v>
      </c>
    </row>
    <row r="181" spans="1:1" x14ac:dyDescent="0.2">
      <c r="A181" t="s">
        <v>361</v>
      </c>
    </row>
    <row r="182" spans="1:1" x14ac:dyDescent="0.2">
      <c r="A182" t="s">
        <v>594</v>
      </c>
    </row>
    <row r="183" spans="1:1" x14ac:dyDescent="0.2">
      <c r="A183" t="s">
        <v>593</v>
      </c>
    </row>
    <row r="184" spans="1:1" x14ac:dyDescent="0.2">
      <c r="A184" t="s">
        <v>596</v>
      </c>
    </row>
    <row r="185" spans="1:1" x14ac:dyDescent="0.2">
      <c r="A185" t="s">
        <v>595</v>
      </c>
    </row>
    <row r="186" spans="1:1" x14ac:dyDescent="0.2">
      <c r="A186" t="s">
        <v>597</v>
      </c>
    </row>
    <row r="187" spans="1:1" x14ac:dyDescent="0.2">
      <c r="A187" t="s">
        <v>411</v>
      </c>
    </row>
    <row r="188" spans="1:1" x14ac:dyDescent="0.2">
      <c r="A188" t="s">
        <v>365</v>
      </c>
    </row>
    <row r="189" spans="1:1" x14ac:dyDescent="0.2">
      <c r="A189" t="s">
        <v>364</v>
      </c>
    </row>
    <row r="190" spans="1:1" x14ac:dyDescent="0.2">
      <c r="A190" t="s">
        <v>73</v>
      </c>
    </row>
    <row r="191" spans="1:1" x14ac:dyDescent="0.2">
      <c r="A191" t="s">
        <v>422</v>
      </c>
    </row>
    <row r="192" spans="1:1" x14ac:dyDescent="0.2">
      <c r="A192" t="s">
        <v>251</v>
      </c>
    </row>
    <row r="193" spans="1:1" x14ac:dyDescent="0.2">
      <c r="A193" t="s">
        <v>8</v>
      </c>
    </row>
    <row r="194" spans="1:1" x14ac:dyDescent="0.2">
      <c r="A194" t="s">
        <v>59</v>
      </c>
    </row>
    <row r="195" spans="1:1" x14ac:dyDescent="0.2">
      <c r="A195" t="s">
        <v>66</v>
      </c>
    </row>
    <row r="196" spans="1:1" x14ac:dyDescent="0.2">
      <c r="A196" t="s">
        <v>423</v>
      </c>
    </row>
    <row r="197" spans="1:1" x14ac:dyDescent="0.2">
      <c r="A197" t="s">
        <v>61</v>
      </c>
    </row>
    <row r="198" spans="1:1" x14ac:dyDescent="0.2">
      <c r="A198" t="s">
        <v>378</v>
      </c>
    </row>
    <row r="199" spans="1:1" x14ac:dyDescent="0.2">
      <c r="A199" t="s">
        <v>370</v>
      </c>
    </row>
    <row r="200" spans="1:1" x14ac:dyDescent="0.2">
      <c r="A200" t="s">
        <v>374</v>
      </c>
    </row>
    <row r="201" spans="1:1" x14ac:dyDescent="0.2">
      <c r="A201" t="s">
        <v>64</v>
      </c>
    </row>
    <row r="202" spans="1:1" x14ac:dyDescent="0.2">
      <c r="A202" t="s">
        <v>388</v>
      </c>
    </row>
    <row r="203" spans="1:1" x14ac:dyDescent="0.2">
      <c r="A203" t="s">
        <v>371</v>
      </c>
    </row>
    <row r="204" spans="1:1" x14ac:dyDescent="0.2">
      <c r="A204" t="s">
        <v>375</v>
      </c>
    </row>
    <row r="205" spans="1:1" x14ac:dyDescent="0.2">
      <c r="A205" t="s">
        <v>62</v>
      </c>
    </row>
    <row r="206" spans="1:1" x14ac:dyDescent="0.2">
      <c r="A206" t="s">
        <v>376</v>
      </c>
    </row>
    <row r="207" spans="1:1" x14ac:dyDescent="0.2">
      <c r="A207" t="s">
        <v>368</v>
      </c>
    </row>
    <row r="208" spans="1:1" x14ac:dyDescent="0.2">
      <c r="A208" t="s">
        <v>372</v>
      </c>
    </row>
    <row r="209" spans="1:1" x14ac:dyDescent="0.2">
      <c r="A209" t="s">
        <v>65</v>
      </c>
    </row>
    <row r="210" spans="1:1" x14ac:dyDescent="0.2">
      <c r="A210" t="s">
        <v>377</v>
      </c>
    </row>
    <row r="211" spans="1:1" x14ac:dyDescent="0.2">
      <c r="A211" t="s">
        <v>369</v>
      </c>
    </row>
    <row r="212" spans="1:1" x14ac:dyDescent="0.2">
      <c r="A212" t="s">
        <v>373</v>
      </c>
    </row>
    <row r="213" spans="1:1" x14ac:dyDescent="0.2">
      <c r="A213" t="s">
        <v>427</v>
      </c>
    </row>
    <row r="214" spans="1:1" x14ac:dyDescent="0.2">
      <c r="A214" t="s">
        <v>214</v>
      </c>
    </row>
    <row r="215" spans="1:1" x14ac:dyDescent="0.2">
      <c r="A215" t="s">
        <v>432</v>
      </c>
    </row>
    <row r="216" spans="1:1" x14ac:dyDescent="0.2">
      <c r="A216" t="s">
        <v>74</v>
      </c>
    </row>
    <row r="217" spans="1:1" x14ac:dyDescent="0.2">
      <c r="A217" t="s">
        <v>224</v>
      </c>
    </row>
    <row r="218" spans="1:1" x14ac:dyDescent="0.2">
      <c r="A218" t="s">
        <v>51</v>
      </c>
    </row>
    <row r="219" spans="1:1" x14ac:dyDescent="0.2">
      <c r="A219" t="s">
        <v>39</v>
      </c>
    </row>
    <row r="220" spans="1:1" x14ac:dyDescent="0.2">
      <c r="A220" t="s">
        <v>233</v>
      </c>
    </row>
    <row r="221" spans="1:1" x14ac:dyDescent="0.2">
      <c r="A221" t="s">
        <v>231</v>
      </c>
    </row>
    <row r="222" spans="1:1" x14ac:dyDescent="0.2">
      <c r="A222" t="s">
        <v>7</v>
      </c>
    </row>
    <row r="223" spans="1:1" x14ac:dyDescent="0.2">
      <c r="A223" t="s">
        <v>657</v>
      </c>
    </row>
    <row r="224" spans="1:1" x14ac:dyDescent="0.2">
      <c r="A224" t="s">
        <v>406</v>
      </c>
    </row>
    <row r="225" spans="1:1" x14ac:dyDescent="0.2">
      <c r="A225" t="s">
        <v>350</v>
      </c>
    </row>
    <row r="226" spans="1:1" x14ac:dyDescent="0.2">
      <c r="A226" t="s">
        <v>242</v>
      </c>
    </row>
    <row r="227" spans="1:1" x14ac:dyDescent="0.2">
      <c r="A227" t="s">
        <v>252</v>
      </c>
    </row>
    <row r="228" spans="1:1" x14ac:dyDescent="0.2">
      <c r="A228" t="s">
        <v>243</v>
      </c>
    </row>
    <row r="229" spans="1:1" x14ac:dyDescent="0.2">
      <c r="A229" t="s">
        <v>385</v>
      </c>
    </row>
    <row r="230" spans="1:1" x14ac:dyDescent="0.2">
      <c r="A230" t="s">
        <v>35</v>
      </c>
    </row>
    <row r="231" spans="1:1" x14ac:dyDescent="0.2">
      <c r="A231" t="s">
        <v>29</v>
      </c>
    </row>
    <row r="232" spans="1:1" x14ac:dyDescent="0.2">
      <c r="A232" t="s">
        <v>28</v>
      </c>
    </row>
    <row r="233" spans="1:1" x14ac:dyDescent="0.2">
      <c r="A233" t="s">
        <v>353</v>
      </c>
    </row>
    <row r="234" spans="1:1" x14ac:dyDescent="0.2">
      <c r="A234" t="s">
        <v>9</v>
      </c>
    </row>
    <row r="235" spans="1:1" x14ac:dyDescent="0.2">
      <c r="A235" t="s">
        <v>256</v>
      </c>
    </row>
    <row r="236" spans="1:1" x14ac:dyDescent="0.2">
      <c r="A236" t="s">
        <v>241</v>
      </c>
    </row>
    <row r="237" spans="1:1" x14ac:dyDescent="0.2">
      <c r="A237" t="s">
        <v>50</v>
      </c>
    </row>
    <row r="238" spans="1:1" x14ac:dyDescent="0.2">
      <c r="A238" t="s">
        <v>489</v>
      </c>
    </row>
    <row r="239" spans="1:1" x14ac:dyDescent="0.2">
      <c r="A239" t="s">
        <v>555</v>
      </c>
    </row>
    <row r="240" spans="1:1" x14ac:dyDescent="0.2">
      <c r="A240" t="s">
        <v>672</v>
      </c>
    </row>
    <row r="241" spans="1:1" x14ac:dyDescent="0.2">
      <c r="A241" t="s">
        <v>673</v>
      </c>
    </row>
    <row r="242" spans="1:1" x14ac:dyDescent="0.2">
      <c r="A242" t="s">
        <v>601</v>
      </c>
    </row>
    <row r="243" spans="1:1" x14ac:dyDescent="0.2">
      <c r="A243" t="s">
        <v>687</v>
      </c>
    </row>
    <row r="244" spans="1:1" x14ac:dyDescent="0.2">
      <c r="A244" t="s">
        <v>686</v>
      </c>
    </row>
    <row r="245" spans="1:1" x14ac:dyDescent="0.2">
      <c r="A245" t="s">
        <v>693</v>
      </c>
    </row>
    <row r="246" spans="1:1" x14ac:dyDescent="0.2">
      <c r="A246" t="s">
        <v>696</v>
      </c>
    </row>
    <row r="247" spans="1:1" x14ac:dyDescent="0.2">
      <c r="A247" t="s">
        <v>381</v>
      </c>
    </row>
    <row r="248" spans="1:1" x14ac:dyDescent="0.2">
      <c r="A248" t="s">
        <v>71</v>
      </c>
    </row>
    <row r="249" spans="1:1" x14ac:dyDescent="0.2">
      <c r="A249" t="s">
        <v>72</v>
      </c>
    </row>
    <row r="250" spans="1:1" x14ac:dyDescent="0.2">
      <c r="A250" t="s">
        <v>100</v>
      </c>
    </row>
    <row r="251" spans="1:1" x14ac:dyDescent="0.2">
      <c r="A251" t="s">
        <v>95</v>
      </c>
    </row>
    <row r="252" spans="1:1" x14ac:dyDescent="0.2">
      <c r="A252" t="s">
        <v>89</v>
      </c>
    </row>
    <row r="253" spans="1:1" x14ac:dyDescent="0.2">
      <c r="A253" t="s">
        <v>449</v>
      </c>
    </row>
    <row r="254" spans="1:1" x14ac:dyDescent="0.2">
      <c r="A254" t="s">
        <v>379</v>
      </c>
    </row>
    <row r="255" spans="1:1" x14ac:dyDescent="0.2">
      <c r="A255" t="s">
        <v>19</v>
      </c>
    </row>
    <row r="256" spans="1:1" x14ac:dyDescent="0.2">
      <c r="A256" t="s">
        <v>228</v>
      </c>
    </row>
    <row r="257" spans="1:1" x14ac:dyDescent="0.2">
      <c r="A257" t="s">
        <v>239</v>
      </c>
    </row>
    <row r="258" spans="1:1" x14ac:dyDescent="0.2">
      <c r="A258" t="s">
        <v>237</v>
      </c>
    </row>
    <row r="259" spans="1:1" x14ac:dyDescent="0.2">
      <c r="A259" t="s">
        <v>487</v>
      </c>
    </row>
    <row r="260" spans="1:1" x14ac:dyDescent="0.2">
      <c r="A260" t="s">
        <v>48</v>
      </c>
    </row>
    <row r="261" spans="1:1" x14ac:dyDescent="0.2">
      <c r="A261" t="s">
        <v>49</v>
      </c>
    </row>
    <row r="262" spans="1:1" x14ac:dyDescent="0.2">
      <c r="A262" t="s">
        <v>267</v>
      </c>
    </row>
    <row r="263" spans="1:1" x14ac:dyDescent="0.2">
      <c r="A263" t="s">
        <v>382</v>
      </c>
    </row>
    <row r="264" spans="1:1" x14ac:dyDescent="0.2">
      <c r="A264" t="s">
        <v>63</v>
      </c>
    </row>
    <row r="265" spans="1:1" x14ac:dyDescent="0.2">
      <c r="A265" t="s">
        <v>318</v>
      </c>
    </row>
    <row r="266" spans="1:1" x14ac:dyDescent="0.2">
      <c r="A266" t="s">
        <v>367</v>
      </c>
    </row>
    <row r="267" spans="1:1" x14ac:dyDescent="0.2">
      <c r="A267" t="s">
        <v>420</v>
      </c>
    </row>
    <row r="268" spans="1:1" x14ac:dyDescent="0.2">
      <c r="A268" t="s">
        <v>425</v>
      </c>
    </row>
    <row r="269" spans="1:1" x14ac:dyDescent="0.2">
      <c r="A269" t="s">
        <v>445</v>
      </c>
    </row>
    <row r="270" spans="1:1" x14ac:dyDescent="0.2">
      <c r="A270" t="s">
        <v>392</v>
      </c>
    </row>
    <row r="271" spans="1:1" x14ac:dyDescent="0.2">
      <c r="A271" t="s">
        <v>40</v>
      </c>
    </row>
    <row r="272" spans="1:1" x14ac:dyDescent="0.2">
      <c r="A272" t="s">
        <v>41</v>
      </c>
    </row>
    <row r="273" spans="1:1" x14ac:dyDescent="0.2">
      <c r="A273" t="s">
        <v>360</v>
      </c>
    </row>
    <row r="274" spans="1:1" x14ac:dyDescent="0.2">
      <c r="A274" t="s">
        <v>358</v>
      </c>
    </row>
    <row r="275" spans="1:1" x14ac:dyDescent="0.2">
      <c r="A275" t="s">
        <v>410</v>
      </c>
    </row>
    <row r="276" spans="1:1" x14ac:dyDescent="0.2">
      <c r="A276" t="s">
        <v>447</v>
      </c>
    </row>
    <row r="277" spans="1:1" x14ac:dyDescent="0.2">
      <c r="A277" t="s">
        <v>344</v>
      </c>
    </row>
    <row r="278" spans="1:1" x14ac:dyDescent="0.2">
      <c r="A278" t="s">
        <v>345</v>
      </c>
    </row>
    <row r="279" spans="1:1" x14ac:dyDescent="0.2">
      <c r="A279" t="s">
        <v>343</v>
      </c>
    </row>
    <row r="280" spans="1:1" x14ac:dyDescent="0.2">
      <c r="A280" t="s">
        <v>348</v>
      </c>
    </row>
    <row r="281" spans="1:1" x14ac:dyDescent="0.2">
      <c r="A281" t="s">
        <v>346</v>
      </c>
    </row>
    <row r="282" spans="1:1" x14ac:dyDescent="0.2">
      <c r="A282" t="s">
        <v>347</v>
      </c>
    </row>
    <row r="283" spans="1:1" x14ac:dyDescent="0.2">
      <c r="A283" t="s">
        <v>349</v>
      </c>
    </row>
    <row r="284" spans="1:1" x14ac:dyDescent="0.2">
      <c r="A284" t="s">
        <v>341</v>
      </c>
    </row>
    <row r="285" spans="1:1" x14ac:dyDescent="0.2">
      <c r="A285" t="s">
        <v>340</v>
      </c>
    </row>
    <row r="286" spans="1:1" x14ac:dyDescent="0.2">
      <c r="A286" t="s">
        <v>342</v>
      </c>
    </row>
    <row r="287" spans="1:1" x14ac:dyDescent="0.2">
      <c r="A287" t="s">
        <v>352</v>
      </c>
    </row>
    <row r="288" spans="1:1" x14ac:dyDescent="0.2">
      <c r="A288" t="s">
        <v>357</v>
      </c>
    </row>
    <row r="289" spans="1:1" x14ac:dyDescent="0.2">
      <c r="A289" t="s">
        <v>351</v>
      </c>
    </row>
    <row r="290" spans="1:1" x14ac:dyDescent="0.2">
      <c r="A290" t="s">
        <v>355</v>
      </c>
    </row>
    <row r="291" spans="1:1" x14ac:dyDescent="0.2">
      <c r="A291" t="s">
        <v>363</v>
      </c>
    </row>
    <row r="292" spans="1:1" x14ac:dyDescent="0.2">
      <c r="A292" t="s">
        <v>362</v>
      </c>
    </row>
    <row r="293" spans="1:1" x14ac:dyDescent="0.2">
      <c r="A293" t="s">
        <v>361</v>
      </c>
    </row>
    <row r="294" spans="1:1" x14ac:dyDescent="0.2">
      <c r="A294" t="s">
        <v>322</v>
      </c>
    </row>
    <row r="295" spans="1:1" x14ac:dyDescent="0.2">
      <c r="A295" t="s">
        <v>411</v>
      </c>
    </row>
    <row r="296" spans="1:1" x14ac:dyDescent="0.2">
      <c r="A296" t="s">
        <v>365</v>
      </c>
    </row>
    <row r="297" spans="1:1" x14ac:dyDescent="0.2">
      <c r="A297" t="s">
        <v>364</v>
      </c>
    </row>
    <row r="298" spans="1:1" x14ac:dyDescent="0.2">
      <c r="A298" t="s">
        <v>354</v>
      </c>
    </row>
    <row r="299" spans="1:1" x14ac:dyDescent="0.2">
      <c r="A299" t="s">
        <v>8</v>
      </c>
    </row>
    <row r="300" spans="1:1" x14ac:dyDescent="0.2">
      <c r="A300" t="s">
        <v>427</v>
      </c>
    </row>
    <row r="301" spans="1:1" x14ac:dyDescent="0.2">
      <c r="A301" t="s">
        <v>432</v>
      </c>
    </row>
    <row r="302" spans="1:1" x14ac:dyDescent="0.2">
      <c r="A302" t="s">
        <v>281</v>
      </c>
    </row>
    <row r="303" spans="1:1" x14ac:dyDescent="0.2">
      <c r="A303" t="s">
        <v>282</v>
      </c>
    </row>
    <row r="304" spans="1:1" x14ac:dyDescent="0.2">
      <c r="A304" t="s">
        <v>283</v>
      </c>
    </row>
    <row r="305" spans="1:1" x14ac:dyDescent="0.2">
      <c r="A305" t="s">
        <v>284</v>
      </c>
    </row>
    <row r="306" spans="1:1" x14ac:dyDescent="0.2">
      <c r="A306" t="s">
        <v>285</v>
      </c>
    </row>
    <row r="307" spans="1:1" x14ac:dyDescent="0.2">
      <c r="A307" t="s">
        <v>286</v>
      </c>
    </row>
    <row r="308" spans="1:1" x14ac:dyDescent="0.2">
      <c r="A308" t="s">
        <v>287</v>
      </c>
    </row>
    <row r="309" spans="1:1" x14ac:dyDescent="0.2">
      <c r="A309" t="s">
        <v>288</v>
      </c>
    </row>
    <row r="310" spans="1:1" x14ac:dyDescent="0.2">
      <c r="A310" t="s">
        <v>289</v>
      </c>
    </row>
    <row r="311" spans="1:1" x14ac:dyDescent="0.2">
      <c r="A311" t="s">
        <v>290</v>
      </c>
    </row>
    <row r="312" spans="1:1" x14ac:dyDescent="0.2">
      <c r="A312" t="s">
        <v>291</v>
      </c>
    </row>
    <row r="313" spans="1:1" x14ac:dyDescent="0.2">
      <c r="A313" t="s">
        <v>292</v>
      </c>
    </row>
    <row r="314" spans="1:1" x14ac:dyDescent="0.2">
      <c r="A314" t="s">
        <v>257</v>
      </c>
    </row>
    <row r="315" spans="1:1" x14ac:dyDescent="0.2">
      <c r="A315" t="s">
        <v>293</v>
      </c>
    </row>
    <row r="316" spans="1:1" x14ac:dyDescent="0.2">
      <c r="A316" t="s">
        <v>51</v>
      </c>
    </row>
    <row r="317" spans="1:1" x14ac:dyDescent="0.2">
      <c r="A317" t="s">
        <v>39</v>
      </c>
    </row>
    <row r="318" spans="1:1" x14ac:dyDescent="0.2">
      <c r="A318" t="s">
        <v>231</v>
      </c>
    </row>
    <row r="319" spans="1:1" x14ac:dyDescent="0.2">
      <c r="A319" t="s">
        <v>7</v>
      </c>
    </row>
    <row r="320" spans="1:1" x14ac:dyDescent="0.2">
      <c r="A320" t="s">
        <v>406</v>
      </c>
    </row>
    <row r="321" spans="1:1" x14ac:dyDescent="0.2">
      <c r="A321" t="s">
        <v>350</v>
      </c>
    </row>
    <row r="322" spans="1:1" x14ac:dyDescent="0.2">
      <c r="A322" t="s">
        <v>242</v>
      </c>
    </row>
    <row r="323" spans="1:1" x14ac:dyDescent="0.2">
      <c r="A323" t="s">
        <v>243</v>
      </c>
    </row>
    <row r="324" spans="1:1" x14ac:dyDescent="0.2">
      <c r="A324" t="s">
        <v>385</v>
      </c>
    </row>
    <row r="325" spans="1:1" x14ac:dyDescent="0.2">
      <c r="A325" t="s">
        <v>29</v>
      </c>
    </row>
    <row r="326" spans="1:1" x14ac:dyDescent="0.2">
      <c r="A326" t="s">
        <v>28</v>
      </c>
    </row>
    <row r="327" spans="1:1" x14ac:dyDescent="0.2">
      <c r="A327" t="s">
        <v>353</v>
      </c>
    </row>
    <row r="328" spans="1:1" x14ac:dyDescent="0.2">
      <c r="A328" t="s">
        <v>9</v>
      </c>
    </row>
    <row r="329" spans="1:1" x14ac:dyDescent="0.2">
      <c r="A329" t="s">
        <v>256</v>
      </c>
    </row>
    <row r="330" spans="1:1" x14ac:dyDescent="0.2">
      <c r="A330" t="s">
        <v>241</v>
      </c>
    </row>
    <row r="331" spans="1:1" x14ac:dyDescent="0.2">
      <c r="A331" t="s">
        <v>50</v>
      </c>
    </row>
    <row r="332" spans="1:1" x14ac:dyDescent="0.2">
      <c r="A332" t="s">
        <v>440</v>
      </c>
    </row>
    <row r="333" spans="1:1" x14ac:dyDescent="0.2">
      <c r="A333" t="s">
        <v>100</v>
      </c>
    </row>
    <row r="334" spans="1:1" x14ac:dyDescent="0.2">
      <c r="A334" t="s">
        <v>449</v>
      </c>
    </row>
    <row r="335" spans="1:1" x14ac:dyDescent="0.2">
      <c r="A335" t="s">
        <v>421</v>
      </c>
    </row>
    <row r="336" spans="1:1" x14ac:dyDescent="0.2">
      <c r="A336" t="s">
        <v>19</v>
      </c>
    </row>
    <row r="337" spans="1:1" x14ac:dyDescent="0.2">
      <c r="A337" t="s">
        <v>228</v>
      </c>
    </row>
    <row r="338" spans="1:1" x14ac:dyDescent="0.2">
      <c r="A338" t="s">
        <v>239</v>
      </c>
    </row>
    <row r="339" spans="1:1" x14ac:dyDescent="0.2">
      <c r="A339" t="s">
        <v>237</v>
      </c>
    </row>
    <row r="340" spans="1:1" x14ac:dyDescent="0.2">
      <c r="A340" t="s">
        <v>48</v>
      </c>
    </row>
    <row r="341" spans="1:1" x14ac:dyDescent="0.2">
      <c r="A341" t="s">
        <v>377</v>
      </c>
    </row>
    <row r="342" spans="1:1" x14ac:dyDescent="0.2">
      <c r="A342" t="s">
        <v>369</v>
      </c>
    </row>
    <row r="343" spans="1:1" x14ac:dyDescent="0.2">
      <c r="A343" t="s">
        <v>373</v>
      </c>
    </row>
    <row r="344" spans="1:1" x14ac:dyDescent="0.2">
      <c r="A344" t="s">
        <v>427</v>
      </c>
    </row>
    <row r="345" spans="1:1" x14ac:dyDescent="0.2">
      <c r="A345" t="s">
        <v>214</v>
      </c>
    </row>
    <row r="346" spans="1:1" x14ac:dyDescent="0.2">
      <c r="A346" t="s">
        <v>432</v>
      </c>
    </row>
    <row r="347" spans="1:1" x14ac:dyDescent="0.2">
      <c r="A347" t="s">
        <v>74</v>
      </c>
    </row>
    <row r="348" spans="1:1" x14ac:dyDescent="0.2">
      <c r="A348" t="s">
        <v>224</v>
      </c>
    </row>
    <row r="349" spans="1:1" x14ac:dyDescent="0.2">
      <c r="A349" t="s">
        <v>281</v>
      </c>
    </row>
    <row r="350" spans="1:1" x14ac:dyDescent="0.2">
      <c r="A350" t="s">
        <v>282</v>
      </c>
    </row>
    <row r="351" spans="1:1" x14ac:dyDescent="0.2">
      <c r="A351" t="s">
        <v>283</v>
      </c>
    </row>
    <row r="352" spans="1:1" x14ac:dyDescent="0.2">
      <c r="A352" t="s">
        <v>284</v>
      </c>
    </row>
    <row r="353" spans="1:1" x14ac:dyDescent="0.2">
      <c r="A353" t="s">
        <v>285</v>
      </c>
    </row>
    <row r="354" spans="1:1" x14ac:dyDescent="0.2">
      <c r="A354" t="s">
        <v>286</v>
      </c>
    </row>
    <row r="355" spans="1:1" x14ac:dyDescent="0.2">
      <c r="A355" t="s">
        <v>287</v>
      </c>
    </row>
    <row r="356" spans="1:1" x14ac:dyDescent="0.2">
      <c r="A356" t="s">
        <v>288</v>
      </c>
    </row>
    <row r="357" spans="1:1" x14ac:dyDescent="0.2">
      <c r="A357" t="s">
        <v>289</v>
      </c>
    </row>
    <row r="358" spans="1:1" x14ac:dyDescent="0.2">
      <c r="A358" t="s">
        <v>290</v>
      </c>
    </row>
    <row r="359" spans="1:1" x14ac:dyDescent="0.2">
      <c r="A359" t="s">
        <v>291</v>
      </c>
    </row>
    <row r="360" spans="1:1" x14ac:dyDescent="0.2">
      <c r="A360" t="s">
        <v>292</v>
      </c>
    </row>
    <row r="361" spans="1:1" x14ac:dyDescent="0.2">
      <c r="A361" t="s">
        <v>257</v>
      </c>
    </row>
    <row r="362" spans="1:1" x14ac:dyDescent="0.2">
      <c r="A362" t="s">
        <v>293</v>
      </c>
    </row>
    <row r="363" spans="1:1" x14ac:dyDescent="0.2">
      <c r="A363" t="s">
        <v>51</v>
      </c>
    </row>
    <row r="364" spans="1:1" x14ac:dyDescent="0.2">
      <c r="A364" t="s">
        <v>39</v>
      </c>
    </row>
    <row r="365" spans="1:1" x14ac:dyDescent="0.2">
      <c r="A365" t="s">
        <v>233</v>
      </c>
    </row>
    <row r="366" spans="1:1" x14ac:dyDescent="0.2">
      <c r="A366" t="s">
        <v>7</v>
      </c>
    </row>
    <row r="367" spans="1:1" x14ac:dyDescent="0.2">
      <c r="A367" t="s">
        <v>406</v>
      </c>
    </row>
    <row r="368" spans="1:1" x14ac:dyDescent="0.2">
      <c r="A368" t="s">
        <v>350</v>
      </c>
    </row>
    <row r="369" spans="1:1" x14ac:dyDescent="0.2">
      <c r="A369" t="s">
        <v>242</v>
      </c>
    </row>
    <row r="370" spans="1:1" x14ac:dyDescent="0.2">
      <c r="A370" t="s">
        <v>252</v>
      </c>
    </row>
    <row r="371" spans="1:1" x14ac:dyDescent="0.2">
      <c r="A371" t="s">
        <v>243</v>
      </c>
    </row>
    <row r="372" spans="1:1" x14ac:dyDescent="0.2">
      <c r="A372" t="s">
        <v>35</v>
      </c>
    </row>
    <row r="373" spans="1:1" x14ac:dyDescent="0.2">
      <c r="A373" t="s">
        <v>29</v>
      </c>
    </row>
    <row r="374" spans="1:1" x14ac:dyDescent="0.2">
      <c r="A374" t="s">
        <v>28</v>
      </c>
    </row>
    <row r="375" spans="1:1" x14ac:dyDescent="0.2">
      <c r="A375" t="s">
        <v>353</v>
      </c>
    </row>
    <row r="376" spans="1:1" x14ac:dyDescent="0.2">
      <c r="A376" t="s">
        <v>9</v>
      </c>
    </row>
    <row r="377" spans="1:1" x14ac:dyDescent="0.2">
      <c r="A377" t="s">
        <v>256</v>
      </c>
    </row>
    <row r="378" spans="1:1" x14ac:dyDescent="0.2">
      <c r="A378" t="s">
        <v>241</v>
      </c>
    </row>
    <row r="379" spans="1:1" x14ac:dyDescent="0.2">
      <c r="A379" t="s">
        <v>50</v>
      </c>
    </row>
    <row r="380" spans="1:1" x14ac:dyDescent="0.2">
      <c r="A380" t="s">
        <v>381</v>
      </c>
    </row>
    <row r="381" spans="1:1" x14ac:dyDescent="0.2">
      <c r="A381" t="s">
        <v>71</v>
      </c>
    </row>
    <row r="382" spans="1:1" x14ac:dyDescent="0.2">
      <c r="A382" t="s">
        <v>72</v>
      </c>
    </row>
    <row r="383" spans="1:1" x14ac:dyDescent="0.2">
      <c r="A383" t="s">
        <v>449</v>
      </c>
    </row>
    <row r="384" spans="1:1" x14ac:dyDescent="0.2">
      <c r="A384" t="s">
        <v>379</v>
      </c>
    </row>
    <row r="385" spans="1:1" x14ac:dyDescent="0.2">
      <c r="A385" t="s">
        <v>19</v>
      </c>
    </row>
    <row r="386" spans="1:1" x14ac:dyDescent="0.2">
      <c r="A386" t="s">
        <v>228</v>
      </c>
    </row>
    <row r="387" spans="1:1" x14ac:dyDescent="0.2">
      <c r="A387" t="s">
        <v>239</v>
      </c>
    </row>
    <row r="388" spans="1:1" x14ac:dyDescent="0.2">
      <c r="A388" t="s">
        <v>237</v>
      </c>
    </row>
    <row r="389" spans="1:1" x14ac:dyDescent="0.2">
      <c r="A389" t="s">
        <v>48</v>
      </c>
    </row>
    <row r="390" spans="1:1" x14ac:dyDescent="0.2">
      <c r="A390" t="s">
        <v>49</v>
      </c>
    </row>
    <row r="391" spans="1:1" x14ac:dyDescent="0.2">
      <c r="A391" t="s">
        <v>267</v>
      </c>
    </row>
    <row r="392" spans="1:1" x14ac:dyDescent="0.2">
      <c r="A392" t="s">
        <v>382</v>
      </c>
    </row>
    <row r="393" spans="1:1" x14ac:dyDescent="0.2">
      <c r="A393" t="s">
        <v>63</v>
      </c>
    </row>
    <row r="394" spans="1:1" x14ac:dyDescent="0.2">
      <c r="A394" t="s">
        <v>318</v>
      </c>
    </row>
    <row r="395" spans="1:1" x14ac:dyDescent="0.2">
      <c r="A395" t="s">
        <v>367</v>
      </c>
    </row>
    <row r="396" spans="1:1" x14ac:dyDescent="0.2">
      <c r="A396" t="s">
        <v>420</v>
      </c>
    </row>
  </sheetData>
  <sortState xmlns:xlrd2="http://schemas.microsoft.com/office/spreadsheetml/2017/richdata2" ref="A1:A267">
    <sortCondition ref="A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34</vt:i4>
      </vt:variant>
    </vt:vector>
  </HeadingPairs>
  <TitlesOfParts>
    <vt:vector size="38" baseType="lpstr">
      <vt:lpstr>Separated Vesteds</vt:lpstr>
      <vt:lpstr>Active Vesteds</vt:lpstr>
      <vt:lpstr>Tables</vt:lpstr>
      <vt:lpstr>mySort</vt:lpstr>
      <vt:lpstr>Active</vt:lpstr>
      <vt:lpstr>Active_Vesteds</vt:lpstr>
      <vt:lpstr>All_Criteria</vt:lpstr>
      <vt:lpstr>Annuity_Criteria</vt:lpstr>
      <vt:lpstr>Annuity_Rates</vt:lpstr>
      <vt:lpstr>Bene_Amt</vt:lpstr>
      <vt:lpstr>Beneficiary_Criteria</vt:lpstr>
      <vt:lpstr>BFCF_Rates</vt:lpstr>
      <vt:lpstr>BFCF_Rates1</vt:lpstr>
      <vt:lpstr>BPD</vt:lpstr>
      <vt:lpstr>DOPT</vt:lpstr>
      <vt:lpstr>DOPT_3</vt:lpstr>
      <vt:lpstr>ERF</vt:lpstr>
      <vt:lpstr>ERFB</vt:lpstr>
      <vt:lpstr>Initial_Annuity_Interest_Rate</vt:lpstr>
      <vt:lpstr>Load_Percent</vt:lpstr>
      <vt:lpstr>LRF</vt:lpstr>
      <vt:lpstr>LRFB</vt:lpstr>
      <vt:lpstr>LRFTABLE1</vt:lpstr>
      <vt:lpstr>LRFTABLE2</vt:lpstr>
      <vt:lpstr>LRFTABLE3</vt:lpstr>
      <vt:lpstr>LRFTABLE4</vt:lpstr>
      <vt:lpstr>LRFTABLE5</vt:lpstr>
      <vt:lpstr>LS_Rates</vt:lpstr>
      <vt:lpstr>Participant_Criteria</vt:lpstr>
      <vt:lpstr>PBGC_MAX</vt:lpstr>
      <vt:lpstr>PBGC_Option_Rates</vt:lpstr>
      <vt:lpstr>PC3_Date</vt:lpstr>
      <vt:lpstr>Plan_Date</vt:lpstr>
      <vt:lpstr>Tables!Print_Area</vt:lpstr>
      <vt:lpstr>Separated_Vesteds</vt:lpstr>
      <vt:lpstr>SPARR</vt:lpstr>
      <vt:lpstr>Total_4022C</vt:lpstr>
      <vt:lpstr>Vesting_Table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Hannas Joseph</dc:creator>
  <cp:lastModifiedBy>Lopez Herick</cp:lastModifiedBy>
  <cp:lastPrinted>2013-03-25T19:32:08Z</cp:lastPrinted>
  <dcterms:created xsi:type="dcterms:W3CDTF">2005-02-28T21:56:57Z</dcterms:created>
  <dcterms:modified xsi:type="dcterms:W3CDTF">2025-03-28T17:18:58Z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934979061</vt:i4>
  </property>
  <property fmtid="{D5CDD505-2E9C-101B-9397-08002B2CF9AE}" pid="3" name="_EmailSubject">
    <vt:lpwstr>Frye Copysystems</vt:lpwstr>
  </property>
  <property fmtid="{D5CDD505-2E9C-101B-9397-08002B2CF9AE}" pid="4" name="_AuthorEmail">
    <vt:lpwstr>Owens.Elizabeth@PBGC.GOV</vt:lpwstr>
  </property>
  <property fmtid="{D5CDD505-2E9C-101B-9397-08002B2CF9AE}" pid="5" name="_AuthorEmailDisplayName">
    <vt:lpwstr>Owens Elizabeth</vt:lpwstr>
  </property>
  <property fmtid="{D5CDD505-2E9C-101B-9397-08002B2CF9AE}" pid="6" name="_ReviewingToolsShownOnce">
    <vt:lpwstr/>
  </property>
</Properties>
</file>